
<file path=[Content_Types].xml><?xml version="1.0" encoding="utf-8"?>
<Types xmlns="http://schemas.openxmlformats.org/package/2006/content-types">
  <Override PartName="/xl/queryTables/queryTable139.xml" ContentType="application/vnd.openxmlformats-officedocument.spreadsheetml.queryTable+xml"/>
  <Override PartName="/xl/queryTables/queryTable186.xml" ContentType="application/vnd.openxmlformats-officedocument.spreadsheetml.queryTable+xml"/>
  <Override PartName="/xl/styles.xml" ContentType="application/vnd.openxmlformats-officedocument.spreadsheetml.styles+xml"/>
  <Override PartName="/xl/queryTables/queryTable48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50.xml" ContentType="application/vnd.openxmlformats-officedocument.spreadsheetml.queryTable+xml"/>
  <Default Extension="xml" ContentType="application/xml"/>
  <Override PartName="/xl/queryTables/queryTable142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66.xml" ContentType="application/vnd.openxmlformats-officedocument.spreadsheetml.queryTable+xml"/>
  <Override PartName="/xl/tables/table5.xml" ContentType="application/vnd.openxmlformats-officedocument.spreadsheetml.table+xml"/>
  <Override PartName="/xl/queryTables/queryTable6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23.xml" ContentType="application/vnd.openxmlformats-officedocument.spreadsheetml.queryTable+xml"/>
  <Override PartName="/xl/calcChain.xml" ContentType="application/vnd.openxmlformats-officedocument.spreadsheetml.calcChain+xml"/>
  <Override PartName="/xl/queryTables/queryTable5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74.xml" ContentType="application/vnd.openxmlformats-officedocument.spreadsheetml.queryTable+xml"/>
  <Override PartName="/xl/tables/table2.xml" ContentType="application/vnd.openxmlformats-officedocument.spreadsheetml.table+xml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428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417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50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25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54.xml" ContentType="application/vnd.openxmlformats-officedocument.spreadsheetml.queryTable+xml"/>
  <Override PartName="/xl/tables/table4.xml" ContentType="application/vnd.openxmlformats-officedocument.spreadsheetml.table+xml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419.xml" ContentType="application/vnd.openxmlformats-officedocument.spreadsheetml.queryTable+xml"/>
  <Override PartName="/xl/vbaProject.bin" ContentType="application/vnd.ms-office.vbaProject"/>
  <Override PartName="/xl/queryTables/queryTable3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94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11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422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214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400.xml" ContentType="application/vnd.openxmlformats-officedocument.spreadsheetml.queryTable+xml"/>
  <Default Extension="bin" ContentType="application/vnd.openxmlformats-officedocument.spreadsheetml.printerSettings"/>
  <Override PartName="/xl/queryTables/queryTable49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73.xml" ContentType="application/vnd.openxmlformats-officedocument.spreadsheetml.queryTable+xml"/>
  <Override PartName="/xl/tables/table1.xml" ContentType="application/vnd.openxmlformats-officedocument.spreadsheetml.table+xml"/>
  <Override PartName="/xl/queryTables/queryTable38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51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52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16.xml" ContentType="application/vnd.openxmlformats-officedocument.spreadsheetml.queryTable+xml"/>
  <Default Extension="vml" ContentType="application/vnd.openxmlformats-officedocument.vmlDrawing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430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79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56.xml" ContentType="application/vnd.openxmlformats-officedocument.spreadsheetml.queryTable+xml"/>
  <Override PartName="/docProps/core.xml" ContentType="application/vnd.openxmlformats-package.core-properties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92.xml" ContentType="application/vnd.openxmlformats-officedocument.spreadsheetml.queryTable+xml"/>
  <Override PartName="/xl/theme/theme1.xml" ContentType="application/vnd.openxmlformats-officedocument.theme+xml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312.xml" ContentType="application/vnd.openxmlformats-officedocument.spreadsheetml.queryTable+xml"/>
  <Default Extension="rels" ContentType="application/vnd.openxmlformats-package.relationships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24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216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167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53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54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29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43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76.xml" ContentType="application/vnd.openxmlformats-officedocument.spreadsheetml.queryTable+xml"/>
  <Override PartName="/xl/worksheets/sheet3.xml" ContentType="application/vnd.openxmlformats-officedocument.spreadsheetml.worksheet+xml"/>
  <Override PartName="/xl/queryTables/queryTable4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50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75" windowWidth="14190" windowHeight="7185"/>
  </bookViews>
  <sheets>
    <sheet name="Patrimonio" sheetId="1" r:id="rId1"/>
    <sheet name="Cotacao" sheetId="9" r:id="rId2"/>
    <sheet name="Cotacao 2" sheetId="14" r:id="rId3"/>
    <sheet name="Tabela LL" sheetId="13" r:id="rId4"/>
    <sheet name="Lucro Líquido" sheetId="12" r:id="rId5"/>
    <sheet name="Historia" sheetId="15" r:id="rId6"/>
  </sheets>
  <externalReferences>
    <externalReference r:id="rId7"/>
  </externalReferences>
  <definedNames>
    <definedName name="DadosExternos_1" localSheetId="1">Cotacao!$C$7:$C$63</definedName>
    <definedName name="DadosExternos_1" localSheetId="2">'Cotacao 2'!$C$7:$C$63</definedName>
    <definedName name="DadosExternos_10" localSheetId="1">Cotacao!$C$7:$C$63</definedName>
    <definedName name="DadosExternos_10" localSheetId="2">'Cotacao 2'!$C$7:$C$63</definedName>
    <definedName name="DadosExternos_103" localSheetId="1">Cotacao!$C$7:$C$114</definedName>
    <definedName name="DadosExternos_103" localSheetId="2">'Cotacao 2'!$C$7:$C$114</definedName>
    <definedName name="DadosExternos_104" localSheetId="1">Cotacao!$C$7:$C$114</definedName>
    <definedName name="DadosExternos_104" localSheetId="2">'Cotacao 2'!$C$7:$C$114</definedName>
    <definedName name="DadosExternos_106" localSheetId="1">Cotacao!$C$7:$C$114</definedName>
    <definedName name="DadosExternos_106" localSheetId="2">'Cotacao 2'!$C$7:$C$114</definedName>
    <definedName name="DadosExternos_107" localSheetId="1">Cotacao!$C$7:$C$114</definedName>
    <definedName name="DadosExternos_107" localSheetId="2">'Cotacao 2'!$C$7:$C$114</definedName>
    <definedName name="DadosExternos_108" localSheetId="1">Cotacao!$C$7:$C$114</definedName>
    <definedName name="DadosExternos_108" localSheetId="2">'Cotacao 2'!$C$7:$C$114</definedName>
    <definedName name="DadosExternos_109" localSheetId="1">Cotacao!$C$7:$C$114</definedName>
    <definedName name="DadosExternos_109" localSheetId="2">'Cotacao 2'!$C$7:$C$114</definedName>
    <definedName name="DadosExternos_11" localSheetId="1">Cotacao!$C$7:$C$63</definedName>
    <definedName name="DadosExternos_11" localSheetId="2">'Cotacao 2'!$C$7:$C$63</definedName>
    <definedName name="DadosExternos_110" localSheetId="1">Cotacao!$C$7:$C$56</definedName>
    <definedName name="DadosExternos_110" localSheetId="2">'Cotacao 2'!$C$7:$C$56</definedName>
    <definedName name="DadosExternos_111" localSheetId="1">Cotacao!$C$7:$C$57</definedName>
    <definedName name="DadosExternos_111" localSheetId="2">'Cotacao 2'!$C$7:$C$57</definedName>
    <definedName name="DadosExternos_112" localSheetId="1">Cotacao!$C$7:$C$58</definedName>
    <definedName name="DadosExternos_112" localSheetId="2">'Cotacao 2'!$C$7:$C$58</definedName>
    <definedName name="DadosExternos_113" localSheetId="1">Cotacao!$C$7:$C$58</definedName>
    <definedName name="DadosExternos_113" localSheetId="2">'Cotacao 2'!$C$7:$C$58</definedName>
    <definedName name="DadosExternos_114" localSheetId="1">Cotacao!$C$7:$C$60</definedName>
    <definedName name="DadosExternos_114" localSheetId="2">'Cotacao 2'!$C$7:$C$60</definedName>
    <definedName name="DadosExternos_115" localSheetId="1">Cotacao!$C$7:$C$59</definedName>
    <definedName name="DadosExternos_115" localSheetId="2">'Cotacao 2'!$C$7:$C$59</definedName>
    <definedName name="DadosExternos_116" localSheetId="1">Cotacao!$C$7:$C$60</definedName>
    <definedName name="DadosExternos_116" localSheetId="2">'Cotacao 2'!$C$7:$C$60</definedName>
    <definedName name="DadosExternos_117" localSheetId="1">Cotacao!$C$7:$C$62</definedName>
    <definedName name="DadosExternos_117" localSheetId="2">'Cotacao 2'!$C$7:$C$62</definedName>
    <definedName name="DadosExternos_118" localSheetId="1">Cotacao!$C$7:$C$61</definedName>
    <definedName name="DadosExternos_118" localSheetId="2">'Cotacao 2'!$C$7:$C$61</definedName>
    <definedName name="DadosExternos_119" localSheetId="1">Cotacao!$C$7:$C$62</definedName>
    <definedName name="DadosExternos_119" localSheetId="2">'Cotacao 2'!$C$7:$C$62</definedName>
    <definedName name="DadosExternos_12" localSheetId="1">Cotacao!$C$7:$C$63</definedName>
    <definedName name="DadosExternos_12" localSheetId="2">'Cotacao 2'!$C$7:$C$63</definedName>
    <definedName name="DadosExternos_120" localSheetId="1">Cotacao!$C$7:$C$64</definedName>
    <definedName name="DadosExternos_120" localSheetId="2">'Cotacao 2'!$C$7:$C$64</definedName>
    <definedName name="DadosExternos_121" localSheetId="1">Cotacao!$C$7:$C$65</definedName>
    <definedName name="DadosExternos_121" localSheetId="2">'Cotacao 2'!$C$7:$C$65</definedName>
    <definedName name="DadosExternos_122" localSheetId="1">Cotacao!$C$7:$C$65</definedName>
    <definedName name="DadosExternos_122" localSheetId="2">'Cotacao 2'!$C$7:$C$65</definedName>
    <definedName name="DadosExternos_123" localSheetId="1">Cotacao!$C$7:$C$66</definedName>
    <definedName name="DadosExternos_123" localSheetId="2">'Cotacao 2'!$C$7:$C$66</definedName>
    <definedName name="DadosExternos_124" localSheetId="1">Cotacao!$C$7:$C$69</definedName>
    <definedName name="DadosExternos_124" localSheetId="2">'Cotacao 2'!$C$7:$C$69</definedName>
    <definedName name="DadosExternos_125" localSheetId="1">Cotacao!$C$7:$C$67</definedName>
    <definedName name="DadosExternos_125" localSheetId="2">'Cotacao 2'!$C$7:$C$67</definedName>
    <definedName name="DadosExternos_126" localSheetId="1">Cotacao!$C$7:$C$70</definedName>
    <definedName name="DadosExternos_126" localSheetId="2">'Cotacao 2'!$C$7:$C$70</definedName>
    <definedName name="DadosExternos_127" localSheetId="1">Cotacao!$C$7:$C$68</definedName>
    <definedName name="DadosExternos_127" localSheetId="2">'Cotacao 2'!$C$7:$C$68</definedName>
    <definedName name="DadosExternos_128" localSheetId="1">Cotacao!$C$7:$C$69</definedName>
    <definedName name="DadosExternos_128" localSheetId="2">'Cotacao 2'!$C$7:$C$69</definedName>
    <definedName name="DadosExternos_129" localSheetId="1">Cotacao!$C$7:$C$69</definedName>
    <definedName name="DadosExternos_129" localSheetId="2">'Cotacao 2'!$C$7:$C$69</definedName>
    <definedName name="DadosExternos_130" localSheetId="1">Cotacao!$C$7:$C$70</definedName>
    <definedName name="DadosExternos_130" localSheetId="2">'Cotacao 2'!$C$7:$C$70</definedName>
    <definedName name="DadosExternos_131" localSheetId="1">Cotacao!$C$7:$C$70</definedName>
    <definedName name="DadosExternos_131" localSheetId="2">'Cotacao 2'!$C$7:$C$70</definedName>
    <definedName name="DadosExternos_132" localSheetId="1">Cotacao!$C$7:$C$71</definedName>
    <definedName name="DadosExternos_132" localSheetId="2">'Cotacao 2'!$C$7:$C$71</definedName>
    <definedName name="DadosExternos_133" localSheetId="1">Cotacao!$C$7:$C$73</definedName>
    <definedName name="DadosExternos_133" localSheetId="2">'Cotacao 2'!$C$7:$C$73</definedName>
    <definedName name="DadosExternos_134" localSheetId="1">Cotacao!$C$7:$C$74</definedName>
    <definedName name="DadosExternos_134" localSheetId="2">'Cotacao 2'!$C$7:$C$74</definedName>
    <definedName name="DadosExternos_135" localSheetId="1">Cotacao!$C$7:$C$65</definedName>
    <definedName name="DadosExternos_135" localSheetId="2">'Cotacao 2'!$C$7:$C$65</definedName>
    <definedName name="DadosExternos_136" localSheetId="1">Cotacao!$C$7:$C$67</definedName>
    <definedName name="DadosExternos_136" localSheetId="2">'Cotacao 2'!$C$7:$C$67</definedName>
    <definedName name="DadosExternos_137" localSheetId="1">Cotacao!$C$7:$C$70</definedName>
    <definedName name="DadosExternos_137" localSheetId="2">'Cotacao 2'!$C$7:$C$70</definedName>
    <definedName name="DadosExternos_138" localSheetId="1">Cotacao!$C$7:$C$70</definedName>
    <definedName name="DadosExternos_138" localSheetId="2">'Cotacao 2'!$C$7:$C$70</definedName>
    <definedName name="DadosExternos_139" localSheetId="1">Cotacao!$C$7:$C$69</definedName>
    <definedName name="DadosExternos_139" localSheetId="2">'Cotacao 2'!$C$7:$C$69</definedName>
    <definedName name="DadosExternos_14" localSheetId="1">Cotacao!$C$7:$C$63</definedName>
    <definedName name="DadosExternos_14" localSheetId="2">'Cotacao 2'!$C$7:$C$63</definedName>
    <definedName name="DadosExternos_140" localSheetId="1">Cotacao!$C$7:$C$72</definedName>
    <definedName name="DadosExternos_140" localSheetId="2">'Cotacao 2'!$C$7:$C$72</definedName>
    <definedName name="DadosExternos_141" localSheetId="1">Cotacao!$C$7:$C$74</definedName>
    <definedName name="DadosExternos_141" localSheetId="2">'Cotacao 2'!$C$7:$C$74</definedName>
    <definedName name="DadosExternos_142" localSheetId="1">Cotacao!$C$7:$C$76</definedName>
    <definedName name="DadosExternos_142" localSheetId="2">'Cotacao 2'!$C$7:$C$76</definedName>
    <definedName name="DadosExternos_143" localSheetId="1">Cotacao!$C$7:$C$75</definedName>
    <definedName name="DadosExternos_143" localSheetId="2">'Cotacao 2'!$C$7:$C$75</definedName>
    <definedName name="DadosExternos_144" localSheetId="1">Cotacao!$C$7:$C$77</definedName>
    <definedName name="DadosExternos_144" localSheetId="2">'Cotacao 2'!$C$7:$C$77</definedName>
    <definedName name="DadosExternos_145" localSheetId="1">Cotacao!$C$7:$C$78</definedName>
    <definedName name="DadosExternos_145" localSheetId="2">'Cotacao 2'!$C$7:$C$78</definedName>
    <definedName name="DadosExternos_146" localSheetId="1">Cotacao!$C$7:$C$80</definedName>
    <definedName name="DadosExternos_146" localSheetId="2">'Cotacao 2'!$C$7:$C$80</definedName>
    <definedName name="DadosExternos_147" localSheetId="1">Cotacao!$C$7:$C$81</definedName>
    <definedName name="DadosExternos_147" localSheetId="2">'Cotacao 2'!$C$7:$C$81</definedName>
    <definedName name="DadosExternos_148" localSheetId="1">Cotacao!$C$7:$C$83</definedName>
    <definedName name="DadosExternos_148" localSheetId="2">'Cotacao 2'!$C$7:$C$83</definedName>
    <definedName name="DadosExternos_149" localSheetId="1">Cotacao!$C$7:$C$83</definedName>
    <definedName name="DadosExternos_149" localSheetId="2">'Cotacao 2'!$C$7:$C$83</definedName>
    <definedName name="DadosExternos_15" localSheetId="1">Cotacao!$C$7:$C$63</definedName>
    <definedName name="DadosExternos_15" localSheetId="2">'Cotacao 2'!$C$7:$C$63</definedName>
    <definedName name="DadosExternos_150" localSheetId="1">Cotacao!$C$7:$C$81</definedName>
    <definedName name="DadosExternos_150" localSheetId="2">'Cotacao 2'!$C$7:$C$81</definedName>
    <definedName name="DadosExternos_151" localSheetId="1">Cotacao!$C$7:$C$82</definedName>
    <definedName name="DadosExternos_151" localSheetId="2">'Cotacao 2'!$C$7:$C$82</definedName>
    <definedName name="DadosExternos_152" localSheetId="1">Cotacao!$C$7:$C$84</definedName>
    <definedName name="DadosExternos_152" localSheetId="2">'Cotacao 2'!$C$7:$C$84</definedName>
    <definedName name="DadosExternos_153" localSheetId="1">Cotacao!$C$7:$C$85</definedName>
    <definedName name="DadosExternos_153" localSheetId="2">'Cotacao 2'!$C$7:$C$85</definedName>
    <definedName name="DadosExternos_154" localSheetId="1">Cotacao!$C$7:$C$87</definedName>
    <definedName name="DadosExternos_154" localSheetId="2">'Cotacao 2'!$C$7:$C$87</definedName>
    <definedName name="DadosExternos_155" localSheetId="1">Cotacao!$C$7:$C$89</definedName>
    <definedName name="DadosExternos_155" localSheetId="2">'Cotacao 2'!$C$7:$C$89</definedName>
    <definedName name="DadosExternos_156" localSheetId="1">Cotacao!$C$7:$C$91</definedName>
    <definedName name="DadosExternos_156" localSheetId="2">'Cotacao 2'!$C$7:$C$91</definedName>
    <definedName name="DadosExternos_157" localSheetId="1">Cotacao!$C$7:$C$93</definedName>
    <definedName name="DadosExternos_157" localSheetId="2">'Cotacao 2'!$C$7:$C$93</definedName>
    <definedName name="DadosExternos_158" localSheetId="1">Cotacao!$C$7:$C$94</definedName>
    <definedName name="DadosExternos_158" localSheetId="2">'Cotacao 2'!$C$7:$C$94</definedName>
    <definedName name="DadosExternos_159" localSheetId="1">Cotacao!$C$7:$C$94</definedName>
    <definedName name="DadosExternos_159" localSheetId="2">'Cotacao 2'!$C$7:$C$94</definedName>
    <definedName name="DadosExternos_16" localSheetId="1">Cotacao!$C$7:$C$63</definedName>
    <definedName name="DadosExternos_16" localSheetId="2">'Cotacao 2'!$C$7:$C$63</definedName>
    <definedName name="DadosExternos_160" localSheetId="1">Cotacao!$C$7:$C$95</definedName>
    <definedName name="DadosExternos_160" localSheetId="2">'Cotacao 2'!$C$7:$C$95</definedName>
    <definedName name="DadosExternos_161" localSheetId="1">Cotacao!$C$7:$C$94</definedName>
    <definedName name="DadosExternos_161" localSheetId="2">'Cotacao 2'!$C$7:$C$94</definedName>
    <definedName name="DadosExternos_162" localSheetId="1">Cotacao!$C$7:$C$97</definedName>
    <definedName name="DadosExternos_162" localSheetId="2">'Cotacao 2'!$C$7:$C$97</definedName>
    <definedName name="DadosExternos_163" localSheetId="1">Cotacao!$C$7:$C$96</definedName>
    <definedName name="DadosExternos_163" localSheetId="2">'Cotacao 2'!$C$7:$C$96</definedName>
    <definedName name="DadosExternos_164" localSheetId="1">Cotacao!$C$7:$C$95</definedName>
    <definedName name="DadosExternos_164" localSheetId="2">'Cotacao 2'!$C$7:$C$95</definedName>
    <definedName name="DadosExternos_165" localSheetId="1">Cotacao!$C$7:$C$97</definedName>
    <definedName name="DadosExternos_165" localSheetId="2">'Cotacao 2'!$C$7:$C$97</definedName>
    <definedName name="DadosExternos_166" localSheetId="1">Cotacao!$C$7:$C$104</definedName>
    <definedName name="DadosExternos_166" localSheetId="2">'Cotacao 2'!$C$7:$C$104</definedName>
    <definedName name="DadosExternos_167" localSheetId="1">Cotacao!$C$7:$C$106</definedName>
    <definedName name="DadosExternos_167" localSheetId="2">'Cotacao 2'!$C$7:$C$106</definedName>
    <definedName name="DadosExternos_168" localSheetId="1">Cotacao!$C$7:$C$108</definedName>
    <definedName name="DadosExternos_168" localSheetId="2">'Cotacao 2'!$C$7:$C$108</definedName>
    <definedName name="DadosExternos_169" localSheetId="1">Cotacao!$C$7:$C$110</definedName>
    <definedName name="DadosExternos_169" localSheetId="2">'Cotacao 2'!$C$7:$C$110</definedName>
    <definedName name="DadosExternos_17" localSheetId="1">Cotacao!$C$7:$C$63</definedName>
    <definedName name="DadosExternos_17" localSheetId="2">'Cotacao 2'!$C$7:$C$63</definedName>
    <definedName name="DadosExternos_170" localSheetId="1">Cotacao!$C$7:$C$109</definedName>
    <definedName name="DadosExternos_170" localSheetId="2">'Cotacao 2'!$C$7:$C$109</definedName>
    <definedName name="DadosExternos_171" localSheetId="1">Cotacao!$C$7:$C$110</definedName>
    <definedName name="DadosExternos_171" localSheetId="2">'Cotacao 2'!$C$7:$C$110</definedName>
    <definedName name="DadosExternos_172" localSheetId="1">Cotacao!$C$7:$C$110</definedName>
    <definedName name="DadosExternos_172" localSheetId="2">'Cotacao 2'!$C$7:$C$110</definedName>
    <definedName name="DadosExternos_173" localSheetId="1">Cotacao!$C$7:$C$112</definedName>
    <definedName name="DadosExternos_173" localSheetId="2">'Cotacao 2'!$C$7:$C$112</definedName>
    <definedName name="DadosExternos_174" localSheetId="1">Cotacao!$C$7:$C$112</definedName>
    <definedName name="DadosExternos_174" localSheetId="2">'Cotacao 2'!$C$7:$C$112</definedName>
    <definedName name="DadosExternos_175" localSheetId="1">Cotacao!$C$7:$C$112</definedName>
    <definedName name="DadosExternos_175" localSheetId="2">'Cotacao 2'!$C$7:$C$112</definedName>
    <definedName name="DadosExternos_176" localSheetId="1">Cotacao!$C$7:$C$112</definedName>
    <definedName name="DadosExternos_176" localSheetId="2">'Cotacao 2'!$C$7:$C$112</definedName>
    <definedName name="DadosExternos_177" localSheetId="1">Cotacao!$C$7:$C$112</definedName>
    <definedName name="DadosExternos_177" localSheetId="2">'Cotacao 2'!$C$7:$C$112</definedName>
    <definedName name="DadosExternos_178" localSheetId="1">Cotacao!$C$7:$C$112</definedName>
    <definedName name="DadosExternos_178" localSheetId="2">'Cotacao 2'!$C$7:$C$112</definedName>
    <definedName name="DadosExternos_179" localSheetId="1">Cotacao!$C$7:$C$112</definedName>
    <definedName name="DadosExternos_179" localSheetId="2">'Cotacao 2'!$C$7:$C$112</definedName>
    <definedName name="DadosExternos_18" localSheetId="1">Cotacao!$C$7:$C$64</definedName>
    <definedName name="DadosExternos_18" localSheetId="2">'Cotacao 2'!$C$7:$C$64</definedName>
    <definedName name="DadosExternos_180" localSheetId="1">Cotacao!$C$7:$C$112</definedName>
    <definedName name="DadosExternos_180" localSheetId="2">'Cotacao 2'!$C$7:$C$112</definedName>
    <definedName name="DadosExternos_181" localSheetId="1">Cotacao!$C$7:$C$112</definedName>
    <definedName name="DadosExternos_181" localSheetId="2">'Cotacao 2'!$C$7:$C$112</definedName>
    <definedName name="DadosExternos_182" localSheetId="1">Cotacao!$C$7:$C$112</definedName>
    <definedName name="DadosExternos_182" localSheetId="2">'Cotacao 2'!$C$7:$C$112</definedName>
    <definedName name="DadosExternos_183" localSheetId="1">Cotacao!$C$7:$C$112</definedName>
    <definedName name="DadosExternos_183" localSheetId="2">'Cotacao 2'!$C$7:$C$112</definedName>
    <definedName name="DadosExternos_184" localSheetId="1">Cotacao!$C$7:$C$112</definedName>
    <definedName name="DadosExternos_184" localSheetId="2">'Cotacao 2'!$C$7:$C$8</definedName>
    <definedName name="DadosExternos_185" localSheetId="1">Cotacao!$C$7:$C$112</definedName>
    <definedName name="DadosExternos_185" localSheetId="2">'Cotacao 2'!$C$7:$C$8</definedName>
    <definedName name="DadosExternos_186" localSheetId="1">Cotacao!$C$7:$C$112</definedName>
    <definedName name="DadosExternos_186" localSheetId="2">'Cotacao 2'!$C$7:$C$9</definedName>
    <definedName name="DadosExternos_187" localSheetId="1">Cotacao!$C$7:$C$112</definedName>
    <definedName name="DadosExternos_187" localSheetId="2">'Cotacao 2'!$C$7:$C$10</definedName>
    <definedName name="DadosExternos_188" localSheetId="1">Cotacao!$C$7:$C$112</definedName>
    <definedName name="DadosExternos_188" localSheetId="2">'Cotacao 2'!$C$7:$C$13</definedName>
    <definedName name="DadosExternos_189" localSheetId="1">Cotacao!$C$7:$C$112</definedName>
    <definedName name="DadosExternos_189" localSheetId="2">'Cotacao 2'!$C$7:$C$11</definedName>
    <definedName name="DadosExternos_190" localSheetId="1">Cotacao!$C$7:$C$112</definedName>
    <definedName name="DadosExternos_190" localSheetId="2">'Cotacao 2'!$C$7:$C$13</definedName>
    <definedName name="DadosExternos_191" localSheetId="1">Cotacao!$C$7:$C$112</definedName>
    <definedName name="DadosExternos_191" localSheetId="2">'Cotacao 2'!$C$7:$C$14</definedName>
    <definedName name="DadosExternos_192" localSheetId="1">Cotacao!$C$7:$C$112</definedName>
    <definedName name="DadosExternos_192" localSheetId="2">'Cotacao 2'!$C$7:$C$16</definedName>
    <definedName name="DadosExternos_193" localSheetId="1">Cotacao!$C$7:$C$112</definedName>
    <definedName name="DadosExternos_193" localSheetId="2">'Cotacao 2'!$C$7:$C$16</definedName>
    <definedName name="DadosExternos_194" localSheetId="1">Cotacao!$C$7:$C$112</definedName>
    <definedName name="DadosExternos_194" localSheetId="2">'Cotacao 2'!$C$7:$C$17</definedName>
    <definedName name="DadosExternos_195" localSheetId="1">Cotacao!$C$7:$C$112</definedName>
    <definedName name="DadosExternos_195" localSheetId="2">'Cotacao 2'!$C$7:$C$19</definedName>
    <definedName name="DadosExternos_196" localSheetId="1">Cotacao!$C$7:$C$112</definedName>
    <definedName name="DadosExternos_196" localSheetId="2">'Cotacao 2'!$C$7:$C$22</definedName>
    <definedName name="DadosExternos_197" localSheetId="1">Cotacao!$C$7:$C$112</definedName>
    <definedName name="DadosExternos_197" localSheetId="2">'Cotacao 2'!$C$7:$C$41</definedName>
    <definedName name="DadosExternos_198" localSheetId="1">Cotacao!$C$7:$C$112</definedName>
    <definedName name="DadosExternos_198" localSheetId="2">'Cotacao 2'!$C$7:$C$41</definedName>
    <definedName name="DadosExternos_199" localSheetId="2">'Cotacao 2'!$C$7:$C$41</definedName>
    <definedName name="DadosExternos_2" localSheetId="1">Cotacao!$C$7:$C$63</definedName>
    <definedName name="DadosExternos_2" localSheetId="2">'Cotacao 2'!$C$7:$C$63</definedName>
    <definedName name="DadosExternos_20" localSheetId="1">Cotacao!$C$7:$C$64</definedName>
    <definedName name="DadosExternos_20" localSheetId="2">'Cotacao 2'!$C$7:$C$64</definedName>
    <definedName name="DadosExternos_200" localSheetId="1">Cotacao!$C$7:$C$112</definedName>
    <definedName name="DadosExternos_200" localSheetId="2">'Cotacao 2'!$C$7:$C$41</definedName>
    <definedName name="DadosExternos_201" localSheetId="2">'Cotacao 2'!$C$7:$C$41</definedName>
    <definedName name="DadosExternos_202" localSheetId="2">'Cotacao 2'!$C$7:$C$41</definedName>
    <definedName name="DadosExternos_203" localSheetId="2">'Cotacao 2'!$C$7:$C$41</definedName>
    <definedName name="DadosExternos_204" localSheetId="2">'Cotacao 2'!$C$7:$C$41</definedName>
    <definedName name="DadosExternos_205" localSheetId="2">'Cotacao 2'!$C$7:$C$41</definedName>
    <definedName name="DadosExternos_206" localSheetId="2">'Cotacao 2'!$C$7:$C$43</definedName>
    <definedName name="DadosExternos_207" localSheetId="2">'Cotacao 2'!$C$7:$C$43</definedName>
    <definedName name="DadosExternos_208" localSheetId="2">'Cotacao 2'!$C$7:$C$43</definedName>
    <definedName name="DadosExternos_209" localSheetId="2">'Cotacao 2'!$C$7:$C$44</definedName>
    <definedName name="DadosExternos_21" localSheetId="1">Cotacao!$C$7:$C$63</definedName>
    <definedName name="DadosExternos_21" localSheetId="2">'Cotacao 2'!$C$7:$C$63</definedName>
    <definedName name="DadosExternos_210" localSheetId="2">'Cotacao 2'!$C$7:$C$45</definedName>
    <definedName name="DadosExternos_211" localSheetId="2">'Cotacao 2'!$C$7:$C$46</definedName>
    <definedName name="DadosExternos_212" localSheetId="2">'Cotacao 2'!$C$7:$C$47</definedName>
    <definedName name="DadosExternos_213" localSheetId="2">'Cotacao 2'!$C$7:$C$48</definedName>
    <definedName name="DadosExternos_214" localSheetId="2">'Cotacao 2'!$C$7:$C$49</definedName>
    <definedName name="DadosExternos_215" localSheetId="2">'Cotacao 2'!$C$7:$C$50</definedName>
    <definedName name="DadosExternos_216" localSheetId="2">'Cotacao 2'!$C$7:$C$51</definedName>
    <definedName name="DadosExternos_217" localSheetId="2">'Cotacao 2'!$C$7:$C$51</definedName>
    <definedName name="DadosExternos_219" localSheetId="2">'Cotacao 2'!$C$7:$C$51</definedName>
    <definedName name="DadosExternos_220" localSheetId="2">'Cotacao 2'!$C$7:$C$51</definedName>
    <definedName name="DadosExternos_221" localSheetId="2">'Cotacao 2'!$C$7:$C$51</definedName>
    <definedName name="DadosExternos_222" localSheetId="2">'Cotacao 2'!$C$7:$C$52</definedName>
    <definedName name="DadosExternos_223" localSheetId="2">'Cotacao 2'!$C$7:$C$53</definedName>
    <definedName name="DadosExternos_224" localSheetId="2">'Cotacao 2'!$C$7:$C$54</definedName>
    <definedName name="DadosExternos_225" localSheetId="2">'Cotacao 2'!$C$7:$C$55</definedName>
    <definedName name="DadosExternos_227" localSheetId="2">'Cotacao 2'!$C$7:$C$56</definedName>
    <definedName name="DadosExternos_228" localSheetId="2">'Cotacao 2'!$C$7:$C$57</definedName>
    <definedName name="DadosExternos_229" localSheetId="2">'Cotacao 2'!$C$7:$C$58</definedName>
    <definedName name="DadosExternos_230" localSheetId="2">'Cotacao 2'!$C$7:$C$59</definedName>
    <definedName name="DadosExternos_233" localSheetId="2">'Cotacao 2'!$C$7:$C$61</definedName>
    <definedName name="DadosExternos_234" localSheetId="2">'Cotacao 2'!$C$7:$C$63</definedName>
    <definedName name="DadosExternos_235" localSheetId="2">'Cotacao 2'!$C$7:$C$64</definedName>
    <definedName name="DadosExternos_237" localSheetId="2">'Cotacao 2'!$C$7:$C$65</definedName>
    <definedName name="DadosExternos_238" localSheetId="2">'Cotacao 2'!$C$7:$C$66</definedName>
    <definedName name="DadosExternos_239" localSheetId="2">'Cotacao 2'!$C$7:$C$68</definedName>
    <definedName name="DadosExternos_24" localSheetId="1">Cotacao!$C$7:$C$63</definedName>
    <definedName name="DadosExternos_24" localSheetId="2">'Cotacao 2'!$C$7:$C$63</definedName>
    <definedName name="DadosExternos_240" localSheetId="2">'Cotacao 2'!$C$7:$C$68</definedName>
    <definedName name="DadosExternos_26" localSheetId="1">Cotacao!$C$7:$C$64</definedName>
    <definedName name="DadosExternos_26" localSheetId="2">'Cotacao 2'!$C$7:$C$64</definedName>
    <definedName name="DadosExternos_27" localSheetId="1">Cotacao!$C$7:$C$65</definedName>
    <definedName name="DadosExternos_27" localSheetId="2">'Cotacao 2'!$C$7:$C$65</definedName>
    <definedName name="DadosExternos_28" localSheetId="1">Cotacao!$C$7:$C$65</definedName>
    <definedName name="DadosExternos_28" localSheetId="2">'Cotacao 2'!$C$7:$C$65</definedName>
    <definedName name="DadosExternos_29" localSheetId="1">Cotacao!$C$7:$C$65</definedName>
    <definedName name="DadosExternos_29" localSheetId="2">'Cotacao 2'!$C$7:$C$65</definedName>
    <definedName name="DadosExternos_3" localSheetId="1">Cotacao!$C$7:$C$63</definedName>
    <definedName name="DadosExternos_3" localSheetId="2">'Cotacao 2'!$C$7:$C$63</definedName>
    <definedName name="DadosExternos_30" localSheetId="1">Cotacao!$C$7:$C$65</definedName>
    <definedName name="DadosExternos_30" localSheetId="2">'Cotacao 2'!$C$7:$C$65</definedName>
    <definedName name="DadosExternos_31" localSheetId="1">Cotacao!$C$7:$C$65</definedName>
    <definedName name="DadosExternos_31" localSheetId="2">'Cotacao 2'!$C$7:$C$65</definedName>
    <definedName name="DadosExternos_32" localSheetId="1">Cotacao!$C$7:$C$65</definedName>
    <definedName name="DadosExternos_32" localSheetId="2">'Cotacao 2'!$C$7:$C$65</definedName>
    <definedName name="DadosExternos_33" localSheetId="1">Cotacao!$C$7:$C$65</definedName>
    <definedName name="DadosExternos_33" localSheetId="2">'Cotacao 2'!$C$7:$C$65</definedName>
    <definedName name="DadosExternos_34" localSheetId="1">Cotacao!$C$7:$C$65</definedName>
    <definedName name="DadosExternos_34" localSheetId="2">'Cotacao 2'!$C$7:$C$65</definedName>
    <definedName name="DadosExternos_35" localSheetId="1">Cotacao!$C$7:$C$66</definedName>
    <definedName name="DadosExternos_35" localSheetId="2">'Cotacao 2'!$C$7:$C$66</definedName>
    <definedName name="DadosExternos_36" localSheetId="1">Cotacao!$C$7:$C$67</definedName>
    <definedName name="DadosExternos_36" localSheetId="2">'Cotacao 2'!$C$7:$C$67</definedName>
    <definedName name="DadosExternos_37" localSheetId="1">Cotacao!$C$7:$C$68</definedName>
    <definedName name="DadosExternos_37" localSheetId="2">'Cotacao 2'!$C$7:$C$68</definedName>
    <definedName name="DadosExternos_38" localSheetId="1">Cotacao!$C$7:$C$69</definedName>
    <definedName name="DadosExternos_38" localSheetId="2">'Cotacao 2'!$C$7:$C$69</definedName>
    <definedName name="DadosExternos_39" localSheetId="1">Cotacao!$C$7:$C$70</definedName>
    <definedName name="DadosExternos_39" localSheetId="2">'Cotacao 2'!$C$7:$C$70</definedName>
    <definedName name="DadosExternos_4" localSheetId="1">Cotacao!$C$7:$C$63</definedName>
    <definedName name="DadosExternos_4" localSheetId="2">'Cotacao 2'!$C$7:$C$63</definedName>
    <definedName name="DadosExternos_40" localSheetId="1">Cotacao!$C$7:$C$71</definedName>
    <definedName name="DadosExternos_40" localSheetId="2">'Cotacao 2'!$C$7:$C$71</definedName>
    <definedName name="DadosExternos_41" localSheetId="1">Cotacao!$C$7:$C$72</definedName>
    <definedName name="DadosExternos_41" localSheetId="2">'Cotacao 2'!$C$7:$C$72</definedName>
    <definedName name="DadosExternos_42" localSheetId="1">Cotacao!$C$7:$C$73</definedName>
    <definedName name="DadosExternos_42" localSheetId="2">'Cotacao 2'!$C$7:$C$73</definedName>
    <definedName name="DadosExternos_43" localSheetId="1">Cotacao!$C$7:$C$74</definedName>
    <definedName name="DadosExternos_43" localSheetId="2">'Cotacao 2'!$C$7:$C$74</definedName>
    <definedName name="DadosExternos_44" localSheetId="1">Cotacao!$C$7:$C$75</definedName>
    <definedName name="DadosExternos_44" localSheetId="2">'Cotacao 2'!$C$7:$C$75</definedName>
    <definedName name="DadosExternos_45" localSheetId="1">Cotacao!$C$7:$C$76</definedName>
    <definedName name="DadosExternos_45" localSheetId="2">'Cotacao 2'!$C$7:$C$76</definedName>
    <definedName name="DadosExternos_46" localSheetId="1">Cotacao!$C$7:$C$77</definedName>
    <definedName name="DadosExternos_46" localSheetId="2">'Cotacao 2'!$C$7:$C$77</definedName>
    <definedName name="DadosExternos_47" localSheetId="1">Cotacao!$C$7:$C$78</definedName>
    <definedName name="DadosExternos_47" localSheetId="2">'Cotacao 2'!$C$7:$C$78</definedName>
    <definedName name="DadosExternos_48" localSheetId="1">Cotacao!$C$7:$C$79</definedName>
    <definedName name="DadosExternos_48" localSheetId="2">'Cotacao 2'!$C$7:$C$79</definedName>
    <definedName name="DadosExternos_49" localSheetId="1">Cotacao!$C$7:$C$80</definedName>
    <definedName name="DadosExternos_49" localSheetId="2">'Cotacao 2'!$C$7:$C$80</definedName>
    <definedName name="DadosExternos_50" localSheetId="1">Cotacao!$C$7:$C$81</definedName>
    <definedName name="DadosExternos_50" localSheetId="2">'Cotacao 2'!$C$7:$C$81</definedName>
    <definedName name="DadosExternos_51" localSheetId="1">Cotacao!$C$7:$C$82</definedName>
    <definedName name="DadosExternos_51" localSheetId="2">'Cotacao 2'!$C$7:$C$82</definedName>
    <definedName name="DadosExternos_52" localSheetId="1">Cotacao!$C$7:$C$83</definedName>
    <definedName name="DadosExternos_52" localSheetId="2">'Cotacao 2'!$C$7:$C$83</definedName>
    <definedName name="DadosExternos_53" localSheetId="1">Cotacao!$C$7:$C$84</definedName>
    <definedName name="DadosExternos_53" localSheetId="2">'Cotacao 2'!$C$7:$C$84</definedName>
    <definedName name="DadosExternos_54" localSheetId="1">Cotacao!$C$7:$C$96</definedName>
    <definedName name="DadosExternos_54" localSheetId="2">'Cotacao 2'!$C$7:$C$96</definedName>
    <definedName name="DadosExternos_55" localSheetId="1">Cotacao!$C$7:$C$96</definedName>
    <definedName name="DadosExternos_55" localSheetId="2">'Cotacao 2'!$C$7:$C$96</definedName>
    <definedName name="DadosExternos_56" localSheetId="1">Cotacao!$C$7:$C$96</definedName>
    <definedName name="DadosExternos_56" localSheetId="2">'Cotacao 2'!$C$7:$C$96</definedName>
    <definedName name="DadosExternos_57" localSheetId="1">Cotacao!$C$7:$C$96</definedName>
    <definedName name="DadosExternos_57" localSheetId="2">'Cotacao 2'!$C$7:$C$96</definedName>
    <definedName name="DadosExternos_58" localSheetId="1">Cotacao!$C$7:$C$96</definedName>
    <definedName name="DadosExternos_58" localSheetId="2">'Cotacao 2'!$C$7:$C$96</definedName>
    <definedName name="DadosExternos_59" localSheetId="1">Cotacao!$C$7:$C$96</definedName>
    <definedName name="DadosExternos_59" localSheetId="2">'Cotacao 2'!$C$7:$C$96</definedName>
    <definedName name="DadosExternos_6" localSheetId="1">Cotacao!$C$7:$C$63</definedName>
    <definedName name="DadosExternos_6" localSheetId="2">'Cotacao 2'!$C$7:$C$63</definedName>
    <definedName name="DadosExternos_60" localSheetId="1">Cotacao!$C$7:$C$97</definedName>
    <definedName name="DadosExternos_60" localSheetId="2">'Cotacao 2'!$C$7:$C$97</definedName>
    <definedName name="DadosExternos_61" localSheetId="1">Cotacao!$C$7:$C$97</definedName>
    <definedName name="DadosExternos_61" localSheetId="2">'Cotacao 2'!$C$7:$C$97</definedName>
    <definedName name="DadosExternos_62" localSheetId="1">Cotacao!$C$7:$C$103</definedName>
    <definedName name="DadosExternos_62" localSheetId="2">'Cotacao 2'!$C$7:$C$103</definedName>
    <definedName name="DadosExternos_63" localSheetId="1">Cotacao!$C$7:$C$106</definedName>
    <definedName name="DadosExternos_63" localSheetId="2">'Cotacao 2'!$C$7:$C$106</definedName>
    <definedName name="DadosExternos_64" localSheetId="1">Cotacao!$C$7:$C$106</definedName>
    <definedName name="DadosExternos_64" localSheetId="2">'Cotacao 2'!$C$7:$C$106</definedName>
    <definedName name="DadosExternos_65" localSheetId="1">Cotacao!$C$7:$C$109</definedName>
    <definedName name="DadosExternos_65" localSheetId="2">'Cotacao 2'!$C$7:$C$109</definedName>
    <definedName name="DadosExternos_66" localSheetId="1">Cotacao!$C$7:$C$111</definedName>
    <definedName name="DadosExternos_66" localSheetId="2">'Cotacao 2'!$C$7:$C$111</definedName>
    <definedName name="DadosExternos_67" localSheetId="1">Cotacao!$C$7:$C$112</definedName>
    <definedName name="DadosExternos_67" localSheetId="2">'Cotacao 2'!$C$7:$C$112</definedName>
    <definedName name="DadosExternos_68" localSheetId="1">Cotacao!$C$7:$C$110</definedName>
    <definedName name="DadosExternos_68" localSheetId="2">'Cotacao 2'!$C$7:$C$110</definedName>
    <definedName name="DadosExternos_69" localSheetId="1">Cotacao!$C$7:$C$110</definedName>
    <definedName name="DadosExternos_69" localSheetId="2">'Cotacao 2'!$C$7:$C$110</definedName>
    <definedName name="DadosExternos_7" localSheetId="1">Cotacao!$C$7:$C$63</definedName>
    <definedName name="DadosExternos_7" localSheetId="2">'Cotacao 2'!$C$7:$C$63</definedName>
    <definedName name="DadosExternos_70" localSheetId="1">Cotacao!$C$7:$C$110</definedName>
    <definedName name="DadosExternos_70" localSheetId="2">'Cotacao 2'!$C$7:$C$110</definedName>
    <definedName name="DadosExternos_71" localSheetId="1">Cotacao!$C$7:$C$110</definedName>
    <definedName name="DadosExternos_71" localSheetId="2">'Cotacao 2'!$C$7:$C$110</definedName>
    <definedName name="DadosExternos_72" localSheetId="1">Cotacao!$C$7:$C$112</definedName>
    <definedName name="DadosExternos_72" localSheetId="2">'Cotacao 2'!$C$7:$C$112</definedName>
    <definedName name="DadosExternos_73" localSheetId="1">Cotacao!$C$7:$C$114</definedName>
    <definedName name="DadosExternos_73" localSheetId="2">'Cotacao 2'!$C$7:$C$114</definedName>
    <definedName name="DadosExternos_8" localSheetId="1">Cotacao!$C$7:$C$63</definedName>
    <definedName name="DadosExternos_8" localSheetId="2">'Cotacao 2'!$C$7:$C$63</definedName>
    <definedName name="DadosExternos_9" localSheetId="1">Cotacao!$C$7:$C$63</definedName>
    <definedName name="DadosExternos_9" localSheetId="2">'Cotacao 2'!$C$7:$C$63</definedName>
    <definedName name="DadosExternos_90" localSheetId="1">Cotacao!$C$7:$C$114</definedName>
    <definedName name="DadosExternos_90" localSheetId="2">'Cotacao 2'!$C$7:$C$114</definedName>
    <definedName name="DadosExternos_96" localSheetId="1">Cotacao!$C$7:$C$114</definedName>
    <definedName name="DadosExternos_96" localSheetId="2">'Cotacao 2'!$C$7:$C$114</definedName>
    <definedName name="DadosExternos_97" localSheetId="1">Cotacao!$C$7:$C$114</definedName>
    <definedName name="DadosExternos_97" localSheetId="2">'Cotacao 2'!$C$7:$C$114</definedName>
    <definedName name="DadosExternos_98" localSheetId="1">Cotacao!$C$7:$C$114</definedName>
    <definedName name="DadosExternos_98" localSheetId="2">'Cotacao 2'!$C$7:$C$114</definedName>
    <definedName name="ExternalData_1" localSheetId="1">Cotacao!$C$7:$C$64</definedName>
    <definedName name="ExternalData_1" localSheetId="2">'Cotacao 2'!$C$7:$C$64</definedName>
    <definedName name="ExternalData_10" localSheetId="1">Cotacao!$C$7:$C$93</definedName>
    <definedName name="ExternalData_10" localSheetId="2">'Cotacao 2'!$C$7:$C$93</definedName>
    <definedName name="ExternalData_11" localSheetId="1">Cotacao!$C$7:$C$94</definedName>
    <definedName name="ExternalData_11" localSheetId="2">'Cotacao 2'!$C$7:$C$94</definedName>
    <definedName name="ExternalData_12" localSheetId="1">Cotacao!$C$7:$C$95</definedName>
    <definedName name="ExternalData_12" localSheetId="2">'Cotacao 2'!$C$7:$C$95</definedName>
    <definedName name="ExternalData_13" localSheetId="1">Cotacao!$C$7:$C$96</definedName>
    <definedName name="ExternalData_13" localSheetId="2">'Cotacao 2'!$C$7:$C$96</definedName>
    <definedName name="ExternalData_14" localSheetId="1">Cotacao!$C$7:$C$98</definedName>
    <definedName name="ExternalData_14" localSheetId="2">'Cotacao 2'!$C$7:$C$98</definedName>
    <definedName name="ExternalData_15" localSheetId="1">Cotacao!$C$7:$C$100</definedName>
    <definedName name="ExternalData_15" localSheetId="2">'Cotacao 2'!$C$7:$C$100</definedName>
    <definedName name="ExternalData_16" localSheetId="1">Cotacao!$C$7:$C$101</definedName>
    <definedName name="ExternalData_16" localSheetId="2">'Cotacao 2'!$C$7:$C$101</definedName>
    <definedName name="ExternalData_17" localSheetId="1">Cotacao!$C$7:$C$110</definedName>
    <definedName name="ExternalData_17" localSheetId="2">'Cotacao 2'!$C$7:$C$110</definedName>
    <definedName name="ExternalData_18" localSheetId="1">Cotacao!$C$7:$C$111</definedName>
    <definedName name="ExternalData_18" localSheetId="2">'Cotacao 2'!$C$7:$C$111</definedName>
    <definedName name="ExternalData_19" localSheetId="1">Cotacao!$C$7:$C$113</definedName>
    <definedName name="ExternalData_19" localSheetId="2">'Cotacao 2'!$C$7:$C$113</definedName>
    <definedName name="ExternalData_2" localSheetId="1">Cotacao!$C$7:$C$85</definedName>
    <definedName name="ExternalData_2" localSheetId="2">'Cotacao 2'!$C$7:$C$85</definedName>
    <definedName name="ExternalData_20" localSheetId="1">Cotacao!$C$7:$C$111</definedName>
    <definedName name="ExternalData_20" localSheetId="2">'Cotacao 2'!$C$7:$C$111</definedName>
    <definedName name="ExternalData_21" localSheetId="1">Cotacao!$C$7:$C$112</definedName>
    <definedName name="ExternalData_21" localSheetId="2">'Cotacao 2'!$C$7:$C$112</definedName>
    <definedName name="ExternalData_22" localSheetId="2">'Cotacao 2'!$C$7:$C$23</definedName>
    <definedName name="ExternalData_23" localSheetId="2">'Cotacao 2'!$C$7:$C$23</definedName>
    <definedName name="ExternalData_24" localSheetId="2">'Cotacao 2'!$C$7:$C$24</definedName>
    <definedName name="ExternalData_25" localSheetId="2">'Cotacao 2'!$C$7:$C$26</definedName>
    <definedName name="ExternalData_26" localSheetId="2">'Cotacao 2'!$C$7:$C$27</definedName>
    <definedName name="ExternalData_27" localSheetId="2">'Cotacao 2'!$C$7:$C$29</definedName>
    <definedName name="ExternalData_28" localSheetId="2">'Cotacao 2'!$C$7:$C$28</definedName>
    <definedName name="ExternalData_29" localSheetId="2">'Cotacao 2'!$C$7:$C$28</definedName>
    <definedName name="ExternalData_3" localSheetId="1">Cotacao!$C$7:$C$86</definedName>
    <definedName name="ExternalData_3" localSheetId="2">'Cotacao 2'!$C$7:$C$86</definedName>
    <definedName name="ExternalData_30" localSheetId="2">'Cotacao 2'!$C$7:$C$29</definedName>
    <definedName name="ExternalData_31" localSheetId="2">'Cotacao 2'!$C$7:$C$30</definedName>
    <definedName name="ExternalData_32" localSheetId="2">'Cotacao 2'!$C$7:$C$32</definedName>
    <definedName name="ExternalData_33" localSheetId="2">'Cotacao 2'!$C$7:$C$32</definedName>
    <definedName name="ExternalData_34" localSheetId="2">'Cotacao 2'!$C$7:$C$34</definedName>
    <definedName name="ExternalData_35" localSheetId="2">'Cotacao 2'!$C$7:$C$36</definedName>
    <definedName name="ExternalData_36" localSheetId="2">'Cotacao 2'!$C$7:$C$39</definedName>
    <definedName name="ExternalData_37" localSheetId="2">'Cotacao 2'!$C$7:$C$38</definedName>
    <definedName name="ExternalData_38" localSheetId="2">'Cotacao 2'!$C$7:$C$39</definedName>
    <definedName name="ExternalData_39" localSheetId="2">'Cotacao 2'!$C$7:$C$40</definedName>
    <definedName name="ExternalData_4" localSheetId="1">Cotacao!$C$7:$C$87</definedName>
    <definedName name="ExternalData_4" localSheetId="2">'Cotacao 2'!$C$7:$C$87</definedName>
    <definedName name="ExternalData_40" localSheetId="2">'Cotacao 2'!$C$7:$C$41</definedName>
    <definedName name="ExternalData_5" localSheetId="1">Cotacao!$C$7:$C$88</definedName>
    <definedName name="ExternalData_5" localSheetId="2">'Cotacao 2'!$C$7:$C$88</definedName>
    <definedName name="ExternalData_6" localSheetId="1">Cotacao!$C$7:$C$89</definedName>
    <definedName name="ExternalData_6" localSheetId="2">'Cotacao 2'!$C$7:$C$89</definedName>
    <definedName name="ExternalData_7" localSheetId="1">Cotacao!$C$7:$C$90</definedName>
    <definedName name="ExternalData_7" localSheetId="2">'Cotacao 2'!$C$7:$C$90</definedName>
    <definedName name="ExternalData_8" localSheetId="1">Cotacao!$C$7:$C$91</definedName>
    <definedName name="ExternalData_8" localSheetId="2">'Cotacao 2'!$C$7:$C$91</definedName>
    <definedName name="ExternalData_9" localSheetId="1">Cotacao!$C$7:$C$92</definedName>
    <definedName name="ExternalData_9" localSheetId="2">'Cotacao 2'!$C$7:$C$92</definedName>
  </definedNames>
  <calcPr calcId="124519"/>
  <pivotCaches>
    <pivotCache cacheId="108" r:id="rId8"/>
  </pivotCaches>
</workbook>
</file>

<file path=xl/calcChain.xml><?xml version="1.0" encoding="utf-8"?>
<calcChain xmlns="http://schemas.openxmlformats.org/spreadsheetml/2006/main">
  <c r="D579" i="12"/>
  <c r="E579"/>
  <c r="G579"/>
  <c r="D578"/>
  <c r="E578"/>
  <c r="G578"/>
  <c r="D577"/>
  <c r="E577"/>
  <c r="G577"/>
  <c r="D576"/>
  <c r="E576"/>
  <c r="G576"/>
  <c r="D575"/>
  <c r="E575"/>
  <c r="G575"/>
  <c r="D574"/>
  <c r="E574"/>
  <c r="G574"/>
  <c r="D573"/>
  <c r="E573"/>
  <c r="G573"/>
  <c r="G95" i="1"/>
  <c r="H95"/>
  <c r="J95"/>
  <c r="G105"/>
  <c r="H105"/>
  <c r="J105"/>
  <c r="N573" i="12"/>
  <c r="D572"/>
  <c r="E572"/>
  <c r="G572"/>
  <c r="D571"/>
  <c r="E571"/>
  <c r="G571"/>
  <c r="D570"/>
  <c r="E570"/>
  <c r="G570"/>
  <c r="G69" i="1"/>
  <c r="H69"/>
  <c r="J69"/>
  <c r="D569" i="12"/>
  <c r="E569"/>
  <c r="G569"/>
  <c r="D568"/>
  <c r="E568"/>
  <c r="G568"/>
  <c r="D567"/>
  <c r="E567"/>
  <c r="G567"/>
  <c r="G42" i="1"/>
  <c r="H42"/>
  <c r="J42"/>
  <c r="D566" i="12"/>
  <c r="E566"/>
  <c r="G566"/>
  <c r="D565"/>
  <c r="E565"/>
  <c r="G565"/>
  <c r="D564"/>
  <c r="E564"/>
  <c r="G564"/>
  <c r="G89" i="1"/>
  <c r="H89"/>
  <c r="J89"/>
  <c r="D243" i="12"/>
  <c r="E243"/>
  <c r="G243"/>
  <c r="D239"/>
  <c r="E239"/>
  <c r="G239"/>
  <c r="D238"/>
  <c r="D242"/>
  <c r="E238"/>
  <c r="E242"/>
  <c r="G238"/>
  <c r="G242"/>
  <c r="D237"/>
  <c r="D241"/>
  <c r="E237"/>
  <c r="E241"/>
  <c r="G237"/>
  <c r="G241"/>
  <c r="D240"/>
  <c r="E240"/>
  <c r="G240"/>
  <c r="D236"/>
  <c r="E236"/>
  <c r="G236"/>
  <c r="G84" i="1"/>
  <c r="H84"/>
  <c r="J84"/>
  <c r="G108"/>
  <c r="H108"/>
  <c r="J108"/>
  <c r="D414" i="12"/>
  <c r="D417"/>
  <c r="E414"/>
  <c r="E417"/>
  <c r="G414"/>
  <c r="G417"/>
  <c r="D413"/>
  <c r="D416"/>
  <c r="E413"/>
  <c r="E416"/>
  <c r="G413"/>
  <c r="G416"/>
  <c r="D415"/>
  <c r="E415"/>
  <c r="G415"/>
  <c r="D412"/>
  <c r="E412"/>
  <c r="G412"/>
  <c r="D499"/>
  <c r="E499"/>
  <c r="G499"/>
  <c r="D498"/>
  <c r="E498"/>
  <c r="G498"/>
  <c r="I498"/>
  <c r="D497"/>
  <c r="E497"/>
  <c r="G497"/>
  <c r="D509"/>
  <c r="E509"/>
  <c r="G509"/>
  <c r="D508"/>
  <c r="E508"/>
  <c r="G508"/>
  <c r="D507"/>
  <c r="E507"/>
  <c r="G507"/>
  <c r="D425"/>
  <c r="E425"/>
  <c r="G425"/>
  <c r="D424"/>
  <c r="E424"/>
  <c r="G424"/>
  <c r="D423"/>
  <c r="E423"/>
  <c r="G423"/>
  <c r="D422"/>
  <c r="E422"/>
  <c r="G422"/>
  <c r="D376"/>
  <c r="E376"/>
  <c r="G376"/>
  <c r="D375"/>
  <c r="E375"/>
  <c r="G375"/>
  <c r="D374"/>
  <c r="E374"/>
  <c r="G374"/>
  <c r="D373"/>
  <c r="E373"/>
  <c r="G373"/>
  <c r="D155"/>
  <c r="E155"/>
  <c r="G155"/>
  <c r="I155"/>
  <c r="D154"/>
  <c r="E154"/>
  <c r="G154"/>
  <c r="I154"/>
  <c r="D153"/>
  <c r="E153"/>
  <c r="G153"/>
  <c r="D134"/>
  <c r="E134"/>
  <c r="G134"/>
  <c r="D133"/>
  <c r="E133"/>
  <c r="G133"/>
  <c r="D132"/>
  <c r="E132"/>
  <c r="G132"/>
  <c r="D130"/>
  <c r="D131"/>
  <c r="E131"/>
  <c r="G131"/>
  <c r="E130"/>
  <c r="G130"/>
  <c r="D129"/>
  <c r="E129"/>
  <c r="G129"/>
  <c r="D128"/>
  <c r="E128"/>
  <c r="G128"/>
  <c r="D13"/>
  <c r="E13"/>
  <c r="G13"/>
  <c r="D12"/>
  <c r="E12"/>
  <c r="G12"/>
  <c r="D11"/>
  <c r="E11"/>
  <c r="G11"/>
  <c r="D10"/>
  <c r="E10"/>
  <c r="G10"/>
  <c r="G145" i="1"/>
  <c r="G144"/>
  <c r="G2"/>
  <c r="G77"/>
  <c r="G121"/>
  <c r="G128"/>
  <c r="G126"/>
  <c r="G117"/>
  <c r="G143"/>
  <c r="G21"/>
  <c r="H145"/>
  <c r="H144"/>
  <c r="H2"/>
  <c r="H77"/>
  <c r="H121"/>
  <c r="H128"/>
  <c r="H126"/>
  <c r="H117"/>
  <c r="H143"/>
  <c r="H21"/>
  <c r="J145"/>
  <c r="J144"/>
  <c r="J2"/>
  <c r="J77"/>
  <c r="J121"/>
  <c r="J128"/>
  <c r="J126"/>
  <c r="J117"/>
  <c r="J143"/>
  <c r="J21"/>
  <c r="D336" i="12"/>
  <c r="E336"/>
  <c r="G336"/>
  <c r="D335"/>
  <c r="E335"/>
  <c r="G335"/>
  <c r="D334"/>
  <c r="E334"/>
  <c r="G334"/>
  <c r="G22" i="1"/>
  <c r="H22"/>
  <c r="J22"/>
  <c r="D539" i="12"/>
  <c r="E539"/>
  <c r="G539"/>
  <c r="D538"/>
  <c r="E538"/>
  <c r="G538"/>
  <c r="D537"/>
  <c r="E537"/>
  <c r="G537"/>
  <c r="D536"/>
  <c r="E536"/>
  <c r="G536"/>
  <c r="G38" i="1"/>
  <c r="H38"/>
  <c r="J38"/>
  <c r="D435" i="12"/>
  <c r="E435"/>
  <c r="G435"/>
  <c r="D434"/>
  <c r="E434"/>
  <c r="G434"/>
  <c r="D433"/>
  <c r="E433"/>
  <c r="G433"/>
  <c r="D432"/>
  <c r="E432"/>
  <c r="G432"/>
  <c r="G3" i="1"/>
  <c r="H3"/>
  <c r="J3"/>
  <c r="D554" i="12"/>
  <c r="E554"/>
  <c r="G554"/>
  <c r="D553"/>
  <c r="N508" s="1"/>
  <c r="E553"/>
  <c r="G553"/>
  <c r="D552"/>
  <c r="E552"/>
  <c r="G552"/>
  <c r="G50" i="1"/>
  <c r="H50"/>
  <c r="J50"/>
  <c r="D411" i="12"/>
  <c r="E411"/>
  <c r="G411"/>
  <c r="I411"/>
  <c r="D410"/>
  <c r="E410"/>
  <c r="G410"/>
  <c r="D409"/>
  <c r="E409"/>
  <c r="G409"/>
  <c r="G152" i="1"/>
  <c r="H152"/>
  <c r="J152"/>
  <c r="D453" i="12"/>
  <c r="E453"/>
  <c r="G453"/>
  <c r="D452"/>
  <c r="E452"/>
  <c r="G452"/>
  <c r="D451"/>
  <c r="E451"/>
  <c r="G451"/>
  <c r="G66" i="1"/>
  <c r="H66"/>
  <c r="J66"/>
  <c r="N491" i="12"/>
  <c r="D339"/>
  <c r="E339"/>
  <c r="G339"/>
  <c r="D338"/>
  <c r="E338"/>
  <c r="G338"/>
  <c r="D337"/>
  <c r="N499" s="1"/>
  <c r="E337"/>
  <c r="G337"/>
  <c r="G92" i="1"/>
  <c r="H92"/>
  <c r="J92"/>
  <c r="D276" i="12"/>
  <c r="E276"/>
  <c r="G276"/>
  <c r="D275"/>
  <c r="E275"/>
  <c r="G275"/>
  <c r="D274"/>
  <c r="E274"/>
  <c r="G274"/>
  <c r="D273"/>
  <c r="E273"/>
  <c r="G273"/>
  <c r="G110" i="1"/>
  <c r="H110"/>
  <c r="J110"/>
  <c r="D461" i="12"/>
  <c r="E461"/>
  <c r="G461"/>
  <c r="D460"/>
  <c r="E460"/>
  <c r="G460"/>
  <c r="D459"/>
  <c r="E459"/>
  <c r="G459"/>
  <c r="D458"/>
  <c r="E458"/>
  <c r="G458"/>
  <c r="G119" i="1"/>
  <c r="H119"/>
  <c r="J119"/>
  <c r="D401" i="12"/>
  <c r="E401" s="1"/>
  <c r="G401" s="1"/>
  <c r="D400"/>
  <c r="E400" s="1"/>
  <c r="G400" s="1"/>
  <c r="G39" i="1"/>
  <c r="H39" s="1"/>
  <c r="J39"/>
  <c r="I95"/>
  <c r="I105"/>
  <c r="I69"/>
  <c r="I42"/>
  <c r="I89"/>
  <c r="I84"/>
  <c r="I108"/>
  <c r="I145"/>
  <c r="I144"/>
  <c r="I2"/>
  <c r="I77"/>
  <c r="I121"/>
  <c r="I128"/>
  <c r="I126"/>
  <c r="I117"/>
  <c r="I143"/>
  <c r="I21"/>
  <c r="I22"/>
  <c r="I38"/>
  <c r="I3"/>
  <c r="I50"/>
  <c r="I152"/>
  <c r="I66"/>
  <c r="I92"/>
  <c r="I110"/>
  <c r="I119"/>
  <c r="I11"/>
  <c r="I4"/>
  <c r="I5"/>
  <c r="I6"/>
  <c r="I7"/>
  <c r="I8"/>
  <c r="I10"/>
  <c r="I9"/>
  <c r="I12"/>
  <c r="I13"/>
  <c r="I14"/>
  <c r="I15"/>
  <c r="I16"/>
  <c r="I17"/>
  <c r="I19"/>
  <c r="I18"/>
  <c r="I20"/>
  <c r="I24"/>
  <c r="I26"/>
  <c r="I23"/>
  <c r="I25"/>
  <c r="I28"/>
  <c r="I30"/>
  <c r="I31"/>
  <c r="I34"/>
  <c r="I27"/>
  <c r="I35"/>
  <c r="I29"/>
  <c r="I36"/>
  <c r="I32"/>
  <c r="I37"/>
  <c r="I33"/>
  <c r="I39"/>
  <c r="I40"/>
  <c r="I41"/>
  <c r="I55"/>
  <c r="I60"/>
  <c r="I43"/>
  <c r="I44"/>
  <c r="I45"/>
  <c r="I46"/>
  <c r="I48"/>
  <c r="I49"/>
  <c r="I53"/>
  <c r="I51"/>
  <c r="I47"/>
  <c r="I52"/>
  <c r="I54"/>
  <c r="I56"/>
  <c r="I58"/>
  <c r="I61"/>
  <c r="I57"/>
  <c r="I59"/>
  <c r="I62"/>
  <c r="I70"/>
  <c r="I63"/>
  <c r="I65"/>
  <c r="I68"/>
  <c r="I67"/>
  <c r="I71"/>
  <c r="I64"/>
  <c r="I74"/>
  <c r="I72"/>
  <c r="I75"/>
  <c r="I76"/>
  <c r="I73"/>
  <c r="I78"/>
  <c r="I80"/>
  <c r="I79"/>
  <c r="I81"/>
  <c r="I82"/>
  <c r="I83"/>
  <c r="I86"/>
  <c r="I85"/>
  <c r="I91"/>
  <c r="I88"/>
  <c r="I87"/>
  <c r="I90"/>
  <c r="I93"/>
  <c r="I94"/>
  <c r="I98"/>
  <c r="I96"/>
  <c r="I97"/>
  <c r="I102"/>
  <c r="I100"/>
  <c r="I99"/>
  <c r="I101"/>
  <c r="I103"/>
  <c r="I104"/>
  <c r="I106"/>
  <c r="I107"/>
  <c r="I109"/>
  <c r="I111"/>
  <c r="I113"/>
  <c r="I114"/>
  <c r="I112"/>
  <c r="I115"/>
  <c r="I116"/>
  <c r="I118"/>
  <c r="I120"/>
  <c r="I122"/>
  <c r="I123"/>
  <c r="I125"/>
  <c r="I124"/>
  <c r="I127"/>
  <c r="I134"/>
  <c r="I130"/>
  <c r="I131"/>
  <c r="I129"/>
  <c r="I132"/>
  <c r="I133"/>
  <c r="I136"/>
  <c r="I135"/>
  <c r="I137"/>
  <c r="I138"/>
  <c r="I139"/>
  <c r="I140"/>
  <c r="I141"/>
  <c r="I142"/>
  <c r="I146"/>
  <c r="I147"/>
  <c r="I148"/>
  <c r="I149"/>
  <c r="I150"/>
  <c r="I151"/>
  <c r="I153"/>
  <c r="I154"/>
  <c r="I155"/>
  <c r="I156"/>
  <c r="I157"/>
  <c r="I158"/>
  <c r="I160"/>
  <c r="I159"/>
  <c r="I161"/>
  <c r="I162"/>
  <c r="I163"/>
  <c r="Q95" l="1"/>
  <c r="Q105"/>
  <c r="Q69"/>
  <c r="Q42"/>
  <c r="Q89"/>
  <c r="Q84"/>
  <c r="Q108"/>
  <c r="Q21"/>
  <c r="Q143"/>
  <c r="Q117"/>
  <c r="Q126"/>
  <c r="Q128"/>
  <c r="Q121"/>
  <c r="Q77"/>
  <c r="Q2"/>
  <c r="N2" s="1"/>
  <c r="O2" s="1"/>
  <c r="Q144"/>
  <c r="Q145"/>
  <c r="Q22"/>
  <c r="Q38"/>
  <c r="Q3"/>
  <c r="Q50"/>
  <c r="Q152"/>
  <c r="Q66"/>
  <c r="Q92"/>
  <c r="Q110"/>
  <c r="Q119"/>
  <c r="Q39"/>
  <c r="B3" i="15"/>
  <c r="F3" s="1"/>
  <c r="D3"/>
  <c r="C3"/>
  <c r="E3"/>
  <c r="D16" i="12"/>
  <c r="E16" s="1"/>
  <c r="G16" s="1"/>
  <c r="D15"/>
  <c r="E15" s="1"/>
  <c r="G15" s="1"/>
  <c r="D14"/>
  <c r="E14" s="1"/>
  <c r="G14" s="1"/>
  <c r="G118" i="1"/>
  <c r="H118" s="1"/>
  <c r="J118"/>
  <c r="D548" i="12"/>
  <c r="N548" s="1"/>
  <c r="D547"/>
  <c r="E547" s="1"/>
  <c r="G547" s="1"/>
  <c r="D546"/>
  <c r="E546" s="1"/>
  <c r="G546" s="1"/>
  <c r="G116" i="1"/>
  <c r="H116" s="1"/>
  <c r="J116"/>
  <c r="D421" i="12"/>
  <c r="E421" s="1"/>
  <c r="G421" s="1"/>
  <c r="D420"/>
  <c r="E420" s="1"/>
  <c r="G420" s="1"/>
  <c r="D419"/>
  <c r="E419" s="1"/>
  <c r="G419" s="1"/>
  <c r="D418"/>
  <c r="E418" s="1"/>
  <c r="G418" s="1"/>
  <c r="G114" i="1"/>
  <c r="H114" s="1"/>
  <c r="J114"/>
  <c r="D372" i="12"/>
  <c r="E372" s="1"/>
  <c r="G372" s="1"/>
  <c r="D371"/>
  <c r="E371" s="1"/>
  <c r="G371" s="1"/>
  <c r="D370"/>
  <c r="E370" s="1"/>
  <c r="G370" s="1"/>
  <c r="G75" i="1"/>
  <c r="H75" s="1"/>
  <c r="J75"/>
  <c r="D72" i="12"/>
  <c r="E72" s="1"/>
  <c r="G72" s="1"/>
  <c r="D76"/>
  <c r="E76" s="1"/>
  <c r="G76" s="1"/>
  <c r="D71"/>
  <c r="E71" s="1"/>
  <c r="G71" s="1"/>
  <c r="D75"/>
  <c r="E75" s="1"/>
  <c r="G75" s="1"/>
  <c r="D70"/>
  <c r="E70" s="1"/>
  <c r="G70" s="1"/>
  <c r="D74"/>
  <c r="E74" s="1"/>
  <c r="G74" s="1"/>
  <c r="D69"/>
  <c r="E69" s="1"/>
  <c r="G69" s="1"/>
  <c r="D73"/>
  <c r="E73" s="1"/>
  <c r="G73" s="1"/>
  <c r="G64" i="1"/>
  <c r="H64" s="1"/>
  <c r="J64"/>
  <c r="G57"/>
  <c r="H57" s="1"/>
  <c r="J57"/>
  <c r="N95" l="1"/>
  <c r="O95" s="1"/>
  <c r="N105"/>
  <c r="O105" s="1"/>
  <c r="N69"/>
  <c r="O69" s="1"/>
  <c r="N42"/>
  <c r="O42" s="1"/>
  <c r="N89"/>
  <c r="O89" s="1"/>
  <c r="N84"/>
  <c r="O84" s="1"/>
  <c r="N108"/>
  <c r="O108" s="1"/>
  <c r="N145"/>
  <c r="O145" s="1"/>
  <c r="N144"/>
  <c r="O144" s="1"/>
  <c r="N77"/>
  <c r="O77" s="1"/>
  <c r="N121"/>
  <c r="O121" s="1"/>
  <c r="N128"/>
  <c r="O128" s="1"/>
  <c r="N126"/>
  <c r="O126" s="1"/>
  <c r="N117"/>
  <c r="O117" s="1"/>
  <c r="N143"/>
  <c r="O143" s="1"/>
  <c r="N21"/>
  <c r="O21" s="1"/>
  <c r="N22"/>
  <c r="O22" s="1"/>
  <c r="N38"/>
  <c r="O38" s="1"/>
  <c r="N3"/>
  <c r="O3" s="1"/>
  <c r="N50"/>
  <c r="O50" s="1"/>
  <c r="N152"/>
  <c r="O152" s="1"/>
  <c r="N66"/>
  <c r="O66" s="1"/>
  <c r="N92"/>
  <c r="O92" s="1"/>
  <c r="N110"/>
  <c r="O110" s="1"/>
  <c r="N119"/>
  <c r="O119" s="1"/>
  <c r="N39"/>
  <c r="O39" s="1"/>
  <c r="E548" i="12"/>
  <c r="G548" s="1"/>
  <c r="Q118" i="1"/>
  <c r="Q116"/>
  <c r="Q114"/>
  <c r="Q75"/>
  <c r="Q64"/>
  <c r="Q57"/>
  <c r="D560" i="12"/>
  <c r="E560" s="1"/>
  <c r="G560" s="1"/>
  <c r="D563"/>
  <c r="D559"/>
  <c r="D562"/>
  <c r="E562" s="1"/>
  <c r="G562" s="1"/>
  <c r="D558"/>
  <c r="E558" s="1"/>
  <c r="G558" s="1"/>
  <c r="D561"/>
  <c r="E561" s="1"/>
  <c r="G561" s="1"/>
  <c r="G41" i="1"/>
  <c r="H41" s="1"/>
  <c r="J41"/>
  <c r="G37"/>
  <c r="H37" s="1"/>
  <c r="J37"/>
  <c r="D428" i="12"/>
  <c r="E428" s="1"/>
  <c r="G428" s="1"/>
  <c r="D431"/>
  <c r="E431" s="1"/>
  <c r="G431" s="1"/>
  <c r="I428"/>
  <c r="I431"/>
  <c r="D427"/>
  <c r="E427" s="1"/>
  <c r="G427" s="1"/>
  <c r="D430"/>
  <c r="E430" s="1"/>
  <c r="G430" s="1"/>
  <c r="D426"/>
  <c r="E426" s="1"/>
  <c r="G426" s="1"/>
  <c r="D429"/>
  <c r="E429" s="1"/>
  <c r="G429" s="1"/>
  <c r="G60" i="1"/>
  <c r="H60" s="1"/>
  <c r="G55"/>
  <c r="H55" s="1"/>
  <c r="J60"/>
  <c r="J55"/>
  <c r="D535" i="12"/>
  <c r="E535" s="1"/>
  <c r="G535" s="1"/>
  <c r="D534"/>
  <c r="E534" s="1"/>
  <c r="G534" s="1"/>
  <c r="D533"/>
  <c r="E533" s="1"/>
  <c r="G533" s="1"/>
  <c r="I533"/>
  <c r="G134" i="1"/>
  <c r="H134" s="1"/>
  <c r="J134"/>
  <c r="D557" i="12"/>
  <c r="E557" s="1"/>
  <c r="G557" s="1"/>
  <c r="I557"/>
  <c r="D556"/>
  <c r="E556" s="1"/>
  <c r="G556" s="1"/>
  <c r="I556"/>
  <c r="D555"/>
  <c r="E555" s="1"/>
  <c r="G555" s="1"/>
  <c r="G112" i="1"/>
  <c r="H112" s="1"/>
  <c r="J112"/>
  <c r="D393" i="12"/>
  <c r="E393" s="1"/>
  <c r="G393" s="1"/>
  <c r="I393"/>
  <c r="D392"/>
  <c r="E392" s="1"/>
  <c r="G392" s="1"/>
  <c r="I392"/>
  <c r="D391"/>
  <c r="E391" s="1"/>
  <c r="G391" s="1"/>
  <c r="G138" i="1"/>
  <c r="H138" s="1"/>
  <c r="J138"/>
  <c r="D79" i="12"/>
  <c r="E79" s="1"/>
  <c r="G79" s="1"/>
  <c r="D78"/>
  <c r="E78" s="1"/>
  <c r="G78" s="1"/>
  <c r="D77"/>
  <c r="E77" s="1"/>
  <c r="G77" s="1"/>
  <c r="G137" i="1"/>
  <c r="H137" s="1"/>
  <c r="J137"/>
  <c r="D196" i="12"/>
  <c r="E196" s="1"/>
  <c r="G196" s="1"/>
  <c r="D200"/>
  <c r="E200" s="1"/>
  <c r="G200" s="1"/>
  <c r="D195"/>
  <c r="E195" s="1"/>
  <c r="G195" s="1"/>
  <c r="D199"/>
  <c r="E199" s="1"/>
  <c r="G199" s="1"/>
  <c r="D194"/>
  <c r="E194" s="1"/>
  <c r="G194" s="1"/>
  <c r="D198"/>
  <c r="E198" s="1"/>
  <c r="G198" s="1"/>
  <c r="I194"/>
  <c r="I198"/>
  <c r="D193"/>
  <c r="E193" s="1"/>
  <c r="G193" s="1"/>
  <c r="D197"/>
  <c r="E197" s="1"/>
  <c r="G197" s="1"/>
  <c r="G109" i="1"/>
  <c r="H109" s="1"/>
  <c r="J109"/>
  <c r="G56"/>
  <c r="H56" s="1"/>
  <c r="J56"/>
  <c r="D506" i="12"/>
  <c r="E506" s="1"/>
  <c r="G506" s="1"/>
  <c r="D505"/>
  <c r="E505" s="1"/>
  <c r="G505" s="1"/>
  <c r="D504"/>
  <c r="E504" s="1"/>
  <c r="G504" s="1"/>
  <c r="D503"/>
  <c r="E503" s="1"/>
  <c r="G503" s="1"/>
  <c r="G133" i="1"/>
  <c r="H133" s="1"/>
  <c r="J133"/>
  <c r="D252" i="12"/>
  <c r="E252" s="1"/>
  <c r="G252" s="1"/>
  <c r="D251"/>
  <c r="E251" s="1"/>
  <c r="G251" s="1"/>
  <c r="D250"/>
  <c r="E250" s="1"/>
  <c r="G250" s="1"/>
  <c r="G155" i="1"/>
  <c r="H155" s="1"/>
  <c r="J155"/>
  <c r="D119" i="12"/>
  <c r="E119" s="1"/>
  <c r="G119" s="1"/>
  <c r="D123"/>
  <c r="E123" s="1"/>
  <c r="G123" s="1"/>
  <c r="D127"/>
  <c r="E127" s="1"/>
  <c r="G127" s="1"/>
  <c r="I119"/>
  <c r="I123"/>
  <c r="I127"/>
  <c r="D118"/>
  <c r="E118" s="1"/>
  <c r="G118" s="1"/>
  <c r="D122"/>
  <c r="E122" s="1"/>
  <c r="G122" s="1"/>
  <c r="D126"/>
  <c r="E126" s="1"/>
  <c r="G126" s="1"/>
  <c r="D117"/>
  <c r="E117" s="1"/>
  <c r="G117" s="1"/>
  <c r="D121"/>
  <c r="E121" s="1"/>
  <c r="G121" s="1"/>
  <c r="D125"/>
  <c r="E125" s="1"/>
  <c r="G125" s="1"/>
  <c r="I117"/>
  <c r="I121"/>
  <c r="I125"/>
  <c r="D116"/>
  <c r="E116" s="1"/>
  <c r="G116" s="1"/>
  <c r="D120"/>
  <c r="E120" s="1"/>
  <c r="G120" s="1"/>
  <c r="D124"/>
  <c r="E124" s="1"/>
  <c r="G124" s="1"/>
  <c r="I116"/>
  <c r="I120"/>
  <c r="I124"/>
  <c r="G123" i="1"/>
  <c r="H123" s="1"/>
  <c r="G132"/>
  <c r="H132" s="1"/>
  <c r="G120"/>
  <c r="H120" s="1"/>
  <c r="J123"/>
  <c r="J132"/>
  <c r="J120"/>
  <c r="D284" i="12"/>
  <c r="E284" s="1"/>
  <c r="G284" s="1"/>
  <c r="D288"/>
  <c r="E288" s="1"/>
  <c r="G288" s="1"/>
  <c r="D283"/>
  <c r="E283" s="1"/>
  <c r="G283" s="1"/>
  <c r="D287"/>
  <c r="E287" s="1"/>
  <c r="G287" s="1"/>
  <c r="D282"/>
  <c r="E282" s="1"/>
  <c r="G282" s="1"/>
  <c r="D286"/>
  <c r="E286" s="1"/>
  <c r="G286" s="1"/>
  <c r="D281"/>
  <c r="E281" s="1"/>
  <c r="G281" s="1"/>
  <c r="D285"/>
  <c r="E285" s="1"/>
  <c r="G285" s="1"/>
  <c r="I281"/>
  <c r="G94" i="1"/>
  <c r="H94" s="1"/>
  <c r="G107"/>
  <c r="H107" s="1"/>
  <c r="J94"/>
  <c r="J107"/>
  <c r="D532" i="12"/>
  <c r="E532" s="1"/>
  <c r="G532" s="1"/>
  <c r="I532"/>
  <c r="D531"/>
  <c r="E531" s="1"/>
  <c r="G531" s="1"/>
  <c r="D530"/>
  <c r="E530" s="1"/>
  <c r="G530" s="1"/>
  <c r="D529"/>
  <c r="I529"/>
  <c r="G150" i="1"/>
  <c r="H150" s="1"/>
  <c r="J150"/>
  <c r="D32" i="12"/>
  <c r="E32" s="1"/>
  <c r="G32" s="1"/>
  <c r="G135" i="1"/>
  <c r="H135" s="1"/>
  <c r="J135"/>
  <c r="D246" i="12"/>
  <c r="E246" s="1"/>
  <c r="G246" s="1"/>
  <c r="D249"/>
  <c r="E249" s="1"/>
  <c r="G249" s="1"/>
  <c r="D245"/>
  <c r="E245" s="1"/>
  <c r="G245" s="1"/>
  <c r="D248"/>
  <c r="E248" s="1"/>
  <c r="G248" s="1"/>
  <c r="D244"/>
  <c r="E244" s="1"/>
  <c r="G244" s="1"/>
  <c r="D247"/>
  <c r="E247" s="1"/>
  <c r="G247" s="1"/>
  <c r="G149" i="1"/>
  <c r="H149" s="1"/>
  <c r="J149"/>
  <c r="G151"/>
  <c r="H151" s="1"/>
  <c r="J151"/>
  <c r="D513" i="12"/>
  <c r="E513" s="1"/>
  <c r="G513" s="1"/>
  <c r="D512"/>
  <c r="E512" s="1"/>
  <c r="G512" s="1"/>
  <c r="D511"/>
  <c r="E511" s="1"/>
  <c r="G511" s="1"/>
  <c r="D510"/>
  <c r="E510" s="1"/>
  <c r="G510" s="1"/>
  <c r="G125" i="1"/>
  <c r="H125" s="1"/>
  <c r="J125"/>
  <c r="D439" i="12"/>
  <c r="E439" s="1"/>
  <c r="G439" s="1"/>
  <c r="D443"/>
  <c r="E443" s="1"/>
  <c r="G443" s="1"/>
  <c r="D438"/>
  <c r="E438" s="1"/>
  <c r="G438" s="1"/>
  <c r="D442"/>
  <c r="E442" s="1"/>
  <c r="G442" s="1"/>
  <c r="D437"/>
  <c r="E437" s="1"/>
  <c r="G437" s="1"/>
  <c r="D441"/>
  <c r="E441" s="1"/>
  <c r="G441" s="1"/>
  <c r="D440"/>
  <c r="E440" s="1"/>
  <c r="G440" s="1"/>
  <c r="D436"/>
  <c r="E436" s="1"/>
  <c r="G436" s="1"/>
  <c r="D464"/>
  <c r="E464" s="1"/>
  <c r="G464" s="1"/>
  <c r="D463"/>
  <c r="E463" s="1"/>
  <c r="G463" s="1"/>
  <c r="D462"/>
  <c r="E462" s="1"/>
  <c r="G462" s="1"/>
  <c r="G87" i="1"/>
  <c r="H87" s="1"/>
  <c r="J87"/>
  <c r="G90"/>
  <c r="H90" s="1"/>
  <c r="J90"/>
  <c r="G101"/>
  <c r="H101" s="1"/>
  <c r="J101"/>
  <c r="M172" i="14"/>
  <c r="V156" s="1"/>
  <c r="L172"/>
  <c r="U156" s="1"/>
  <c r="K172"/>
  <c r="J172"/>
  <c r="M171"/>
  <c r="V155" s="1"/>
  <c r="L171"/>
  <c r="U155" s="1"/>
  <c r="K171"/>
  <c r="T155" s="1"/>
  <c r="J171"/>
  <c r="M170"/>
  <c r="L170"/>
  <c r="K170"/>
  <c r="J170"/>
  <c r="M169"/>
  <c r="V153" s="1"/>
  <c r="L169"/>
  <c r="K169"/>
  <c r="J169"/>
  <c r="M168"/>
  <c r="V152" s="1"/>
  <c r="L168"/>
  <c r="U152" s="1"/>
  <c r="K168"/>
  <c r="J168"/>
  <c r="M167"/>
  <c r="V151" s="1"/>
  <c r="L167"/>
  <c r="U151" s="1"/>
  <c r="K167"/>
  <c r="T151" s="1"/>
  <c r="J167"/>
  <c r="M166"/>
  <c r="V150" s="1"/>
  <c r="L166"/>
  <c r="K166"/>
  <c r="J166"/>
  <c r="M165"/>
  <c r="V149" s="1"/>
  <c r="L165"/>
  <c r="K165"/>
  <c r="J165"/>
  <c r="M164"/>
  <c r="L164"/>
  <c r="U148" s="1"/>
  <c r="K164"/>
  <c r="J164"/>
  <c r="M163"/>
  <c r="V147" s="1"/>
  <c r="L163"/>
  <c r="K163"/>
  <c r="J163"/>
  <c r="M162"/>
  <c r="V146" s="1"/>
  <c r="L162"/>
  <c r="K162"/>
  <c r="J162"/>
  <c r="M161"/>
  <c r="V145" s="1"/>
  <c r="L161"/>
  <c r="K161"/>
  <c r="J161"/>
  <c r="M160"/>
  <c r="V144" s="1"/>
  <c r="L160"/>
  <c r="U144" s="1"/>
  <c r="K160"/>
  <c r="J160"/>
  <c r="M159"/>
  <c r="L159"/>
  <c r="K159"/>
  <c r="J159"/>
  <c r="V158"/>
  <c r="U158"/>
  <c r="T158"/>
  <c r="S158"/>
  <c r="R158"/>
  <c r="Q158"/>
  <c r="P158"/>
  <c r="M158"/>
  <c r="L158"/>
  <c r="K158"/>
  <c r="J158"/>
  <c r="V157"/>
  <c r="U157"/>
  <c r="T157"/>
  <c r="S157"/>
  <c r="R157"/>
  <c r="Q157"/>
  <c r="P157"/>
  <c r="M157"/>
  <c r="L157"/>
  <c r="K157"/>
  <c r="J157"/>
  <c r="T156"/>
  <c r="S156"/>
  <c r="R156"/>
  <c r="Q156"/>
  <c r="P156"/>
  <c r="M156"/>
  <c r="V140" s="1"/>
  <c r="L156"/>
  <c r="K156"/>
  <c r="J156"/>
  <c r="S155"/>
  <c r="R155"/>
  <c r="Q155"/>
  <c r="P155"/>
  <c r="M155"/>
  <c r="L155"/>
  <c r="K155"/>
  <c r="J155"/>
  <c r="V154"/>
  <c r="U154"/>
  <c r="T154"/>
  <c r="S154"/>
  <c r="R154"/>
  <c r="Q154"/>
  <c r="P154"/>
  <c r="M154"/>
  <c r="L154"/>
  <c r="K154"/>
  <c r="J154"/>
  <c r="U153"/>
  <c r="T153"/>
  <c r="S153"/>
  <c r="R153"/>
  <c r="Q153"/>
  <c r="P153"/>
  <c r="M153"/>
  <c r="L153"/>
  <c r="K153"/>
  <c r="J153"/>
  <c r="S137" s="1"/>
  <c r="T152"/>
  <c r="S152"/>
  <c r="R152"/>
  <c r="Q152"/>
  <c r="P152"/>
  <c r="M152"/>
  <c r="V136" s="1"/>
  <c r="L152"/>
  <c r="K152"/>
  <c r="J152"/>
  <c r="S151"/>
  <c r="R151"/>
  <c r="Q151"/>
  <c r="P151"/>
  <c r="M151"/>
  <c r="L151"/>
  <c r="U135" s="1"/>
  <c r="K151"/>
  <c r="J151"/>
  <c r="U150"/>
  <c r="T150"/>
  <c r="S150"/>
  <c r="R150"/>
  <c r="Q150"/>
  <c r="P150"/>
  <c r="M150"/>
  <c r="L150"/>
  <c r="K150"/>
  <c r="T134" s="1"/>
  <c r="J150"/>
  <c r="U149"/>
  <c r="T149"/>
  <c r="S149"/>
  <c r="R149"/>
  <c r="Q149"/>
  <c r="P149"/>
  <c r="M149"/>
  <c r="V133" s="1"/>
  <c r="L149"/>
  <c r="K149"/>
  <c r="J149"/>
  <c r="S133" s="1"/>
  <c r="V148"/>
  <c r="T148"/>
  <c r="S148"/>
  <c r="R148"/>
  <c r="Q148"/>
  <c r="P148"/>
  <c r="M148"/>
  <c r="L148"/>
  <c r="K148"/>
  <c r="J148"/>
  <c r="U147"/>
  <c r="T147"/>
  <c r="S147"/>
  <c r="R147"/>
  <c r="Q147"/>
  <c r="P147"/>
  <c r="M147"/>
  <c r="L147"/>
  <c r="K147"/>
  <c r="J147"/>
  <c r="U146"/>
  <c r="T146"/>
  <c r="S146"/>
  <c r="R146"/>
  <c r="Q146"/>
  <c r="P146"/>
  <c r="M146"/>
  <c r="L146"/>
  <c r="K146"/>
  <c r="J146"/>
  <c r="U145"/>
  <c r="T145"/>
  <c r="S145"/>
  <c r="R145"/>
  <c r="Q145"/>
  <c r="P145"/>
  <c r="M145"/>
  <c r="L145"/>
  <c r="K145"/>
  <c r="J145"/>
  <c r="T144"/>
  <c r="S144"/>
  <c r="R144"/>
  <c r="Q144"/>
  <c r="P144"/>
  <c r="M144"/>
  <c r="L144"/>
  <c r="K144"/>
  <c r="J144"/>
  <c r="V143"/>
  <c r="U143"/>
  <c r="T143"/>
  <c r="S143"/>
  <c r="R143"/>
  <c r="Q143"/>
  <c r="P143"/>
  <c r="M143"/>
  <c r="L143"/>
  <c r="K143"/>
  <c r="J143"/>
  <c r="V142"/>
  <c r="U142"/>
  <c r="T142"/>
  <c r="S142"/>
  <c r="R142"/>
  <c r="Q142"/>
  <c r="P142"/>
  <c r="M142"/>
  <c r="L142"/>
  <c r="K142"/>
  <c r="J142"/>
  <c r="V141"/>
  <c r="U141"/>
  <c r="T141"/>
  <c r="S141"/>
  <c r="R141"/>
  <c r="Q141"/>
  <c r="P141"/>
  <c r="M141"/>
  <c r="L141"/>
  <c r="K141"/>
  <c r="J141"/>
  <c r="U140"/>
  <c r="T140"/>
  <c r="S140"/>
  <c r="R140"/>
  <c r="Q140"/>
  <c r="P140"/>
  <c r="M140"/>
  <c r="L140"/>
  <c r="K140"/>
  <c r="J140"/>
  <c r="V139"/>
  <c r="U139"/>
  <c r="T139"/>
  <c r="S139"/>
  <c r="R139"/>
  <c r="Q139"/>
  <c r="P139"/>
  <c r="M139"/>
  <c r="L139"/>
  <c r="K139"/>
  <c r="J139"/>
  <c r="V138"/>
  <c r="U138"/>
  <c r="T138"/>
  <c r="S138"/>
  <c r="R138"/>
  <c r="Q138"/>
  <c r="P138"/>
  <c r="M138"/>
  <c r="L138"/>
  <c r="K138"/>
  <c r="J138"/>
  <c r="V137"/>
  <c r="U137"/>
  <c r="T137"/>
  <c r="R137"/>
  <c r="Q137"/>
  <c r="P137"/>
  <c r="M137"/>
  <c r="L137"/>
  <c r="K137"/>
  <c r="J137"/>
  <c r="U136"/>
  <c r="T136"/>
  <c r="S136"/>
  <c r="R136"/>
  <c r="Q136"/>
  <c r="P136"/>
  <c r="M136"/>
  <c r="L136"/>
  <c r="K136"/>
  <c r="J136"/>
  <c r="V135"/>
  <c r="T135"/>
  <c r="S135"/>
  <c r="R135"/>
  <c r="Q135"/>
  <c r="P135"/>
  <c r="M135"/>
  <c r="V131" s="1"/>
  <c r="L135"/>
  <c r="U131" s="1"/>
  <c r="K135"/>
  <c r="J135"/>
  <c r="S131" s="1"/>
  <c r="V134"/>
  <c r="U134"/>
  <c r="S134"/>
  <c r="R134"/>
  <c r="Q134"/>
  <c r="P134"/>
  <c r="M134"/>
  <c r="V130" s="1"/>
  <c r="L134"/>
  <c r="U130" s="1"/>
  <c r="K134"/>
  <c r="T130" s="1"/>
  <c r="J134"/>
  <c r="U133"/>
  <c r="T133"/>
  <c r="R133"/>
  <c r="Q133"/>
  <c r="P133"/>
  <c r="A133"/>
  <c r="M133" s="1"/>
  <c r="V129" s="1"/>
  <c r="V132"/>
  <c r="U132"/>
  <c r="T132"/>
  <c r="S132"/>
  <c r="R132"/>
  <c r="Q132"/>
  <c r="P132"/>
  <c r="A132"/>
  <c r="M132" s="1"/>
  <c r="V128" s="1"/>
  <c r="T131"/>
  <c r="R131"/>
  <c r="Q131"/>
  <c r="A131"/>
  <c r="M131" s="1"/>
  <c r="V127" s="1"/>
  <c r="S130"/>
  <c r="R130"/>
  <c r="Q130"/>
  <c r="A130"/>
  <c r="M130" s="1"/>
  <c r="V126" s="1"/>
  <c r="R129"/>
  <c r="Q129"/>
  <c r="A129"/>
  <c r="M129" s="1"/>
  <c r="V125" s="1"/>
  <c r="R128"/>
  <c r="Q128"/>
  <c r="A128"/>
  <c r="M128" s="1"/>
  <c r="V124" s="1"/>
  <c r="A127"/>
  <c r="M127" s="1"/>
  <c r="V123" s="1"/>
  <c r="A126"/>
  <c r="M126" s="1"/>
  <c r="V122" s="1"/>
  <c r="R125"/>
  <c r="A125"/>
  <c r="M125" s="1"/>
  <c r="V121" s="1"/>
  <c r="R124"/>
  <c r="Q124"/>
  <c r="A124"/>
  <c r="M124" s="1"/>
  <c r="V120" s="1"/>
  <c r="A123"/>
  <c r="M123" s="1"/>
  <c r="V119" s="1"/>
  <c r="A122"/>
  <c r="M122" s="1"/>
  <c r="V118" s="1"/>
  <c r="R121"/>
  <c r="A121"/>
  <c r="M121" s="1"/>
  <c r="V117" s="1"/>
  <c r="R120"/>
  <c r="Q120"/>
  <c r="M120"/>
  <c r="L120"/>
  <c r="K120"/>
  <c r="T116" s="1"/>
  <c r="J120"/>
  <c r="S116" s="1"/>
  <c r="M119"/>
  <c r="V115" s="1"/>
  <c r="L119"/>
  <c r="U115" s="1"/>
  <c r="K119"/>
  <c r="J119"/>
  <c r="R118"/>
  <c r="Q118"/>
  <c r="M118"/>
  <c r="L118"/>
  <c r="K118"/>
  <c r="T114" s="1"/>
  <c r="J118"/>
  <c r="S114" s="1"/>
  <c r="Q117"/>
  <c r="M117"/>
  <c r="V113" s="1"/>
  <c r="L117"/>
  <c r="U113" s="1"/>
  <c r="K117"/>
  <c r="J117"/>
  <c r="V116"/>
  <c r="U116"/>
  <c r="R116"/>
  <c r="Q116"/>
  <c r="M116"/>
  <c r="L116"/>
  <c r="K116"/>
  <c r="J116"/>
  <c r="T115"/>
  <c r="S115"/>
  <c r="R115"/>
  <c r="Q115"/>
  <c r="M115"/>
  <c r="L115"/>
  <c r="K115"/>
  <c r="J115"/>
  <c r="V114"/>
  <c r="U114"/>
  <c r="R114"/>
  <c r="Q114"/>
  <c r="M114"/>
  <c r="L114"/>
  <c r="K114"/>
  <c r="J114"/>
  <c r="T113"/>
  <c r="S113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R86" s="1"/>
  <c r="A85"/>
  <c r="R85" s="1"/>
  <c r="A84"/>
  <c r="R84" s="1"/>
  <c r="A83"/>
  <c r="R83" s="1"/>
  <c r="A82"/>
  <c r="R82" s="1"/>
  <c r="A81"/>
  <c r="R81" s="1"/>
  <c r="A80"/>
  <c r="R80" s="1"/>
  <c r="A79"/>
  <c r="R79" s="1"/>
  <c r="A78"/>
  <c r="R78" s="1"/>
  <c r="A77"/>
  <c r="R77" s="1"/>
  <c r="A76"/>
  <c r="R76" s="1"/>
  <c r="A75"/>
  <c r="R75" s="1"/>
  <c r="A74"/>
  <c r="R74" s="1"/>
  <c r="A73"/>
  <c r="R73" s="1"/>
  <c r="A72"/>
  <c r="R72" s="1"/>
  <c r="A71"/>
  <c r="R71" s="1"/>
  <c r="A70"/>
  <c r="R70" s="1"/>
  <c r="A69"/>
  <c r="R69" s="1"/>
  <c r="A68"/>
  <c r="R68" s="1"/>
  <c r="A67"/>
  <c r="R67" s="1"/>
  <c r="A66"/>
  <c r="R66" s="1"/>
  <c r="A65"/>
  <c r="R65" s="1"/>
  <c r="A64"/>
  <c r="R64" s="1"/>
  <c r="A63"/>
  <c r="R63" s="1"/>
  <c r="A62"/>
  <c r="R62" s="1"/>
  <c r="A61"/>
  <c r="R61" s="1"/>
  <c r="A60"/>
  <c r="R60" s="1"/>
  <c r="A59"/>
  <c r="R59" s="1"/>
  <c r="A58"/>
  <c r="R58" s="1"/>
  <c r="A57"/>
  <c r="R57" s="1"/>
  <c r="A56"/>
  <c r="R56" s="1"/>
  <c r="A55"/>
  <c r="R55" s="1"/>
  <c r="A54"/>
  <c r="R54" s="1"/>
  <c r="A53"/>
  <c r="R53" s="1"/>
  <c r="A52"/>
  <c r="R52" s="1"/>
  <c r="A51"/>
  <c r="R51" s="1"/>
  <c r="A50"/>
  <c r="R50" s="1"/>
  <c r="A49"/>
  <c r="R49" s="1"/>
  <c r="A48"/>
  <c r="R48" s="1"/>
  <c r="A47"/>
  <c r="R47" s="1"/>
  <c r="A46"/>
  <c r="R46" s="1"/>
  <c r="A45"/>
  <c r="R45" s="1"/>
  <c r="A44"/>
  <c r="R44" s="1"/>
  <c r="A43"/>
  <c r="R43" s="1"/>
  <c r="A42"/>
  <c r="R42" s="1"/>
  <c r="A41"/>
  <c r="R41" s="1"/>
  <c r="A40"/>
  <c r="R40" s="1"/>
  <c r="A39"/>
  <c r="R39" s="1"/>
  <c r="A38"/>
  <c r="R38" s="1"/>
  <c r="A37"/>
  <c r="R37" s="1"/>
  <c r="A36"/>
  <c r="R36" s="1"/>
  <c r="A35"/>
  <c r="R35" s="1"/>
  <c r="A34"/>
  <c r="R34" s="1"/>
  <c r="A33"/>
  <c r="R33" s="1"/>
  <c r="A32"/>
  <c r="R32" s="1"/>
  <c r="A31"/>
  <c r="R31" s="1"/>
  <c r="A30"/>
  <c r="R30" s="1"/>
  <c r="A29"/>
  <c r="R29" s="1"/>
  <c r="A28"/>
  <c r="R28" s="1"/>
  <c r="A27"/>
  <c r="R27" s="1"/>
  <c r="A26"/>
  <c r="R26" s="1"/>
  <c r="A25"/>
  <c r="R25" s="1"/>
  <c r="A24"/>
  <c r="R24" s="1"/>
  <c r="A23"/>
  <c r="R23" s="1"/>
  <c r="A22"/>
  <c r="R22" s="1"/>
  <c r="A21"/>
  <c r="R21" s="1"/>
  <c r="A20"/>
  <c r="R20" s="1"/>
  <c r="A19"/>
  <c r="R19" s="1"/>
  <c r="A18"/>
  <c r="R18" s="1"/>
  <c r="A17"/>
  <c r="R17" s="1"/>
  <c r="A16"/>
  <c r="R16" s="1"/>
  <c r="A15"/>
  <c r="R15" s="1"/>
  <c r="A14"/>
  <c r="R14" s="1"/>
  <c r="A13"/>
  <c r="R13" s="1"/>
  <c r="A12"/>
  <c r="R12" s="1"/>
  <c r="A11"/>
  <c r="R11" s="1"/>
  <c r="A10"/>
  <c r="R10" s="1"/>
  <c r="A9"/>
  <c r="R9" s="1"/>
  <c r="A8"/>
  <c r="R8" s="1"/>
  <c r="A7"/>
  <c r="R7" s="1"/>
  <c r="M8" i="12"/>
  <c r="D6"/>
  <c r="E6" s="1"/>
  <c r="G6" s="1"/>
  <c r="I6"/>
  <c r="E559" l="1"/>
  <c r="G559" s="1"/>
  <c r="N557"/>
  <c r="E563"/>
  <c r="G563" s="1"/>
  <c r="N118" i="1"/>
  <c r="O118" s="1"/>
  <c r="N116"/>
  <c r="O116" s="1"/>
  <c r="N114"/>
  <c r="O114" s="1"/>
  <c r="N75"/>
  <c r="O75" s="1"/>
  <c r="N64"/>
  <c r="O64" s="1"/>
  <c r="N57"/>
  <c r="O57" s="1"/>
  <c r="Q41"/>
  <c r="Q37"/>
  <c r="Q60"/>
  <c r="Q55"/>
  <c r="Q134"/>
  <c r="Q112"/>
  <c r="Q138"/>
  <c r="Q137"/>
  <c r="N137" s="1"/>
  <c r="O137" s="1"/>
  <c r="Q109"/>
  <c r="N109" s="1"/>
  <c r="O109" s="1"/>
  <c r="Q56"/>
  <c r="N56" s="1"/>
  <c r="O56" s="1"/>
  <c r="Q133"/>
  <c r="N133" s="1"/>
  <c r="O133" s="1"/>
  <c r="Q155"/>
  <c r="Q123" i="14"/>
  <c r="Q127"/>
  <c r="Q119"/>
  <c r="Q122"/>
  <c r="R123"/>
  <c r="Q126"/>
  <c r="R127"/>
  <c r="R117"/>
  <c r="R119"/>
  <c r="Q121"/>
  <c r="R122"/>
  <c r="Q125"/>
  <c r="R126"/>
  <c r="E529" i="12"/>
  <c r="G529" s="1"/>
  <c r="Q120" i="1"/>
  <c r="Q132"/>
  <c r="Q123"/>
  <c r="N123" s="1"/>
  <c r="O123" s="1"/>
  <c r="Q107"/>
  <c r="Q94"/>
  <c r="Q150"/>
  <c r="Q135"/>
  <c r="Q149"/>
  <c r="N149" s="1"/>
  <c r="O149" s="1"/>
  <c r="Q151"/>
  <c r="Q125"/>
  <c r="N125" s="1"/>
  <c r="O125" s="1"/>
  <c r="Q87"/>
  <c r="Q90"/>
  <c r="Q101"/>
  <c r="J7" i="14"/>
  <c r="S7" s="1"/>
  <c r="K7"/>
  <c r="T7" s="1"/>
  <c r="L7"/>
  <c r="U7" s="1"/>
  <c r="M7"/>
  <c r="V7" s="1"/>
  <c r="Q7"/>
  <c r="J8"/>
  <c r="S8" s="1"/>
  <c r="K8"/>
  <c r="T8" s="1"/>
  <c r="L8"/>
  <c r="U8" s="1"/>
  <c r="M8"/>
  <c r="V8" s="1"/>
  <c r="Q8"/>
  <c r="J9"/>
  <c r="S9" s="1"/>
  <c r="K9"/>
  <c r="T9" s="1"/>
  <c r="L9"/>
  <c r="U9" s="1"/>
  <c r="M9"/>
  <c r="V9" s="1"/>
  <c r="Q9"/>
  <c r="J10"/>
  <c r="S10" s="1"/>
  <c r="K10"/>
  <c r="T10" s="1"/>
  <c r="L10"/>
  <c r="U10" s="1"/>
  <c r="M10"/>
  <c r="V10" s="1"/>
  <c r="Q10"/>
  <c r="J11"/>
  <c r="S11" s="1"/>
  <c r="K11"/>
  <c r="T11" s="1"/>
  <c r="L11"/>
  <c r="U11" s="1"/>
  <c r="M11"/>
  <c r="V11" s="1"/>
  <c r="Q11"/>
  <c r="J12"/>
  <c r="S12" s="1"/>
  <c r="K12"/>
  <c r="T12" s="1"/>
  <c r="L12"/>
  <c r="U12" s="1"/>
  <c r="M12"/>
  <c r="V12" s="1"/>
  <c r="Q12"/>
  <c r="J13"/>
  <c r="S13" s="1"/>
  <c r="K13"/>
  <c r="T13" s="1"/>
  <c r="L13"/>
  <c r="U13" s="1"/>
  <c r="M13"/>
  <c r="V13" s="1"/>
  <c r="Q13"/>
  <c r="J14"/>
  <c r="S14" s="1"/>
  <c r="K14"/>
  <c r="T14" s="1"/>
  <c r="L14"/>
  <c r="U14" s="1"/>
  <c r="M14"/>
  <c r="V14" s="1"/>
  <c r="Q14"/>
  <c r="J15"/>
  <c r="S15" s="1"/>
  <c r="K15"/>
  <c r="T15" s="1"/>
  <c r="L15"/>
  <c r="U15" s="1"/>
  <c r="M15"/>
  <c r="V15" s="1"/>
  <c r="Q15"/>
  <c r="J16"/>
  <c r="S16" s="1"/>
  <c r="K16"/>
  <c r="T16" s="1"/>
  <c r="L16"/>
  <c r="U16" s="1"/>
  <c r="M16"/>
  <c r="V16" s="1"/>
  <c r="Q16"/>
  <c r="J17"/>
  <c r="S17" s="1"/>
  <c r="K17"/>
  <c r="T17" s="1"/>
  <c r="L17"/>
  <c r="U17" s="1"/>
  <c r="M17"/>
  <c r="V17" s="1"/>
  <c r="Q17"/>
  <c r="J18"/>
  <c r="S18" s="1"/>
  <c r="K18"/>
  <c r="T18" s="1"/>
  <c r="L18"/>
  <c r="U18" s="1"/>
  <c r="M18"/>
  <c r="V18" s="1"/>
  <c r="Q18"/>
  <c r="J19"/>
  <c r="S19" s="1"/>
  <c r="K19"/>
  <c r="T19" s="1"/>
  <c r="L19"/>
  <c r="U19" s="1"/>
  <c r="M19"/>
  <c r="V19" s="1"/>
  <c r="Q19"/>
  <c r="J20"/>
  <c r="S20" s="1"/>
  <c r="K20"/>
  <c r="T20" s="1"/>
  <c r="L20"/>
  <c r="U20" s="1"/>
  <c r="M20"/>
  <c r="V20" s="1"/>
  <c r="Q20"/>
  <c r="J21"/>
  <c r="S21" s="1"/>
  <c r="K21"/>
  <c r="T21" s="1"/>
  <c r="L21"/>
  <c r="U21" s="1"/>
  <c r="M21"/>
  <c r="V21" s="1"/>
  <c r="Q21"/>
  <c r="J22"/>
  <c r="S22" s="1"/>
  <c r="K22"/>
  <c r="T22" s="1"/>
  <c r="L22"/>
  <c r="U22" s="1"/>
  <c r="M22"/>
  <c r="V22" s="1"/>
  <c r="Q22"/>
  <c r="J23"/>
  <c r="S23" s="1"/>
  <c r="K23"/>
  <c r="T23" s="1"/>
  <c r="L23"/>
  <c r="U23" s="1"/>
  <c r="M23"/>
  <c r="V23" s="1"/>
  <c r="Q23"/>
  <c r="J24"/>
  <c r="S24" s="1"/>
  <c r="K24"/>
  <c r="T24" s="1"/>
  <c r="L24"/>
  <c r="U24" s="1"/>
  <c r="M24"/>
  <c r="V24" s="1"/>
  <c r="Q24"/>
  <c r="J25"/>
  <c r="S25" s="1"/>
  <c r="K25"/>
  <c r="T25" s="1"/>
  <c r="L25"/>
  <c r="U25" s="1"/>
  <c r="M25"/>
  <c r="V25" s="1"/>
  <c r="Q25"/>
  <c r="J26"/>
  <c r="S26" s="1"/>
  <c r="K26"/>
  <c r="T26" s="1"/>
  <c r="L26"/>
  <c r="U26" s="1"/>
  <c r="M26"/>
  <c r="V26" s="1"/>
  <c r="Q26"/>
  <c r="J27"/>
  <c r="S27" s="1"/>
  <c r="K27"/>
  <c r="T27" s="1"/>
  <c r="L27"/>
  <c r="U27" s="1"/>
  <c r="M27"/>
  <c r="V27" s="1"/>
  <c r="Q27"/>
  <c r="J28"/>
  <c r="S28" s="1"/>
  <c r="K28"/>
  <c r="T28" s="1"/>
  <c r="L28"/>
  <c r="U28" s="1"/>
  <c r="M28"/>
  <c r="V28" s="1"/>
  <c r="Q28"/>
  <c r="J29"/>
  <c r="S29" s="1"/>
  <c r="K29"/>
  <c r="T29" s="1"/>
  <c r="L29"/>
  <c r="U29" s="1"/>
  <c r="M29"/>
  <c r="V29" s="1"/>
  <c r="Q29"/>
  <c r="J30"/>
  <c r="S30" s="1"/>
  <c r="K30"/>
  <c r="T30" s="1"/>
  <c r="L30"/>
  <c r="U30" s="1"/>
  <c r="M30"/>
  <c r="V30" s="1"/>
  <c r="Q30"/>
  <c r="J31"/>
  <c r="S31" s="1"/>
  <c r="K31"/>
  <c r="T31" s="1"/>
  <c r="L31"/>
  <c r="U31" s="1"/>
  <c r="M31"/>
  <c r="V31" s="1"/>
  <c r="Q31"/>
  <c r="J32"/>
  <c r="S32" s="1"/>
  <c r="K32"/>
  <c r="T32" s="1"/>
  <c r="L32"/>
  <c r="U32" s="1"/>
  <c r="M32"/>
  <c r="V32" s="1"/>
  <c r="Q32"/>
  <c r="J33"/>
  <c r="S33" s="1"/>
  <c r="K33"/>
  <c r="T33" s="1"/>
  <c r="L33"/>
  <c r="U33" s="1"/>
  <c r="M33"/>
  <c r="V33" s="1"/>
  <c r="Q33"/>
  <c r="J34"/>
  <c r="S34" s="1"/>
  <c r="K34"/>
  <c r="T34" s="1"/>
  <c r="L34"/>
  <c r="U34" s="1"/>
  <c r="M34"/>
  <c r="V34" s="1"/>
  <c r="Q34"/>
  <c r="J35"/>
  <c r="S35" s="1"/>
  <c r="K35"/>
  <c r="T35" s="1"/>
  <c r="L35"/>
  <c r="U35" s="1"/>
  <c r="M35"/>
  <c r="V35" s="1"/>
  <c r="Q35"/>
  <c r="J36"/>
  <c r="S36" s="1"/>
  <c r="K36"/>
  <c r="T36" s="1"/>
  <c r="L36"/>
  <c r="U36" s="1"/>
  <c r="M36"/>
  <c r="V36" s="1"/>
  <c r="Q36"/>
  <c r="J37"/>
  <c r="S37" s="1"/>
  <c r="K37"/>
  <c r="T37" s="1"/>
  <c r="L37"/>
  <c r="U37" s="1"/>
  <c r="M37"/>
  <c r="V37" s="1"/>
  <c r="Q37"/>
  <c r="J38"/>
  <c r="S38" s="1"/>
  <c r="K38"/>
  <c r="T38" s="1"/>
  <c r="L38"/>
  <c r="U38" s="1"/>
  <c r="M38"/>
  <c r="V38" s="1"/>
  <c r="Q38"/>
  <c r="J39"/>
  <c r="S39" s="1"/>
  <c r="K39"/>
  <c r="T39" s="1"/>
  <c r="L39"/>
  <c r="U39" s="1"/>
  <c r="M39"/>
  <c r="V39" s="1"/>
  <c r="Q39"/>
  <c r="J40"/>
  <c r="S40" s="1"/>
  <c r="K40"/>
  <c r="T40" s="1"/>
  <c r="L40"/>
  <c r="U40" s="1"/>
  <c r="M40"/>
  <c r="V40" s="1"/>
  <c r="Q40"/>
  <c r="J41"/>
  <c r="S41" s="1"/>
  <c r="K41"/>
  <c r="T41" s="1"/>
  <c r="L41"/>
  <c r="U41" s="1"/>
  <c r="M41"/>
  <c r="V41" s="1"/>
  <c r="Q41"/>
  <c r="J42"/>
  <c r="S42" s="1"/>
  <c r="K42"/>
  <c r="T42" s="1"/>
  <c r="L42"/>
  <c r="U42" s="1"/>
  <c r="M42"/>
  <c r="V42" s="1"/>
  <c r="Q42"/>
  <c r="J43"/>
  <c r="S43" s="1"/>
  <c r="K43"/>
  <c r="T43" s="1"/>
  <c r="L43"/>
  <c r="U43" s="1"/>
  <c r="M43"/>
  <c r="V43" s="1"/>
  <c r="Q43"/>
  <c r="J44"/>
  <c r="S44" s="1"/>
  <c r="K44"/>
  <c r="T44" s="1"/>
  <c r="L44"/>
  <c r="U44" s="1"/>
  <c r="M44"/>
  <c r="V44" s="1"/>
  <c r="Q44"/>
  <c r="J45"/>
  <c r="S45" s="1"/>
  <c r="K45"/>
  <c r="T45" s="1"/>
  <c r="L45"/>
  <c r="U45" s="1"/>
  <c r="M45"/>
  <c r="V45" s="1"/>
  <c r="Q45"/>
  <c r="J46"/>
  <c r="S46" s="1"/>
  <c r="K46"/>
  <c r="T46" s="1"/>
  <c r="L46"/>
  <c r="U46" s="1"/>
  <c r="M46"/>
  <c r="V46" s="1"/>
  <c r="Q46"/>
  <c r="J47"/>
  <c r="S47" s="1"/>
  <c r="K47"/>
  <c r="T47" s="1"/>
  <c r="L47"/>
  <c r="U47" s="1"/>
  <c r="M47"/>
  <c r="V47" s="1"/>
  <c r="Q47"/>
  <c r="J48"/>
  <c r="S48" s="1"/>
  <c r="K48"/>
  <c r="T48" s="1"/>
  <c r="L48"/>
  <c r="U48" s="1"/>
  <c r="M48"/>
  <c r="V48" s="1"/>
  <c r="Q48"/>
  <c r="J49"/>
  <c r="S49" s="1"/>
  <c r="K49"/>
  <c r="T49" s="1"/>
  <c r="L49"/>
  <c r="U49" s="1"/>
  <c r="M49"/>
  <c r="V49" s="1"/>
  <c r="Q49"/>
  <c r="J50"/>
  <c r="S50" s="1"/>
  <c r="K50"/>
  <c r="T50" s="1"/>
  <c r="L50"/>
  <c r="U50" s="1"/>
  <c r="M50"/>
  <c r="V50" s="1"/>
  <c r="Q50"/>
  <c r="J51"/>
  <c r="S51" s="1"/>
  <c r="K51"/>
  <c r="T51" s="1"/>
  <c r="L51"/>
  <c r="U51" s="1"/>
  <c r="M51"/>
  <c r="V51" s="1"/>
  <c r="Q51"/>
  <c r="J52"/>
  <c r="S52" s="1"/>
  <c r="K52"/>
  <c r="T52" s="1"/>
  <c r="L52"/>
  <c r="U52" s="1"/>
  <c r="M52"/>
  <c r="V52" s="1"/>
  <c r="Q52"/>
  <c r="J53"/>
  <c r="S53" s="1"/>
  <c r="K53"/>
  <c r="T53" s="1"/>
  <c r="L53"/>
  <c r="U53" s="1"/>
  <c r="M53"/>
  <c r="V53" s="1"/>
  <c r="Q53"/>
  <c r="J54"/>
  <c r="S54" s="1"/>
  <c r="K54"/>
  <c r="T54" s="1"/>
  <c r="L54"/>
  <c r="U54" s="1"/>
  <c r="M54"/>
  <c r="V54" s="1"/>
  <c r="Q54"/>
  <c r="J55"/>
  <c r="S55" s="1"/>
  <c r="K55"/>
  <c r="T55" s="1"/>
  <c r="L55"/>
  <c r="U55" s="1"/>
  <c r="M55"/>
  <c r="V55" s="1"/>
  <c r="Q55"/>
  <c r="J56"/>
  <c r="S56" s="1"/>
  <c r="K56"/>
  <c r="T56" s="1"/>
  <c r="L56"/>
  <c r="U56" s="1"/>
  <c r="M56"/>
  <c r="V56" s="1"/>
  <c r="Q56"/>
  <c r="J57"/>
  <c r="S57" s="1"/>
  <c r="K57"/>
  <c r="T57" s="1"/>
  <c r="L57"/>
  <c r="U57" s="1"/>
  <c r="M57"/>
  <c r="V57" s="1"/>
  <c r="Q57"/>
  <c r="J58"/>
  <c r="S58" s="1"/>
  <c r="K58"/>
  <c r="T58" s="1"/>
  <c r="L58"/>
  <c r="U58" s="1"/>
  <c r="M58"/>
  <c r="V58" s="1"/>
  <c r="Q58"/>
  <c r="J59"/>
  <c r="S59" s="1"/>
  <c r="K59"/>
  <c r="T59" s="1"/>
  <c r="L59"/>
  <c r="U59" s="1"/>
  <c r="M59"/>
  <c r="V59" s="1"/>
  <c r="Q59"/>
  <c r="J60"/>
  <c r="S60" s="1"/>
  <c r="K60"/>
  <c r="T60" s="1"/>
  <c r="L60"/>
  <c r="U60" s="1"/>
  <c r="M60"/>
  <c r="V60" s="1"/>
  <c r="Q60"/>
  <c r="J61"/>
  <c r="S61" s="1"/>
  <c r="K61"/>
  <c r="T61" s="1"/>
  <c r="L61"/>
  <c r="U61" s="1"/>
  <c r="M61"/>
  <c r="V61" s="1"/>
  <c r="Q61"/>
  <c r="J62"/>
  <c r="S62" s="1"/>
  <c r="K62"/>
  <c r="T62" s="1"/>
  <c r="L62"/>
  <c r="U62" s="1"/>
  <c r="M62"/>
  <c r="V62" s="1"/>
  <c r="Q62"/>
  <c r="J63"/>
  <c r="S63" s="1"/>
  <c r="K63"/>
  <c r="T63" s="1"/>
  <c r="L63"/>
  <c r="U63" s="1"/>
  <c r="M63"/>
  <c r="V63" s="1"/>
  <c r="Q63"/>
  <c r="J64"/>
  <c r="S64" s="1"/>
  <c r="K64"/>
  <c r="T64" s="1"/>
  <c r="L64"/>
  <c r="U64" s="1"/>
  <c r="M64"/>
  <c r="V64" s="1"/>
  <c r="Q64"/>
  <c r="J65"/>
  <c r="S65" s="1"/>
  <c r="K65"/>
  <c r="T65" s="1"/>
  <c r="L65"/>
  <c r="U65" s="1"/>
  <c r="M65"/>
  <c r="V65" s="1"/>
  <c r="Q65"/>
  <c r="J66"/>
  <c r="S66" s="1"/>
  <c r="K66"/>
  <c r="T66" s="1"/>
  <c r="L66"/>
  <c r="U66" s="1"/>
  <c r="M66"/>
  <c r="V66" s="1"/>
  <c r="Q66"/>
  <c r="J67"/>
  <c r="S67" s="1"/>
  <c r="K67"/>
  <c r="T67" s="1"/>
  <c r="L67"/>
  <c r="U67" s="1"/>
  <c r="M67"/>
  <c r="V67" s="1"/>
  <c r="Q67"/>
  <c r="J68"/>
  <c r="S68" s="1"/>
  <c r="K68"/>
  <c r="T68" s="1"/>
  <c r="L68"/>
  <c r="U68" s="1"/>
  <c r="M68"/>
  <c r="V68" s="1"/>
  <c r="Q68"/>
  <c r="J69"/>
  <c r="S69" s="1"/>
  <c r="K69"/>
  <c r="T69" s="1"/>
  <c r="L69"/>
  <c r="U69" s="1"/>
  <c r="M69"/>
  <c r="V69" s="1"/>
  <c r="Q69"/>
  <c r="J70"/>
  <c r="S70" s="1"/>
  <c r="K70"/>
  <c r="T70" s="1"/>
  <c r="L70"/>
  <c r="U70" s="1"/>
  <c r="M70"/>
  <c r="V70" s="1"/>
  <c r="Q70"/>
  <c r="J71"/>
  <c r="S71" s="1"/>
  <c r="K71"/>
  <c r="T71" s="1"/>
  <c r="L71"/>
  <c r="U71" s="1"/>
  <c r="M71"/>
  <c r="V71" s="1"/>
  <c r="Q71"/>
  <c r="J72"/>
  <c r="S72" s="1"/>
  <c r="K72"/>
  <c r="T72" s="1"/>
  <c r="L72"/>
  <c r="U72" s="1"/>
  <c r="M72"/>
  <c r="V72" s="1"/>
  <c r="Q72"/>
  <c r="J73"/>
  <c r="S73" s="1"/>
  <c r="K73"/>
  <c r="T73" s="1"/>
  <c r="L73"/>
  <c r="U73" s="1"/>
  <c r="M73"/>
  <c r="V73" s="1"/>
  <c r="Q73"/>
  <c r="J74"/>
  <c r="S74" s="1"/>
  <c r="K74"/>
  <c r="T74" s="1"/>
  <c r="L74"/>
  <c r="U74" s="1"/>
  <c r="M74"/>
  <c r="V74" s="1"/>
  <c r="Q74"/>
  <c r="J75"/>
  <c r="S75" s="1"/>
  <c r="K75"/>
  <c r="T75" s="1"/>
  <c r="L75"/>
  <c r="U75" s="1"/>
  <c r="M75"/>
  <c r="V75" s="1"/>
  <c r="Q75"/>
  <c r="J76"/>
  <c r="S76" s="1"/>
  <c r="K76"/>
  <c r="T76" s="1"/>
  <c r="L76"/>
  <c r="U76" s="1"/>
  <c r="M76"/>
  <c r="V76" s="1"/>
  <c r="Q76"/>
  <c r="J77"/>
  <c r="S77" s="1"/>
  <c r="K77"/>
  <c r="T77" s="1"/>
  <c r="L77"/>
  <c r="U77" s="1"/>
  <c r="M77"/>
  <c r="V77" s="1"/>
  <c r="Q77"/>
  <c r="J78"/>
  <c r="S78" s="1"/>
  <c r="K78"/>
  <c r="T78" s="1"/>
  <c r="L78"/>
  <c r="U78" s="1"/>
  <c r="M78"/>
  <c r="V78" s="1"/>
  <c r="Q78"/>
  <c r="J79"/>
  <c r="S79" s="1"/>
  <c r="K79"/>
  <c r="T79" s="1"/>
  <c r="L79"/>
  <c r="U79" s="1"/>
  <c r="M79"/>
  <c r="V79" s="1"/>
  <c r="Q79"/>
  <c r="J80"/>
  <c r="S80" s="1"/>
  <c r="K80"/>
  <c r="T80" s="1"/>
  <c r="L80"/>
  <c r="U80" s="1"/>
  <c r="M80"/>
  <c r="V80" s="1"/>
  <c r="Q80"/>
  <c r="J81"/>
  <c r="S81" s="1"/>
  <c r="K81"/>
  <c r="T81" s="1"/>
  <c r="L81"/>
  <c r="U81" s="1"/>
  <c r="M81"/>
  <c r="V81" s="1"/>
  <c r="Q81"/>
  <c r="J82"/>
  <c r="S82" s="1"/>
  <c r="K82"/>
  <c r="T82" s="1"/>
  <c r="L82"/>
  <c r="U82" s="1"/>
  <c r="M82"/>
  <c r="V82" s="1"/>
  <c r="Q82"/>
  <c r="J83"/>
  <c r="S83" s="1"/>
  <c r="K83"/>
  <c r="T83" s="1"/>
  <c r="L83"/>
  <c r="U83" s="1"/>
  <c r="M83"/>
  <c r="V83" s="1"/>
  <c r="Q83"/>
  <c r="J84"/>
  <c r="S84" s="1"/>
  <c r="K84"/>
  <c r="T84" s="1"/>
  <c r="L84"/>
  <c r="U84" s="1"/>
  <c r="M84"/>
  <c r="V84" s="1"/>
  <c r="Q84"/>
  <c r="J85"/>
  <c r="S85" s="1"/>
  <c r="K85"/>
  <c r="T85" s="1"/>
  <c r="L85"/>
  <c r="U85" s="1"/>
  <c r="M85"/>
  <c r="V85" s="1"/>
  <c r="Q85"/>
  <c r="J86"/>
  <c r="S86" s="1"/>
  <c r="K86"/>
  <c r="T86" s="1"/>
  <c r="L86"/>
  <c r="U86" s="1"/>
  <c r="M86"/>
  <c r="V86" s="1"/>
  <c r="Q86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D345" i="12"/>
  <c r="E345" s="1"/>
  <c r="D342"/>
  <c r="E342" s="1"/>
  <c r="D344"/>
  <c r="E344" s="1"/>
  <c r="D341"/>
  <c r="E341" s="1"/>
  <c r="D343"/>
  <c r="E343" s="1"/>
  <c r="D340"/>
  <c r="E340" s="1"/>
  <c r="G130" i="1"/>
  <c r="H130" s="1"/>
  <c r="G139"/>
  <c r="H139" s="1"/>
  <c r="J130"/>
  <c r="J139"/>
  <c r="D457" i="12"/>
  <c r="E457" s="1"/>
  <c r="D456"/>
  <c r="E456" s="1"/>
  <c r="D455"/>
  <c r="E455" s="1"/>
  <c r="D454"/>
  <c r="E454" s="1"/>
  <c r="G111" i="1"/>
  <c r="H111" s="1"/>
  <c r="J111"/>
  <c r="D450" i="12"/>
  <c r="E450" s="1"/>
  <c r="D449"/>
  <c r="E449" s="1"/>
  <c r="D448"/>
  <c r="E448" s="1"/>
  <c r="D380"/>
  <c r="D384"/>
  <c r="E384" s="1"/>
  <c r="D379"/>
  <c r="D383"/>
  <c r="E383" s="1"/>
  <c r="D378"/>
  <c r="D382"/>
  <c r="E382" s="1"/>
  <c r="G82" i="1"/>
  <c r="H82" s="1"/>
  <c r="J82"/>
  <c r="D377" i="12"/>
  <c r="E377" s="1"/>
  <c r="D381"/>
  <c r="E381" s="1"/>
  <c r="G106" i="1"/>
  <c r="H106" s="1"/>
  <c r="G80"/>
  <c r="H80" s="1"/>
  <c r="J106"/>
  <c r="J80"/>
  <c r="D387" i="12"/>
  <c r="E387" s="1"/>
  <c r="D390"/>
  <c r="D386"/>
  <c r="E386" s="1"/>
  <c r="D389"/>
  <c r="D385"/>
  <c r="E385" s="1"/>
  <c r="D388"/>
  <c r="G85" i="1"/>
  <c r="H85" s="1"/>
  <c r="J85"/>
  <c r="G79"/>
  <c r="H79" s="1"/>
  <c r="J79"/>
  <c r="D91" i="12"/>
  <c r="D95"/>
  <c r="E95" s="1"/>
  <c r="D99"/>
  <c r="E99" s="1"/>
  <c r="D103"/>
  <c r="E103" s="1"/>
  <c r="D107"/>
  <c r="D83"/>
  <c r="E83" s="1"/>
  <c r="D87"/>
  <c r="E87" s="1"/>
  <c r="D90"/>
  <c r="E90" s="1"/>
  <c r="D94"/>
  <c r="E94" s="1"/>
  <c r="D98"/>
  <c r="E98" s="1"/>
  <c r="D102"/>
  <c r="E102" s="1"/>
  <c r="D106"/>
  <c r="E106" s="1"/>
  <c r="D82"/>
  <c r="E82" s="1"/>
  <c r="D86"/>
  <c r="E86" s="1"/>
  <c r="D89"/>
  <c r="D93"/>
  <c r="E93" s="1"/>
  <c r="D97"/>
  <c r="E97" s="1"/>
  <c r="D101"/>
  <c r="E101" s="1"/>
  <c r="D105"/>
  <c r="D81"/>
  <c r="E81" s="1"/>
  <c r="D85"/>
  <c r="E85" s="1"/>
  <c r="M338"/>
  <c r="D88"/>
  <c r="E88" s="1"/>
  <c r="D92"/>
  <c r="E92" s="1"/>
  <c r="D96"/>
  <c r="E96" s="1"/>
  <c r="D100"/>
  <c r="E100" s="1"/>
  <c r="D104"/>
  <c r="E104" s="1"/>
  <c r="D80"/>
  <c r="E80" s="1"/>
  <c r="D84"/>
  <c r="E84" s="1"/>
  <c r="G142" i="1"/>
  <c r="H142" s="1"/>
  <c r="G74"/>
  <c r="H74" s="1"/>
  <c r="G43"/>
  <c r="H43" s="1"/>
  <c r="G46"/>
  <c r="H46" s="1"/>
  <c r="G86"/>
  <c r="H86" s="1"/>
  <c r="G68"/>
  <c r="H68" s="1"/>
  <c r="G140"/>
  <c r="H140" s="1"/>
  <c r="J142"/>
  <c r="J74"/>
  <c r="J43"/>
  <c r="J46"/>
  <c r="J86"/>
  <c r="J68"/>
  <c r="J140"/>
  <c r="D144" i="12"/>
  <c r="E144" s="1"/>
  <c r="D148"/>
  <c r="D143"/>
  <c r="E143" s="1"/>
  <c r="D147"/>
  <c r="D142"/>
  <c r="E142" s="1"/>
  <c r="D146"/>
  <c r="D141"/>
  <c r="E141" s="1"/>
  <c r="D145"/>
  <c r="G113" i="1"/>
  <c r="H113" s="1"/>
  <c r="G65"/>
  <c r="H65" s="1"/>
  <c r="J113"/>
  <c r="J65"/>
  <c r="D502" i="12"/>
  <c r="E502" s="1"/>
  <c r="D501"/>
  <c r="D500"/>
  <c r="E500" s="1"/>
  <c r="G115" i="1"/>
  <c r="H115" s="1"/>
  <c r="J115"/>
  <c r="D447" i="12"/>
  <c r="E447" s="1"/>
  <c r="D446"/>
  <c r="D445"/>
  <c r="E445" s="1"/>
  <c r="D444"/>
  <c r="G23" i="1"/>
  <c r="H23" s="1"/>
  <c r="J23"/>
  <c r="D63" i="12"/>
  <c r="E63" s="1"/>
  <c r="D64"/>
  <c r="E64" s="1"/>
  <c r="D68"/>
  <c r="D67"/>
  <c r="E67" s="1"/>
  <c r="D66"/>
  <c r="E66" s="1"/>
  <c r="D62"/>
  <c r="E62" s="1"/>
  <c r="D61"/>
  <c r="D65"/>
  <c r="E65" s="1"/>
  <c r="G17" i="1"/>
  <c r="H17" s="1"/>
  <c r="J17"/>
  <c r="G28"/>
  <c r="H28" s="1"/>
  <c r="J28"/>
  <c r="D57" i="12"/>
  <c r="D60"/>
  <c r="E60" s="1"/>
  <c r="D56"/>
  <c r="D59"/>
  <c r="E59" s="1"/>
  <c r="D58"/>
  <c r="E58" s="1"/>
  <c r="D55"/>
  <c r="E55" s="1"/>
  <c r="G122" i="1"/>
  <c r="H122" s="1"/>
  <c r="J122"/>
  <c r="G153"/>
  <c r="H153" s="1"/>
  <c r="J153"/>
  <c r="D51" i="12"/>
  <c r="E51" s="1"/>
  <c r="D54"/>
  <c r="E54" s="1"/>
  <c r="D50"/>
  <c r="E50" s="1"/>
  <c r="D53"/>
  <c r="E53" s="1"/>
  <c r="M288"/>
  <c r="D52"/>
  <c r="E52" s="1"/>
  <c r="D49"/>
  <c r="G136" i="1"/>
  <c r="H136" s="1"/>
  <c r="J136"/>
  <c r="G141"/>
  <c r="H141" s="1"/>
  <c r="J141"/>
  <c r="D136" i="12"/>
  <c r="E136" s="1"/>
  <c r="D138"/>
  <c r="E138" s="1"/>
  <c r="D140"/>
  <c r="E140" s="1"/>
  <c r="D135"/>
  <c r="E135" s="1"/>
  <c r="D137"/>
  <c r="E137" s="1"/>
  <c r="D139"/>
  <c r="G49" i="1"/>
  <c r="H49" s="1"/>
  <c r="J49"/>
  <c r="G71"/>
  <c r="H71" s="1"/>
  <c r="J71"/>
  <c r="G47"/>
  <c r="H47" s="1"/>
  <c r="J47"/>
  <c r="N286" i="12"/>
  <c r="D44"/>
  <c r="E44" s="1"/>
  <c r="D48"/>
  <c r="E48" s="1"/>
  <c r="D43"/>
  <c r="E43" s="1"/>
  <c r="D47"/>
  <c r="E47" s="1"/>
  <c r="D42"/>
  <c r="E42" s="1"/>
  <c r="D46"/>
  <c r="E46" s="1"/>
  <c r="D41"/>
  <c r="E41" s="1"/>
  <c r="D45"/>
  <c r="G33" i="1"/>
  <c r="H33" s="1"/>
  <c r="J33"/>
  <c r="G40"/>
  <c r="H40" s="1"/>
  <c r="J40"/>
  <c r="D272" i="12"/>
  <c r="E272" s="1"/>
  <c r="D271"/>
  <c r="E271" s="1"/>
  <c r="D270"/>
  <c r="E270" s="1"/>
  <c r="D269"/>
  <c r="E269" s="1"/>
  <c r="G54" i="1"/>
  <c r="H54" s="1"/>
  <c r="J54"/>
  <c r="D23" i="12"/>
  <c r="E23" s="1"/>
  <c r="D22"/>
  <c r="E22" s="1"/>
  <c r="D21"/>
  <c r="D20"/>
  <c r="E20" s="1"/>
  <c r="G20" i="1"/>
  <c r="H20" s="1"/>
  <c r="J20"/>
  <c r="D27" i="12"/>
  <c r="E27" s="1"/>
  <c r="D31"/>
  <c r="D26"/>
  <c r="E26" s="1"/>
  <c r="D30"/>
  <c r="D25"/>
  <c r="E25" s="1"/>
  <c r="D29"/>
  <c r="D28"/>
  <c r="E28" s="1"/>
  <c r="D24"/>
  <c r="E24" s="1"/>
  <c r="G91" i="1"/>
  <c r="H91" s="1"/>
  <c r="J91"/>
  <c r="G103"/>
  <c r="H103" s="1"/>
  <c r="J103"/>
  <c r="D19" i="12"/>
  <c r="E19" s="1"/>
  <c r="D18"/>
  <c r="D17"/>
  <c r="E17" s="1"/>
  <c r="G52" i="1"/>
  <c r="H52" s="1"/>
  <c r="J52"/>
  <c r="D111" i="12"/>
  <c r="E111" s="1"/>
  <c r="D115"/>
  <c r="D110"/>
  <c r="E110" s="1"/>
  <c r="D114"/>
  <c r="D109"/>
  <c r="E109" s="1"/>
  <c r="D113"/>
  <c r="D112"/>
  <c r="E112" s="1"/>
  <c r="D108"/>
  <c r="G61" i="1"/>
  <c r="H61" s="1"/>
  <c r="J61"/>
  <c r="G124"/>
  <c r="H124" s="1"/>
  <c r="J124"/>
  <c r="D5" i="12"/>
  <c r="E5" s="1"/>
  <c r="D4"/>
  <c r="E4" s="1"/>
  <c r="D3"/>
  <c r="E3" s="1"/>
  <c r="D2"/>
  <c r="E2" s="1"/>
  <c r="G59" i="1"/>
  <c r="H59" s="1"/>
  <c r="J59"/>
  <c r="D36" i="12"/>
  <c r="E36" s="1"/>
  <c r="D40"/>
  <c r="E40" s="1"/>
  <c r="D35"/>
  <c r="E35" s="1"/>
  <c r="D39"/>
  <c r="E39" s="1"/>
  <c r="D34"/>
  <c r="E34" s="1"/>
  <c r="D38"/>
  <c r="E38" s="1"/>
  <c r="D37"/>
  <c r="E37" s="1"/>
  <c r="D33"/>
  <c r="E33" s="1"/>
  <c r="G63" i="1"/>
  <c r="H63" s="1"/>
  <c r="J63"/>
  <c r="G72"/>
  <c r="H72" s="1"/>
  <c r="J72"/>
  <c r="D477" i="12"/>
  <c r="E477" s="1"/>
  <c r="D481"/>
  <c r="E481" s="1"/>
  <c r="D485"/>
  <c r="D476"/>
  <c r="D480"/>
  <c r="E480" s="1"/>
  <c r="D484"/>
  <c r="E484" s="1"/>
  <c r="D475"/>
  <c r="E475" s="1"/>
  <c r="D479"/>
  <c r="E479" s="1"/>
  <c r="D483"/>
  <c r="E483" s="1"/>
  <c r="I475"/>
  <c r="I483"/>
  <c r="D474"/>
  <c r="E474" s="1"/>
  <c r="D478"/>
  <c r="E478" s="1"/>
  <c r="D482"/>
  <c r="E482" s="1"/>
  <c r="G146" i="1"/>
  <c r="H146" s="1"/>
  <c r="J146"/>
  <c r="G81"/>
  <c r="H81" s="1"/>
  <c r="J81"/>
  <c r="G148"/>
  <c r="H148" s="1"/>
  <c r="J148"/>
  <c r="G159"/>
  <c r="H159" s="1"/>
  <c r="J159"/>
  <c r="G157"/>
  <c r="H157" s="1"/>
  <c r="J157"/>
  <c r="D517" i="12"/>
  <c r="D521"/>
  <c r="E521" s="1"/>
  <c r="D516"/>
  <c r="D520"/>
  <c r="E520" s="1"/>
  <c r="D519"/>
  <c r="E519" s="1"/>
  <c r="D515"/>
  <c r="E515" s="1"/>
  <c r="D518"/>
  <c r="E518" s="1"/>
  <c r="I518"/>
  <c r="D514"/>
  <c r="E514" s="1"/>
  <c r="I514"/>
  <c r="D396"/>
  <c r="E396" s="1"/>
  <c r="D399"/>
  <c r="E399" s="1"/>
  <c r="D395"/>
  <c r="D398"/>
  <c r="E398" s="1"/>
  <c r="D397"/>
  <c r="E397" s="1"/>
  <c r="D394"/>
  <c r="E394" s="1"/>
  <c r="G129" i="1"/>
  <c r="H129" s="1"/>
  <c r="J129"/>
  <c r="G131"/>
  <c r="H131" s="1"/>
  <c r="J131"/>
  <c r="M178" i="12"/>
  <c r="D467"/>
  <c r="E467" s="1"/>
  <c r="D470"/>
  <c r="E470" s="1"/>
  <c r="D466"/>
  <c r="E466" s="1"/>
  <c r="D469"/>
  <c r="E469" s="1"/>
  <c r="D468"/>
  <c r="D465"/>
  <c r="E465" s="1"/>
  <c r="G93" i="1"/>
  <c r="H93" s="1"/>
  <c r="J93"/>
  <c r="G100"/>
  <c r="H100" s="1"/>
  <c r="J100"/>
  <c r="D489" i="12"/>
  <c r="E489" s="1"/>
  <c r="D493"/>
  <c r="E493" s="1"/>
  <c r="D488"/>
  <c r="E488" s="1"/>
  <c r="D492"/>
  <c r="E492" s="1"/>
  <c r="D487"/>
  <c r="E487" s="1"/>
  <c r="D491"/>
  <c r="E491" s="1"/>
  <c r="D490"/>
  <c r="N495" s="1"/>
  <c r="D486"/>
  <c r="E486" s="1"/>
  <c r="G53" i="1"/>
  <c r="H53" s="1"/>
  <c r="J53"/>
  <c r="G78"/>
  <c r="H78" s="1"/>
  <c r="J78"/>
  <c r="D256" i="12"/>
  <c r="D255"/>
  <c r="E255" s="1"/>
  <c r="D254"/>
  <c r="D253"/>
  <c r="E253" s="1"/>
  <c r="G104" i="1"/>
  <c r="H104" s="1"/>
  <c r="J104"/>
  <c r="D496" i="12"/>
  <c r="D495"/>
  <c r="E495" s="1"/>
  <c r="D494"/>
  <c r="E494" s="1"/>
  <c r="G18" i="1"/>
  <c r="H18" s="1"/>
  <c r="J18"/>
  <c r="D152" i="12"/>
  <c r="D151"/>
  <c r="E151" s="1"/>
  <c r="I151"/>
  <c r="D150"/>
  <c r="G154" i="1"/>
  <c r="H154" s="1"/>
  <c r="J154"/>
  <c r="D149" i="12"/>
  <c r="D357"/>
  <c r="E357" s="1"/>
  <c r="D361"/>
  <c r="E361" s="1"/>
  <c r="D356"/>
  <c r="D360"/>
  <c r="D355"/>
  <c r="D359"/>
  <c r="E359" s="1"/>
  <c r="D358"/>
  <c r="E358" s="1"/>
  <c r="D354"/>
  <c r="D525"/>
  <c r="E525" s="1"/>
  <c r="D524"/>
  <c r="D523"/>
  <c r="E523" s="1"/>
  <c r="D522"/>
  <c r="D528"/>
  <c r="D527"/>
  <c r="D526"/>
  <c r="G62" i="1"/>
  <c r="H62" s="1"/>
  <c r="J62"/>
  <c r="G58"/>
  <c r="H58" s="1"/>
  <c r="J58"/>
  <c r="D404" i="12"/>
  <c r="E404" s="1"/>
  <c r="D403"/>
  <c r="D402"/>
  <c r="E402" s="1"/>
  <c r="D365"/>
  <c r="D369"/>
  <c r="E369" s="1"/>
  <c r="D364"/>
  <c r="E364" s="1"/>
  <c r="D368"/>
  <c r="E368" s="1"/>
  <c r="D363"/>
  <c r="D367"/>
  <c r="E367" s="1"/>
  <c r="D366"/>
  <c r="D362"/>
  <c r="E362" s="1"/>
  <c r="G27" i="1"/>
  <c r="H27" s="1"/>
  <c r="J27"/>
  <c r="G29"/>
  <c r="H29" s="1"/>
  <c r="J29"/>
  <c r="D333" i="12"/>
  <c r="D332"/>
  <c r="E332" s="1"/>
  <c r="D331"/>
  <c r="E331" s="1"/>
  <c r="D323"/>
  <c r="E323" s="1"/>
  <c r="D322"/>
  <c r="E322" s="1"/>
  <c r="D326"/>
  <c r="E326" s="1"/>
  <c r="D327"/>
  <c r="E327" s="1"/>
  <c r="D318"/>
  <c r="E318" s="1"/>
  <c r="D319"/>
  <c r="E319" s="1"/>
  <c r="D320"/>
  <c r="E320" s="1"/>
  <c r="D321"/>
  <c r="E321" s="1"/>
  <c r="G96" i="1"/>
  <c r="H96" s="1"/>
  <c r="J96"/>
  <c r="D311" i="12"/>
  <c r="E311" s="1"/>
  <c r="D310"/>
  <c r="E310" s="1"/>
  <c r="I310"/>
  <c r="D309"/>
  <c r="E309" s="1"/>
  <c r="D308"/>
  <c r="I308"/>
  <c r="D307"/>
  <c r="E307" s="1"/>
  <c r="I307"/>
  <c r="G97" i="1"/>
  <c r="H97" s="1"/>
  <c r="J97"/>
  <c r="D302" i="12"/>
  <c r="E302" s="1"/>
  <c r="D306"/>
  <c r="E306" s="1"/>
  <c r="D301"/>
  <c r="E301" s="1"/>
  <c r="D305"/>
  <c r="E305" s="1"/>
  <c r="D300"/>
  <c r="E300" s="1"/>
  <c r="D304"/>
  <c r="E304" s="1"/>
  <c r="D303"/>
  <c r="E303" s="1"/>
  <c r="D299"/>
  <c r="E299" s="1"/>
  <c r="G7" i="1"/>
  <c r="H7" s="1"/>
  <c r="J7"/>
  <c r="D407" i="12"/>
  <c r="E407" s="1"/>
  <c r="D408"/>
  <c r="E408" s="1"/>
  <c r="G147" i="1"/>
  <c r="H147" s="1"/>
  <c r="J147"/>
  <c r="D406" i="12"/>
  <c r="E406" s="1"/>
  <c r="D405"/>
  <c r="E405" s="1"/>
  <c r="D315"/>
  <c r="E315" s="1"/>
  <c r="D314"/>
  <c r="E314" s="1"/>
  <c r="D313"/>
  <c r="E313" s="1"/>
  <c r="D312"/>
  <c r="E312" s="1"/>
  <c r="G14" i="1"/>
  <c r="H14" s="1"/>
  <c r="J14"/>
  <c r="D353" i="12"/>
  <c r="E353" s="1"/>
  <c r="D349"/>
  <c r="E349" s="1"/>
  <c r="D352"/>
  <c r="E352" s="1"/>
  <c r="D348"/>
  <c r="E348" s="1"/>
  <c r="D347"/>
  <c r="E347" s="1"/>
  <c r="D351"/>
  <c r="E351" s="1"/>
  <c r="G45" i="1"/>
  <c r="H45" s="1"/>
  <c r="J45"/>
  <c r="D346" i="12"/>
  <c r="E346" s="1"/>
  <c r="D350"/>
  <c r="E350" s="1"/>
  <c r="D542"/>
  <c r="E542" s="1"/>
  <c r="D545"/>
  <c r="E545" s="1"/>
  <c r="D541"/>
  <c r="E541" s="1"/>
  <c r="D544"/>
  <c r="K114" i="9"/>
  <c r="J115"/>
  <c r="J114"/>
  <c r="J113"/>
  <c r="J134"/>
  <c r="S130" s="1"/>
  <c r="J135"/>
  <c r="S131" s="1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J120"/>
  <c r="J119"/>
  <c r="J118"/>
  <c r="J117"/>
  <c r="J116"/>
  <c r="D543" i="12"/>
  <c r="E543" s="1"/>
  <c r="D540"/>
  <c r="E540" s="1"/>
  <c r="G158" i="1"/>
  <c r="H158" s="1"/>
  <c r="J158"/>
  <c r="G156"/>
  <c r="H156" s="1"/>
  <c r="J156"/>
  <c r="D223" i="12"/>
  <c r="E223" s="1"/>
  <c r="D222"/>
  <c r="E222" s="1"/>
  <c r="D221"/>
  <c r="E221" s="1"/>
  <c r="D220"/>
  <c r="E220" s="1"/>
  <c r="D227"/>
  <c r="E227" s="1"/>
  <c r="D231"/>
  <c r="E231" s="1"/>
  <c r="D235"/>
  <c r="E235" s="1"/>
  <c r="D226"/>
  <c r="E226" s="1"/>
  <c r="D230"/>
  <c r="E230" s="1"/>
  <c r="D234"/>
  <c r="E234" s="1"/>
  <c r="D225"/>
  <c r="E225" s="1"/>
  <c r="D229"/>
  <c r="E229" s="1"/>
  <c r="D233"/>
  <c r="E233" s="1"/>
  <c r="D232"/>
  <c r="E232" s="1"/>
  <c r="D228"/>
  <c r="E228" s="1"/>
  <c r="D224"/>
  <c r="E224" s="1"/>
  <c r="Q131" i="9"/>
  <c r="Q129"/>
  <c r="R131"/>
  <c r="R128"/>
  <c r="A112"/>
  <c r="J112" s="1"/>
  <c r="A111"/>
  <c r="A110"/>
  <c r="A109"/>
  <c r="A108"/>
  <c r="A107"/>
  <c r="Q107" s="1"/>
  <c r="A106"/>
  <c r="A105"/>
  <c r="A104"/>
  <c r="A103"/>
  <c r="A102"/>
  <c r="A101"/>
  <c r="A100"/>
  <c r="A99"/>
  <c r="A98"/>
  <c r="A97"/>
  <c r="A96"/>
  <c r="A95"/>
  <c r="A94"/>
  <c r="A93"/>
  <c r="A92"/>
  <c r="A91"/>
  <c r="A90"/>
  <c r="Q90" s="1"/>
  <c r="A89"/>
  <c r="A88"/>
  <c r="A87"/>
  <c r="A86"/>
  <c r="A85"/>
  <c r="A84"/>
  <c r="A83"/>
  <c r="A82"/>
  <c r="A81"/>
  <c r="A80"/>
  <c r="A79"/>
  <c r="A78"/>
  <c r="Q78" s="1"/>
  <c r="A77"/>
  <c r="A76"/>
  <c r="A75"/>
  <c r="A74"/>
  <c r="A73"/>
  <c r="A72"/>
  <c r="A71"/>
  <c r="Q71" s="1"/>
  <c r="A70"/>
  <c r="A69"/>
  <c r="A68"/>
  <c r="A67"/>
  <c r="A66"/>
  <c r="A65"/>
  <c r="A64"/>
  <c r="A63"/>
  <c r="Q63" s="1"/>
  <c r="A62"/>
  <c r="A61"/>
  <c r="A60"/>
  <c r="R109" s="1"/>
  <c r="A59"/>
  <c r="A58"/>
  <c r="Q58" s="1"/>
  <c r="A57"/>
  <c r="A56"/>
  <c r="A55"/>
  <c r="Q55" s="1"/>
  <c r="A54"/>
  <c r="Q54" s="1"/>
  <c r="A53"/>
  <c r="A52"/>
  <c r="A51"/>
  <c r="A50"/>
  <c r="Q50" s="1"/>
  <c r="A49"/>
  <c r="A48"/>
  <c r="A47"/>
  <c r="Q47" s="1"/>
  <c r="A46"/>
  <c r="A45"/>
  <c r="A44"/>
  <c r="A43"/>
  <c r="Q73" s="1"/>
  <c r="A42"/>
  <c r="Q42" s="1"/>
  <c r="A41"/>
  <c r="A40"/>
  <c r="A39"/>
  <c r="Q39" s="1"/>
  <c r="A38"/>
  <c r="A37"/>
  <c r="A36"/>
  <c r="A35"/>
  <c r="Q65" s="1"/>
  <c r="A34"/>
  <c r="A33"/>
  <c r="A32"/>
  <c r="A31"/>
  <c r="Q60" s="1"/>
  <c r="A30"/>
  <c r="A29"/>
  <c r="J29" s="1"/>
  <c r="A28"/>
  <c r="Q57" s="1"/>
  <c r="A27"/>
  <c r="Q56" s="1"/>
  <c r="A26"/>
  <c r="A25"/>
  <c r="A24"/>
  <c r="Q53" s="1"/>
  <c r="A23"/>
  <c r="A22"/>
  <c r="A21"/>
  <c r="A20"/>
  <c r="Q49" s="1"/>
  <c r="A19"/>
  <c r="Q48" s="1"/>
  <c r="A18"/>
  <c r="A17"/>
  <c r="A16"/>
  <c r="Q45" s="1"/>
  <c r="A15"/>
  <c r="Q44" s="1"/>
  <c r="A14"/>
  <c r="A13"/>
  <c r="A12"/>
  <c r="Q41" s="1"/>
  <c r="A11"/>
  <c r="Q40" s="1"/>
  <c r="A10"/>
  <c r="A9"/>
  <c r="A8"/>
  <c r="Q37" s="1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G67" i="1"/>
  <c r="H67" s="1"/>
  <c r="J67"/>
  <c r="G19"/>
  <c r="H19" s="1"/>
  <c r="J19"/>
  <c r="D278" i="12"/>
  <c r="E278" s="1"/>
  <c r="D280"/>
  <c r="E280" s="1"/>
  <c r="D279"/>
  <c r="E279" s="1"/>
  <c r="I279"/>
  <c r="D277"/>
  <c r="E277" s="1"/>
  <c r="I277"/>
  <c r="G160" i="1"/>
  <c r="H160" s="1"/>
  <c r="J160"/>
  <c r="G161"/>
  <c r="H161" s="1"/>
  <c r="J161"/>
  <c r="D260" i="12"/>
  <c r="E260" s="1"/>
  <c r="D264"/>
  <c r="E264" s="1"/>
  <c r="D268"/>
  <c r="E268" s="1"/>
  <c r="D259"/>
  <c r="E259" s="1"/>
  <c r="D263"/>
  <c r="E263" s="1"/>
  <c r="D267"/>
  <c r="E267" s="1"/>
  <c r="D258"/>
  <c r="E258" s="1"/>
  <c r="D262"/>
  <c r="E262" s="1"/>
  <c r="D266"/>
  <c r="E266" s="1"/>
  <c r="D265"/>
  <c r="D261"/>
  <c r="E261" s="1"/>
  <c r="D257"/>
  <c r="E257" s="1"/>
  <c r="G30" i="1"/>
  <c r="H30" s="1"/>
  <c r="J30"/>
  <c r="G32"/>
  <c r="H32" s="1"/>
  <c r="J32"/>
  <c r="Q8" i="9"/>
  <c r="Q38"/>
  <c r="Q43"/>
  <c r="Q46"/>
  <c r="Q51"/>
  <c r="Q52"/>
  <c r="Q59"/>
  <c r="Q64"/>
  <c r="Q67"/>
  <c r="Q68"/>
  <c r="Q69"/>
  <c r="Q72"/>
  <c r="Q77"/>
  <c r="Q81"/>
  <c r="Q106"/>
  <c r="Q130"/>
  <c r="G88" i="1"/>
  <c r="H88" s="1"/>
  <c r="J88"/>
  <c r="D330" i="12"/>
  <c r="E330" s="1"/>
  <c r="D329"/>
  <c r="D328"/>
  <c r="E328" s="1"/>
  <c r="D216"/>
  <c r="E216" s="1"/>
  <c r="D219"/>
  <c r="E219" s="1"/>
  <c r="D215"/>
  <c r="E215" s="1"/>
  <c r="D218"/>
  <c r="E218" s="1"/>
  <c r="D217"/>
  <c r="D214"/>
  <c r="E214" s="1"/>
  <c r="G102" i="1"/>
  <c r="H102" s="1"/>
  <c r="J102"/>
  <c r="D179" i="12"/>
  <c r="E179" s="1"/>
  <c r="D183"/>
  <c r="E183" s="1"/>
  <c r="D178"/>
  <c r="E178" s="1"/>
  <c r="D182"/>
  <c r="E182" s="1"/>
  <c r="D177"/>
  <c r="E177" s="1"/>
  <c r="D181"/>
  <c r="E181" s="1"/>
  <c r="D180"/>
  <c r="E180" s="1"/>
  <c r="D176"/>
  <c r="G83" i="1"/>
  <c r="H83" s="1"/>
  <c r="J83"/>
  <c r="D209" i="12"/>
  <c r="E209" s="1"/>
  <c r="D213"/>
  <c r="E213" s="1"/>
  <c r="D208"/>
  <c r="E208" s="1"/>
  <c r="D212"/>
  <c r="E212" s="1"/>
  <c r="D207"/>
  <c r="E207" s="1"/>
  <c r="D211"/>
  <c r="E211" s="1"/>
  <c r="D210"/>
  <c r="D206"/>
  <c r="E206" s="1"/>
  <c r="D159"/>
  <c r="E159" s="1"/>
  <c r="D163"/>
  <c r="E163" s="1"/>
  <c r="D167"/>
  <c r="E167" s="1"/>
  <c r="I163"/>
  <c r="D158"/>
  <c r="E158" s="1"/>
  <c r="D162"/>
  <c r="E162" s="1"/>
  <c r="D166"/>
  <c r="E166" s="1"/>
  <c r="I158"/>
  <c r="I162"/>
  <c r="I166"/>
  <c r="D157"/>
  <c r="E157" s="1"/>
  <c r="D161"/>
  <c r="E161" s="1"/>
  <c r="D165"/>
  <c r="E165" s="1"/>
  <c r="I157"/>
  <c r="I161"/>
  <c r="I165"/>
  <c r="G31" i="1"/>
  <c r="H31" s="1"/>
  <c r="J31"/>
  <c r="G34"/>
  <c r="H34" s="1"/>
  <c r="J34"/>
  <c r="D164" i="12"/>
  <c r="E164" s="1"/>
  <c r="D160"/>
  <c r="E160" s="1"/>
  <c r="D156"/>
  <c r="E156" s="1"/>
  <c r="D171"/>
  <c r="D175"/>
  <c r="E175" s="1"/>
  <c r="D170"/>
  <c r="E170" s="1"/>
  <c r="D174"/>
  <c r="E174" s="1"/>
  <c r="D169"/>
  <c r="D173"/>
  <c r="E173" s="1"/>
  <c r="D172"/>
  <c r="E172" s="1"/>
  <c r="D168"/>
  <c r="E168" s="1"/>
  <c r="G36" i="1"/>
  <c r="H36" s="1"/>
  <c r="J36"/>
  <c r="G35"/>
  <c r="H35" s="1"/>
  <c r="J35"/>
  <c r="N72" i="12"/>
  <c r="D186"/>
  <c r="E186" s="1"/>
  <c r="D189"/>
  <c r="E189" s="1"/>
  <c r="D192"/>
  <c r="E192" s="1"/>
  <c r="D185"/>
  <c r="E185" s="1"/>
  <c r="D188"/>
  <c r="E188" s="1"/>
  <c r="D191"/>
  <c r="E191" s="1"/>
  <c r="D190"/>
  <c r="D187"/>
  <c r="E187" s="1"/>
  <c r="D184"/>
  <c r="G9" i="1"/>
  <c r="H9" s="1"/>
  <c r="J9"/>
  <c r="G11"/>
  <c r="H11" s="1"/>
  <c r="J11"/>
  <c r="D205" i="12"/>
  <c r="D204"/>
  <c r="E204" s="1"/>
  <c r="D203"/>
  <c r="E203" s="1"/>
  <c r="D202"/>
  <c r="E202" s="1"/>
  <c r="D201"/>
  <c r="I201"/>
  <c r="D293"/>
  <c r="E293" s="1"/>
  <c r="D298"/>
  <c r="E298" s="1"/>
  <c r="D292"/>
  <c r="E292" s="1"/>
  <c r="D297"/>
  <c r="D291"/>
  <c r="E291" s="1"/>
  <c r="D296"/>
  <c r="E296" s="1"/>
  <c r="D290"/>
  <c r="E290" s="1"/>
  <c r="D295"/>
  <c r="D294"/>
  <c r="E294" s="1"/>
  <c r="D289"/>
  <c r="K579" l="1"/>
  <c r="K578"/>
  <c r="K577"/>
  <c r="K576"/>
  <c r="K575"/>
  <c r="K574"/>
  <c r="K573"/>
  <c r="W95" i="1"/>
  <c r="W105"/>
  <c r="K572" i="12"/>
  <c r="K571"/>
  <c r="K570"/>
  <c r="W69" i="1"/>
  <c r="K569" i="12"/>
  <c r="K568"/>
  <c r="K567"/>
  <c r="W42" i="1"/>
  <c r="K566" i="12"/>
  <c r="K565"/>
  <c r="K564"/>
  <c r="W89" i="1"/>
  <c r="K243" i="12"/>
  <c r="K239"/>
  <c r="K238"/>
  <c r="K242"/>
  <c r="K237"/>
  <c r="K241"/>
  <c r="K240"/>
  <c r="K236"/>
  <c r="E544"/>
  <c r="N544"/>
  <c r="E527"/>
  <c r="N527"/>
  <c r="E516"/>
  <c r="N516"/>
  <c r="E517"/>
  <c r="N519"/>
  <c r="N492"/>
  <c r="W84" i="1"/>
  <c r="W108"/>
  <c r="K414" i="12"/>
  <c r="K417"/>
  <c r="K413"/>
  <c r="K416"/>
  <c r="K415"/>
  <c r="K412"/>
  <c r="K499"/>
  <c r="K498"/>
  <c r="K497"/>
  <c r="K509"/>
  <c r="K508"/>
  <c r="K507"/>
  <c r="K425"/>
  <c r="K424"/>
  <c r="K423"/>
  <c r="K422"/>
  <c r="K376"/>
  <c r="K375"/>
  <c r="K374"/>
  <c r="K373"/>
  <c r="K155"/>
  <c r="K154"/>
  <c r="K153"/>
  <c r="K134"/>
  <c r="K133"/>
  <c r="K132"/>
  <c r="K131"/>
  <c r="K130"/>
  <c r="K129"/>
  <c r="K128"/>
  <c r="K13"/>
  <c r="K12"/>
  <c r="K11"/>
  <c r="K10"/>
  <c r="W145" i="1"/>
  <c r="W144"/>
  <c r="W2"/>
  <c r="W77"/>
  <c r="W121"/>
  <c r="W128"/>
  <c r="W126"/>
  <c r="W117"/>
  <c r="W143"/>
  <c r="W21"/>
  <c r="K336" i="12"/>
  <c r="K335"/>
  <c r="K334"/>
  <c r="W22" i="1"/>
  <c r="K539" i="12"/>
  <c r="K538"/>
  <c r="K537"/>
  <c r="K536"/>
  <c r="W38" i="1"/>
  <c r="K435" i="12"/>
  <c r="K434"/>
  <c r="K433"/>
  <c r="K432"/>
  <c r="W3" i="1"/>
  <c r="K554" i="12"/>
  <c r="K553"/>
  <c r="K552"/>
  <c r="W50" i="1"/>
  <c r="K411" i="12"/>
  <c r="K410"/>
  <c r="K409"/>
  <c r="W152" i="1"/>
  <c r="K453" i="12"/>
  <c r="K452"/>
  <c r="K451"/>
  <c r="W66" i="1"/>
  <c r="K339" i="12"/>
  <c r="K338"/>
  <c r="K337"/>
  <c r="W92" i="1"/>
  <c r="K276" i="12"/>
  <c r="K275"/>
  <c r="K274"/>
  <c r="K273"/>
  <c r="W110" i="1"/>
  <c r="K461" i="12"/>
  <c r="K460"/>
  <c r="K459"/>
  <c r="K458"/>
  <c r="W119" i="1"/>
  <c r="M451" i="12"/>
  <c r="K401"/>
  <c r="K400"/>
  <c r="M410"/>
  <c r="M452"/>
  <c r="W39" i="1"/>
  <c r="W118"/>
  <c r="K16" i="12"/>
  <c r="K14"/>
  <c r="K15"/>
  <c r="K547"/>
  <c r="K546"/>
  <c r="W116" i="1"/>
  <c r="K548" i="12"/>
  <c r="K419"/>
  <c r="K418"/>
  <c r="K420"/>
  <c r="K421"/>
  <c r="K372"/>
  <c r="W75" i="1"/>
  <c r="K371" i="12"/>
  <c r="K370"/>
  <c r="W114" i="1"/>
  <c r="K72" i="12"/>
  <c r="K74"/>
  <c r="K76"/>
  <c r="K71"/>
  <c r="K75"/>
  <c r="K73"/>
  <c r="K70"/>
  <c r="K69"/>
  <c r="W64" i="1"/>
  <c r="W57"/>
  <c r="K562" i="12"/>
  <c r="K560"/>
  <c r="K558"/>
  <c r="K563"/>
  <c r="K561"/>
  <c r="W41" i="1"/>
  <c r="W37"/>
  <c r="K559" i="12"/>
  <c r="N150" i="1"/>
  <c r="O150" s="1"/>
  <c r="N101"/>
  <c r="O101" s="1"/>
  <c r="N151"/>
  <c r="O151" s="1"/>
  <c r="N94"/>
  <c r="O94" s="1"/>
  <c r="N120"/>
  <c r="O120" s="1"/>
  <c r="N155"/>
  <c r="O155" s="1"/>
  <c r="N90"/>
  <c r="O90" s="1"/>
  <c r="N107"/>
  <c r="O107" s="1"/>
  <c r="N138"/>
  <c r="O138" s="1"/>
  <c r="N132"/>
  <c r="O132" s="1"/>
  <c r="N87"/>
  <c r="O87" s="1"/>
  <c r="N135"/>
  <c r="O135" s="1"/>
  <c r="N41"/>
  <c r="O41" s="1"/>
  <c r="N37"/>
  <c r="O37" s="1"/>
  <c r="K431" i="12"/>
  <c r="K429"/>
  <c r="W55" i="1"/>
  <c r="K428" i="12"/>
  <c r="W60" i="1"/>
  <c r="K427" i="12"/>
  <c r="K430"/>
  <c r="K426"/>
  <c r="N60" i="1"/>
  <c r="O60" s="1"/>
  <c r="N55"/>
  <c r="O55" s="1"/>
  <c r="K535" i="12"/>
  <c r="K533"/>
  <c r="K534"/>
  <c r="K557"/>
  <c r="K556"/>
  <c r="K555"/>
  <c r="W112" i="1"/>
  <c r="W134"/>
  <c r="N134"/>
  <c r="O134" s="1"/>
  <c r="N112"/>
  <c r="O112" s="1"/>
  <c r="K391" i="12"/>
  <c r="W138" i="1"/>
  <c r="K392" i="12"/>
  <c r="K393"/>
  <c r="K77"/>
  <c r="K79"/>
  <c r="K78"/>
  <c r="K196"/>
  <c r="K194"/>
  <c r="K200"/>
  <c r="K198"/>
  <c r="K195"/>
  <c r="W137" i="1"/>
  <c r="K199" i="12"/>
  <c r="K197"/>
  <c r="W109" i="1"/>
  <c r="W56"/>
  <c r="K193" i="12"/>
  <c r="K504"/>
  <c r="K506"/>
  <c r="W133" i="1"/>
  <c r="K505" i="12"/>
  <c r="K503"/>
  <c r="W155" i="1"/>
  <c r="K251" i="12"/>
  <c r="K250"/>
  <c r="K252"/>
  <c r="K126"/>
  <c r="K121"/>
  <c r="K116"/>
  <c r="W120" i="1"/>
  <c r="K123" i="12"/>
  <c r="K118"/>
  <c r="K124"/>
  <c r="W123" i="1"/>
  <c r="K119" i="12"/>
  <c r="K117"/>
  <c r="K120"/>
  <c r="K127"/>
  <c r="K125"/>
  <c r="K122"/>
  <c r="W132" i="1"/>
  <c r="Q66" i="9"/>
  <c r="Q74"/>
  <c r="Q102"/>
  <c r="R129"/>
  <c r="Q128"/>
  <c r="Q70"/>
  <c r="K284" i="12"/>
  <c r="K288"/>
  <c r="K283"/>
  <c r="K287"/>
  <c r="K282"/>
  <c r="K286"/>
  <c r="K281"/>
  <c r="K285"/>
  <c r="W94" i="1"/>
  <c r="W107"/>
  <c r="K532" i="12"/>
  <c r="K531"/>
  <c r="K530"/>
  <c r="K529"/>
  <c r="W150" i="1"/>
  <c r="K32" i="12"/>
  <c r="W135" i="1"/>
  <c r="K246" i="12"/>
  <c r="K249"/>
  <c r="K245"/>
  <c r="K248"/>
  <c r="K244"/>
  <c r="K247"/>
  <c r="W149" i="1"/>
  <c r="W151"/>
  <c r="K513" i="12"/>
  <c r="K512"/>
  <c r="K511"/>
  <c r="K510"/>
  <c r="W125" i="1"/>
  <c r="K439" i="12"/>
  <c r="K443"/>
  <c r="K438"/>
  <c r="K442"/>
  <c r="K437"/>
  <c r="K441"/>
  <c r="K440"/>
  <c r="K436"/>
  <c r="K2"/>
  <c r="K3"/>
  <c r="K4"/>
  <c r="K5"/>
  <c r="K6"/>
  <c r="K7"/>
  <c r="K8"/>
  <c r="K9"/>
  <c r="K17"/>
  <c r="K18"/>
  <c r="K19"/>
  <c r="K20"/>
  <c r="K21"/>
  <c r="K22"/>
  <c r="K23"/>
  <c r="K24"/>
  <c r="K25"/>
  <c r="K26"/>
  <c r="K27"/>
  <c r="K28"/>
  <c r="K29"/>
  <c r="K30"/>
  <c r="K31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7"/>
  <c r="K278"/>
  <c r="K279"/>
  <c r="K280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7"/>
  <c r="K378"/>
  <c r="K379"/>
  <c r="K380"/>
  <c r="K381"/>
  <c r="K382"/>
  <c r="K383"/>
  <c r="K384"/>
  <c r="K385"/>
  <c r="K386"/>
  <c r="K387"/>
  <c r="K388"/>
  <c r="K389"/>
  <c r="K390"/>
  <c r="K394"/>
  <c r="K395"/>
  <c r="K396"/>
  <c r="K397"/>
  <c r="K398"/>
  <c r="K399"/>
  <c r="K402"/>
  <c r="K403"/>
  <c r="K404"/>
  <c r="K405"/>
  <c r="K406"/>
  <c r="K407"/>
  <c r="K408"/>
  <c r="K444"/>
  <c r="K445"/>
  <c r="K446"/>
  <c r="K447"/>
  <c r="K448"/>
  <c r="K449"/>
  <c r="K450"/>
  <c r="K454"/>
  <c r="K455"/>
  <c r="K456"/>
  <c r="K457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500"/>
  <c r="K501"/>
  <c r="K502"/>
  <c r="K514"/>
  <c r="K515"/>
  <c r="K516"/>
  <c r="K517"/>
  <c r="K518"/>
  <c r="K519"/>
  <c r="K520"/>
  <c r="K521"/>
  <c r="K522"/>
  <c r="K523"/>
  <c r="K524"/>
  <c r="K525"/>
  <c r="K526"/>
  <c r="K527"/>
  <c r="K528"/>
  <c r="K540"/>
  <c r="K541"/>
  <c r="K542"/>
  <c r="K543"/>
  <c r="K544"/>
  <c r="K545"/>
  <c r="K549"/>
  <c r="K550"/>
  <c r="K551"/>
  <c r="K462"/>
  <c r="K463"/>
  <c r="K464"/>
  <c r="W4" i="1"/>
  <c r="W25"/>
  <c r="W20"/>
  <c r="W5"/>
  <c r="W8"/>
  <c r="W10"/>
  <c r="W7"/>
  <c r="W51"/>
  <c r="W74"/>
  <c r="W17"/>
  <c r="W113"/>
  <c r="W65"/>
  <c r="W46"/>
  <c r="W146"/>
  <c r="W97"/>
  <c r="W86"/>
  <c r="W6"/>
  <c r="W68"/>
  <c r="W34"/>
  <c r="W28"/>
  <c r="W148"/>
  <c r="W140"/>
  <c r="W49"/>
  <c r="W15"/>
  <c r="W47"/>
  <c r="W142"/>
  <c r="W67"/>
  <c r="W11"/>
  <c r="W19"/>
  <c r="W9"/>
  <c r="W63"/>
  <c r="W59"/>
  <c r="W72"/>
  <c r="W26"/>
  <c r="W16"/>
  <c r="W82"/>
  <c r="W23"/>
  <c r="W53"/>
  <c r="W12"/>
  <c r="W33"/>
  <c r="W61"/>
  <c r="W71"/>
  <c r="W32"/>
  <c r="W24"/>
  <c r="W30"/>
  <c r="W40"/>
  <c r="W13"/>
  <c r="W54"/>
  <c r="W14"/>
  <c r="W78"/>
  <c r="W80"/>
  <c r="W43"/>
  <c r="W31"/>
  <c r="W79"/>
  <c r="W124"/>
  <c r="W29"/>
  <c r="W35"/>
  <c r="W91"/>
  <c r="W18"/>
  <c r="W36"/>
  <c r="W85"/>
  <c r="W104"/>
  <c r="W27"/>
  <c r="W103"/>
  <c r="W70"/>
  <c r="W88"/>
  <c r="W52"/>
  <c r="W106"/>
  <c r="W48"/>
  <c r="W81"/>
  <c r="W58"/>
  <c r="W111"/>
  <c r="W96"/>
  <c r="W44"/>
  <c r="W45"/>
  <c r="W76"/>
  <c r="W98"/>
  <c r="W93"/>
  <c r="W100"/>
  <c r="W102"/>
  <c r="W130"/>
  <c r="W62"/>
  <c r="W83"/>
  <c r="W73"/>
  <c r="W139"/>
  <c r="W122"/>
  <c r="W99"/>
  <c r="W131"/>
  <c r="W129"/>
  <c r="W115"/>
  <c r="W127"/>
  <c r="W136"/>
  <c r="W141"/>
  <c r="W147"/>
  <c r="W153"/>
  <c r="W154"/>
  <c r="W157"/>
  <c r="W156"/>
  <c r="W159"/>
  <c r="W158"/>
  <c r="W162"/>
  <c r="W160"/>
  <c r="W161"/>
  <c r="W163"/>
  <c r="W101"/>
  <c r="W90"/>
  <c r="W87"/>
  <c r="E289" i="12"/>
  <c r="G289" s="1"/>
  <c r="E295"/>
  <c r="G295" s="1"/>
  <c r="E297"/>
  <c r="G297" s="1"/>
  <c r="E201"/>
  <c r="G201" s="1"/>
  <c r="E205"/>
  <c r="G205" s="1"/>
  <c r="E184"/>
  <c r="G184" s="1"/>
  <c r="E190"/>
  <c r="G190" s="1"/>
  <c r="E169"/>
  <c r="G169" s="1"/>
  <c r="E171"/>
  <c r="G171" s="1"/>
  <c r="E210"/>
  <c r="G210" s="1"/>
  <c r="E176"/>
  <c r="G176" s="1"/>
  <c r="E217"/>
  <c r="G217" s="1"/>
  <c r="E329"/>
  <c r="G329" s="1"/>
  <c r="E265"/>
  <c r="G265" s="1"/>
  <c r="E308"/>
  <c r="G308" s="1"/>
  <c r="E333"/>
  <c r="G333" s="1"/>
  <c r="E366"/>
  <c r="G366" s="1"/>
  <c r="E363"/>
  <c r="G363" s="1"/>
  <c r="E365"/>
  <c r="G365" s="1"/>
  <c r="E403"/>
  <c r="G403" s="1"/>
  <c r="E526"/>
  <c r="G526" s="1"/>
  <c r="E528"/>
  <c r="G528" s="1"/>
  <c r="E522"/>
  <c r="G522" s="1"/>
  <c r="E524"/>
  <c r="G524" s="1"/>
  <c r="E354"/>
  <c r="G354" s="1"/>
  <c r="E355"/>
  <c r="G355" s="1"/>
  <c r="E360"/>
  <c r="G360" s="1"/>
  <c r="E356"/>
  <c r="G356" s="1"/>
  <c r="E149"/>
  <c r="G149" s="1"/>
  <c r="E150"/>
  <c r="G150" s="1"/>
  <c r="E152"/>
  <c r="G152" s="1"/>
  <c r="E496"/>
  <c r="G496" s="1"/>
  <c r="E254"/>
  <c r="G254" s="1"/>
  <c r="E256"/>
  <c r="G256" s="1"/>
  <c r="E490"/>
  <c r="G490" s="1"/>
  <c r="E468"/>
  <c r="G468" s="1"/>
  <c r="E395"/>
  <c r="G395" s="1"/>
  <c r="E476"/>
  <c r="G476" s="1"/>
  <c r="E485"/>
  <c r="G485" s="1"/>
  <c r="E108"/>
  <c r="G108" s="1"/>
  <c r="E113"/>
  <c r="G113" s="1"/>
  <c r="E114"/>
  <c r="G114" s="1"/>
  <c r="E115"/>
  <c r="G115" s="1"/>
  <c r="E18"/>
  <c r="G18" s="1"/>
  <c r="E29"/>
  <c r="G29" s="1"/>
  <c r="E30"/>
  <c r="G30" s="1"/>
  <c r="E31"/>
  <c r="G31" s="1"/>
  <c r="E21"/>
  <c r="G21" s="1"/>
  <c r="E45"/>
  <c r="G45" s="1"/>
  <c r="E139"/>
  <c r="G139" s="1"/>
  <c r="E49"/>
  <c r="G49" s="1"/>
  <c r="E56"/>
  <c r="G56" s="1"/>
  <c r="E57"/>
  <c r="G57" s="1"/>
  <c r="E61"/>
  <c r="G61" s="1"/>
  <c r="E68"/>
  <c r="G68" s="1"/>
  <c r="E444"/>
  <c r="G444" s="1"/>
  <c r="E446"/>
  <c r="G446" s="1"/>
  <c r="E501"/>
  <c r="G501" s="1"/>
  <c r="E145"/>
  <c r="G145" s="1"/>
  <c r="E146"/>
  <c r="G146" s="1"/>
  <c r="E147"/>
  <c r="G147" s="1"/>
  <c r="E148"/>
  <c r="G148" s="1"/>
  <c r="E105"/>
  <c r="G105" s="1"/>
  <c r="E89"/>
  <c r="G89" s="1"/>
  <c r="E107"/>
  <c r="G107" s="1"/>
  <c r="E91"/>
  <c r="G91" s="1"/>
  <c r="E388"/>
  <c r="G388" s="1"/>
  <c r="E389"/>
  <c r="G389" s="1"/>
  <c r="E390"/>
  <c r="G390" s="1"/>
  <c r="E378"/>
  <c r="G378" s="1"/>
  <c r="E379"/>
  <c r="G379" s="1"/>
  <c r="E380"/>
  <c r="G380" s="1"/>
  <c r="M161" i="1"/>
  <c r="M160"/>
  <c r="M156"/>
  <c r="M158"/>
  <c r="M157"/>
  <c r="M159"/>
  <c r="Q62" i="9"/>
  <c r="Q101"/>
  <c r="R110"/>
  <c r="R111"/>
  <c r="R87"/>
  <c r="R88"/>
  <c r="R104"/>
  <c r="R105"/>
  <c r="R103"/>
  <c r="R19"/>
  <c r="R20"/>
  <c r="R21"/>
  <c r="R22"/>
  <c r="R91"/>
  <c r="Q79"/>
  <c r="Q80"/>
  <c r="R94"/>
  <c r="R95"/>
  <c r="R97"/>
  <c r="R98"/>
  <c r="R99"/>
  <c r="R13"/>
  <c r="R14"/>
  <c r="R7"/>
  <c r="R30"/>
  <c r="R31"/>
  <c r="R9"/>
  <c r="R11"/>
  <c r="R12"/>
  <c r="R10"/>
  <c r="R61"/>
  <c r="R15"/>
  <c r="R16"/>
  <c r="R32"/>
  <c r="R33"/>
  <c r="R34"/>
  <c r="R17"/>
  <c r="R18"/>
  <c r="R35"/>
  <c r="R36"/>
  <c r="R25"/>
  <c r="R26"/>
  <c r="R27"/>
  <c r="R28"/>
  <c r="R29"/>
  <c r="R23"/>
  <c r="R24"/>
  <c r="R85"/>
  <c r="R86"/>
  <c r="R83"/>
  <c r="R84"/>
  <c r="R92"/>
  <c r="R93"/>
  <c r="R76"/>
  <c r="G138" i="12"/>
  <c r="G341"/>
  <c r="G342"/>
  <c r="G345"/>
  <c r="G204"/>
  <c r="G168"/>
  <c r="G174"/>
  <c r="G156"/>
  <c r="G164"/>
  <c r="G207"/>
  <c r="G209"/>
  <c r="G328"/>
  <c r="G543"/>
  <c r="G312"/>
  <c r="G405"/>
  <c r="G307"/>
  <c r="G310"/>
  <c r="G320"/>
  <c r="G326"/>
  <c r="G344"/>
  <c r="G280"/>
  <c r="G228"/>
  <c r="G221"/>
  <c r="G223"/>
  <c r="G544"/>
  <c r="G352"/>
  <c r="G407"/>
  <c r="G525"/>
  <c r="G255"/>
  <c r="G267"/>
  <c r="G233"/>
  <c r="G291"/>
  <c r="G293"/>
  <c r="G294"/>
  <c r="G206"/>
  <c r="G211"/>
  <c r="G213"/>
  <c r="G277"/>
  <c r="G279"/>
  <c r="G224"/>
  <c r="G332"/>
  <c r="G382"/>
  <c r="G383"/>
  <c r="G384"/>
  <c r="G541"/>
  <c r="G305"/>
  <c r="G486"/>
  <c r="G33"/>
  <c r="G3"/>
  <c r="G343"/>
  <c r="G340"/>
  <c r="G165"/>
  <c r="G478"/>
  <c r="G101"/>
  <c r="G103"/>
  <c r="G227"/>
  <c r="G220"/>
  <c r="G346"/>
  <c r="G301"/>
  <c r="G309"/>
  <c r="G491"/>
  <c r="G493"/>
  <c r="G470"/>
  <c r="G475"/>
  <c r="G38"/>
  <c r="G40"/>
  <c r="G109"/>
  <c r="G110"/>
  <c r="G111"/>
  <c r="G25"/>
  <c r="G26"/>
  <c r="G27"/>
  <c r="G41"/>
  <c r="G42"/>
  <c r="G43"/>
  <c r="G44"/>
  <c r="G140"/>
  <c r="G64"/>
  <c r="G141"/>
  <c r="G142"/>
  <c r="G143"/>
  <c r="G144"/>
  <c r="G100"/>
  <c r="G106"/>
  <c r="G90"/>
  <c r="G385"/>
  <c r="G386"/>
  <c r="G387"/>
  <c r="G166"/>
  <c r="G182"/>
  <c r="G219"/>
  <c r="G202"/>
  <c r="G187"/>
  <c r="G186"/>
  <c r="G159"/>
  <c r="G177"/>
  <c r="G179"/>
  <c r="G216"/>
  <c r="G257"/>
  <c r="G262"/>
  <c r="G540"/>
  <c r="G351"/>
  <c r="G349"/>
  <c r="G313"/>
  <c r="G315"/>
  <c r="G406"/>
  <c r="G303"/>
  <c r="G311"/>
  <c r="G321"/>
  <c r="G319"/>
  <c r="G327"/>
  <c r="G322"/>
  <c r="G331"/>
  <c r="G362"/>
  <c r="G367"/>
  <c r="G369"/>
  <c r="G402"/>
  <c r="G151"/>
  <c r="G495"/>
  <c r="G487"/>
  <c r="G489"/>
  <c r="G467"/>
  <c r="G394"/>
  <c r="G399"/>
  <c r="G480"/>
  <c r="G34"/>
  <c r="G36"/>
  <c r="G112"/>
  <c r="G17"/>
  <c r="G19"/>
  <c r="G20"/>
  <c r="G22"/>
  <c r="G52"/>
  <c r="G55"/>
  <c r="G59"/>
  <c r="G60"/>
  <c r="G65"/>
  <c r="G445"/>
  <c r="G447"/>
  <c r="G500"/>
  <c r="G502"/>
  <c r="G84"/>
  <c r="G96"/>
  <c r="G102"/>
  <c r="G86"/>
  <c r="G98"/>
  <c r="G377"/>
  <c r="Q139" i="1"/>
  <c r="G82" i="12"/>
  <c r="G94"/>
  <c r="G454"/>
  <c r="G456"/>
  <c r="Q130" i="1"/>
  <c r="N130" s="1"/>
  <c r="O130" s="1"/>
  <c r="Q76" i="9"/>
  <c r="G272" i="12"/>
  <c r="G46"/>
  <c r="G135"/>
  <c r="G66"/>
  <c r="G83"/>
  <c r="G95"/>
  <c r="G381"/>
  <c r="G28"/>
  <c r="G99"/>
  <c r="G63"/>
  <c r="G24"/>
  <c r="G271"/>
  <c r="G47"/>
  <c r="G104"/>
  <c r="G88"/>
  <c r="G85"/>
  <c r="G97"/>
  <c r="G455"/>
  <c r="G62"/>
  <c r="G67"/>
  <c r="G48"/>
  <c r="G137"/>
  <c r="G81"/>
  <c r="G93"/>
  <c r="G448"/>
  <c r="G450"/>
  <c r="G457"/>
  <c r="R75" i="9"/>
  <c r="Q75"/>
  <c r="G162" i="12"/>
  <c r="G258"/>
  <c r="G268"/>
  <c r="G229"/>
  <c r="G292"/>
  <c r="G296"/>
  <c r="G298"/>
  <c r="G203"/>
  <c r="G185"/>
  <c r="G189"/>
  <c r="G172"/>
  <c r="G173"/>
  <c r="G175"/>
  <c r="G160"/>
  <c r="G163"/>
  <c r="G208"/>
  <c r="G180"/>
  <c r="G181"/>
  <c r="G183"/>
  <c r="G214"/>
  <c r="G215"/>
  <c r="G330"/>
  <c r="G261"/>
  <c r="G266"/>
  <c r="G260"/>
  <c r="G232"/>
  <c r="G226"/>
  <c r="G231"/>
  <c r="G222"/>
  <c r="G542"/>
  <c r="G350"/>
  <c r="G347"/>
  <c r="G348"/>
  <c r="G314"/>
  <c r="G408"/>
  <c r="G299"/>
  <c r="G300"/>
  <c r="G302"/>
  <c r="G318"/>
  <c r="G323"/>
  <c r="G364"/>
  <c r="G404"/>
  <c r="G527"/>
  <c r="G357"/>
  <c r="G37"/>
  <c r="G4"/>
  <c r="G58"/>
  <c r="G191"/>
  <c r="G161"/>
  <c r="G263"/>
  <c r="G234"/>
  <c r="R112" i="9"/>
  <c r="G290" i="12"/>
  <c r="G188"/>
  <c r="G192"/>
  <c r="G170"/>
  <c r="G157"/>
  <c r="G158"/>
  <c r="G167"/>
  <c r="G212"/>
  <c r="G178"/>
  <c r="G218"/>
  <c r="G259"/>
  <c r="G264"/>
  <c r="G278"/>
  <c r="G225"/>
  <c r="G230"/>
  <c r="G235"/>
  <c r="G545"/>
  <c r="G353"/>
  <c r="G304"/>
  <c r="G306"/>
  <c r="Q112" i="9"/>
  <c r="G368" i="12"/>
  <c r="G474"/>
  <c r="G481"/>
  <c r="G5"/>
  <c r="G23"/>
  <c r="G523"/>
  <c r="G358"/>
  <c r="G359"/>
  <c r="G361"/>
  <c r="G494"/>
  <c r="G253"/>
  <c r="G488"/>
  <c r="G465"/>
  <c r="G466"/>
  <c r="G397"/>
  <c r="G398"/>
  <c r="G482"/>
  <c r="G479"/>
  <c r="G484"/>
  <c r="G35"/>
  <c r="G269"/>
  <c r="G136"/>
  <c r="G80"/>
  <c r="G92"/>
  <c r="G449"/>
  <c r="G492"/>
  <c r="G469"/>
  <c r="G396"/>
  <c r="G483"/>
  <c r="G477"/>
  <c r="G39"/>
  <c r="G270"/>
  <c r="G87"/>
  <c r="Q111" i="1"/>
  <c r="Q82"/>
  <c r="Q80"/>
  <c r="N80" s="1"/>
  <c r="O80" s="1"/>
  <c r="Q106"/>
  <c r="Q85"/>
  <c r="Q79"/>
  <c r="Q93" i="9"/>
  <c r="Q92"/>
  <c r="Q84"/>
  <c r="Q83"/>
  <c r="Q86"/>
  <c r="Q85"/>
  <c r="Q140" i="1"/>
  <c r="Q68"/>
  <c r="N68" s="1"/>
  <c r="O68" s="1"/>
  <c r="Q86"/>
  <c r="Q46"/>
  <c r="N46" s="1"/>
  <c r="O46" s="1"/>
  <c r="Q43"/>
  <c r="Q74"/>
  <c r="N74" s="1"/>
  <c r="O74" s="1"/>
  <c r="Q142"/>
  <c r="N142" s="1"/>
  <c r="O142" s="1"/>
  <c r="Q24" i="9"/>
  <c r="Q23"/>
  <c r="Q29"/>
  <c r="Q28"/>
  <c r="Q27"/>
  <c r="Q26"/>
  <c r="Q25"/>
  <c r="Q65" i="1"/>
  <c r="Q113"/>
  <c r="Q115"/>
  <c r="Q36" i="9"/>
  <c r="Q35"/>
  <c r="Q23" i="1"/>
  <c r="N23" s="1"/>
  <c r="O23" s="1"/>
  <c r="Q103" i="9"/>
  <c r="Q91"/>
  <c r="Q17" i="1"/>
  <c r="Q28"/>
  <c r="Q22" i="9"/>
  <c r="Q21"/>
  <c r="Q20"/>
  <c r="Q19"/>
  <c r="Q122" i="1"/>
  <c r="Q153"/>
  <c r="G53" i="12"/>
  <c r="G50"/>
  <c r="G54"/>
  <c r="G51"/>
  <c r="Q18" i="9"/>
  <c r="Q17"/>
  <c r="Q136" i="1"/>
  <c r="Q141"/>
  <c r="N141" s="1"/>
  <c r="O141" s="1"/>
  <c r="Q49"/>
  <c r="Q71"/>
  <c r="Q47"/>
  <c r="Q34" i="9"/>
  <c r="Q33"/>
  <c r="Q32"/>
  <c r="Q33" i="1"/>
  <c r="N33" s="1"/>
  <c r="O33" s="1"/>
  <c r="Q40"/>
  <c r="Q16" i="9"/>
  <c r="Q54" i="1"/>
  <c r="N54" s="1"/>
  <c r="O54" s="1"/>
  <c r="Q15" i="9"/>
  <c r="Q61"/>
  <c r="Q10"/>
  <c r="Q20" i="1"/>
  <c r="Q12" i="9"/>
  <c r="Q11"/>
  <c r="Q91" i="1"/>
  <c r="Q103"/>
  <c r="N103" s="1"/>
  <c r="O103" s="1"/>
  <c r="Q9" i="9"/>
  <c r="Q52" i="1"/>
  <c r="Q61"/>
  <c r="Q124"/>
  <c r="Q31" i="9"/>
  <c r="G514" i="12"/>
  <c r="G518"/>
  <c r="G515"/>
  <c r="G519"/>
  <c r="G520"/>
  <c r="G516"/>
  <c r="G521"/>
  <c r="G517"/>
  <c r="G2"/>
  <c r="Q30" i="9"/>
  <c r="Q7"/>
  <c r="Q59" i="1"/>
  <c r="Q63"/>
  <c r="Q72"/>
  <c r="Q146"/>
  <c r="Q81"/>
  <c r="Q148"/>
  <c r="Q159"/>
  <c r="Q157"/>
  <c r="N157" s="1"/>
  <c r="O157" s="1"/>
  <c r="Q129"/>
  <c r="Q131"/>
  <c r="Q93"/>
  <c r="N93" s="1"/>
  <c r="O93" s="1"/>
  <c r="Q100"/>
  <c r="Q109" i="9"/>
  <c r="Q14"/>
  <c r="Q53" i="1"/>
  <c r="N53" s="1"/>
  <c r="O53" s="1"/>
  <c r="Q78"/>
  <c r="N78" s="1"/>
  <c r="O78" s="1"/>
  <c r="Q13" i="9"/>
  <c r="Q99"/>
  <c r="Q98"/>
  <c r="Q104" i="1"/>
  <c r="Q18"/>
  <c r="N18" s="1"/>
  <c r="O18" s="1"/>
  <c r="Q154"/>
  <c r="N154" s="1"/>
  <c r="O154" s="1"/>
  <c r="Q97" i="9"/>
  <c r="Q62" i="1"/>
  <c r="N62" s="1"/>
  <c r="O62" s="1"/>
  <c r="Q58"/>
  <c r="Q105" i="9"/>
  <c r="Q104"/>
  <c r="Q88"/>
  <c r="Q87"/>
  <c r="Q95"/>
  <c r="Q27" i="1"/>
  <c r="Q29"/>
  <c r="Q94" i="9"/>
  <c r="Q111"/>
  <c r="Q110"/>
  <c r="Q96" i="1"/>
  <c r="Q97"/>
  <c r="N97" s="1"/>
  <c r="O97" s="1"/>
  <c r="Q7"/>
  <c r="N7" s="1"/>
  <c r="O7" s="1"/>
  <c r="Q147"/>
  <c r="Q14"/>
  <c r="N14" s="1"/>
  <c r="O14" s="1"/>
  <c r="Q45"/>
  <c r="S113" i="9"/>
  <c r="S114"/>
  <c r="S115"/>
  <c r="S116"/>
  <c r="S117"/>
  <c r="S118"/>
  <c r="S119"/>
  <c r="S120"/>
  <c r="S121"/>
  <c r="S122"/>
  <c r="S123"/>
  <c r="S124"/>
  <c r="S125"/>
  <c r="S126"/>
  <c r="S127"/>
  <c r="S129"/>
  <c r="S128"/>
  <c r="Q158" i="1"/>
  <c r="Q156"/>
  <c r="Q67"/>
  <c r="Q19"/>
  <c r="N19" s="1"/>
  <c r="O19" s="1"/>
  <c r="Q160"/>
  <c r="Q161"/>
  <c r="N161" s="1"/>
  <c r="O161" s="1"/>
  <c r="Q30"/>
  <c r="Q32"/>
  <c r="Q88"/>
  <c r="N88" s="1"/>
  <c r="O88" s="1"/>
  <c r="Q102"/>
  <c r="N102" s="1"/>
  <c r="O102" s="1"/>
  <c r="Q83"/>
  <c r="N83" s="1"/>
  <c r="O83" s="1"/>
  <c r="Q31"/>
  <c r="N31" s="1"/>
  <c r="O31" s="1"/>
  <c r="Q34"/>
  <c r="Q36"/>
  <c r="Q35"/>
  <c r="N35" s="1"/>
  <c r="O35" s="1"/>
  <c r="Q9"/>
  <c r="Q11"/>
  <c r="N30" l="1"/>
  <c r="O30" s="1"/>
  <c r="N58"/>
  <c r="O58" s="1"/>
  <c r="N129"/>
  <c r="O129" s="1"/>
  <c r="N81"/>
  <c r="O81" s="1"/>
  <c r="N59"/>
  <c r="O59" s="1"/>
  <c r="N115"/>
  <c r="O115" s="1"/>
  <c r="N140"/>
  <c r="O140" s="1"/>
  <c r="N111"/>
  <c r="O111" s="1"/>
  <c r="N104"/>
  <c r="O104" s="1"/>
  <c r="N124"/>
  <c r="O124" s="1"/>
  <c r="N28"/>
  <c r="O28" s="1"/>
  <c r="N113"/>
  <c r="O113" s="1"/>
  <c r="N106"/>
  <c r="O106" s="1"/>
  <c r="N11"/>
  <c r="O11" s="1"/>
  <c r="N34"/>
  <c r="O34" s="1"/>
  <c r="N160"/>
  <c r="O160" s="1"/>
  <c r="N158"/>
  <c r="O158" s="1"/>
  <c r="N147"/>
  <c r="O147" s="1"/>
  <c r="N27"/>
  <c r="O27" s="1"/>
  <c r="N159"/>
  <c r="O159" s="1"/>
  <c r="N72"/>
  <c r="O72" s="1"/>
  <c r="N61"/>
  <c r="O61" s="1"/>
  <c r="N91"/>
  <c r="O91" s="1"/>
  <c r="N49"/>
  <c r="O49" s="1"/>
  <c r="N17"/>
  <c r="O17" s="1"/>
  <c r="N65"/>
  <c r="O65" s="1"/>
  <c r="N86"/>
  <c r="O86" s="1"/>
  <c r="N139"/>
  <c r="O139" s="1"/>
  <c r="N67"/>
  <c r="O67" s="1"/>
  <c r="N45"/>
  <c r="O45" s="1"/>
  <c r="N47"/>
  <c r="O47" s="1"/>
  <c r="N136"/>
  <c r="O136" s="1"/>
  <c r="N122"/>
  <c r="O122" s="1"/>
  <c r="N43"/>
  <c r="O43" s="1"/>
  <c r="N85"/>
  <c r="O85" s="1"/>
  <c r="N36"/>
  <c r="O36" s="1"/>
  <c r="N156"/>
  <c r="O156" s="1"/>
  <c r="N96"/>
  <c r="O96" s="1"/>
  <c r="N29"/>
  <c r="O29" s="1"/>
  <c r="N100"/>
  <c r="O100" s="1"/>
  <c r="N146"/>
  <c r="O146" s="1"/>
  <c r="N20"/>
  <c r="O20" s="1"/>
  <c r="N71"/>
  <c r="O71" s="1"/>
  <c r="N9"/>
  <c r="O9" s="1"/>
  <c r="N32"/>
  <c r="O32" s="1"/>
  <c r="N131"/>
  <c r="O131" s="1"/>
  <c r="N148"/>
  <c r="O148" s="1"/>
  <c r="N63"/>
  <c r="O63" s="1"/>
  <c r="N52"/>
  <c r="O52" s="1"/>
  <c r="N40"/>
  <c r="O40" s="1"/>
  <c r="N153"/>
  <c r="O153" s="1"/>
  <c r="N79"/>
  <c r="O79" s="1"/>
  <c r="N82"/>
  <c r="O82" s="1"/>
  <c r="D8" i="12"/>
  <c r="E8" s="1"/>
  <c r="D9"/>
  <c r="E9" s="1"/>
  <c r="D7"/>
  <c r="E7" s="1"/>
  <c r="D325"/>
  <c r="E325" s="1"/>
  <c r="D317"/>
  <c r="E317" s="1"/>
  <c r="G127" i="1"/>
  <c r="H127" s="1"/>
  <c r="J127"/>
  <c r="D316" i="12"/>
  <c r="E316" s="1"/>
  <c r="D324"/>
  <c r="E324" s="1"/>
  <c r="D551"/>
  <c r="E551" s="1"/>
  <c r="D550"/>
  <c r="E550" s="1"/>
  <c r="D471"/>
  <c r="E471" s="1"/>
  <c r="D472"/>
  <c r="E472" s="1"/>
  <c r="D473"/>
  <c r="E473" s="1"/>
  <c r="D549"/>
  <c r="E549" s="1"/>
  <c r="G4" i="1"/>
  <c r="H4" s="1"/>
  <c r="J4"/>
  <c r="G324" i="12" l="1"/>
  <c r="G7"/>
  <c r="G551"/>
  <c r="G317"/>
  <c r="G473"/>
  <c r="G325"/>
  <c r="G550"/>
  <c r="G472"/>
  <c r="G8"/>
  <c r="G9"/>
  <c r="G316"/>
  <c r="G549"/>
  <c r="G471"/>
  <c r="Q127" i="1"/>
  <c r="Q4"/>
  <c r="G98"/>
  <c r="H98" s="1"/>
  <c r="J98"/>
  <c r="N127" l="1"/>
  <c r="O127" s="1"/>
  <c r="N4"/>
  <c r="O4" s="1"/>
  <c r="Q98"/>
  <c r="G6"/>
  <c r="H6" s="1"/>
  <c r="J6"/>
  <c r="G25"/>
  <c r="H25" s="1"/>
  <c r="J25"/>
  <c r="G76"/>
  <c r="H76" s="1"/>
  <c r="J76"/>
  <c r="G15"/>
  <c r="H15" s="1"/>
  <c r="J15"/>
  <c r="G26"/>
  <c r="H26" s="1"/>
  <c r="J26"/>
  <c r="G48"/>
  <c r="H48" s="1"/>
  <c r="J48"/>
  <c r="G24"/>
  <c r="H24" s="1"/>
  <c r="J24"/>
  <c r="G70"/>
  <c r="H70" s="1"/>
  <c r="J70"/>
  <c r="G16"/>
  <c r="H16" s="1"/>
  <c r="J16"/>
  <c r="N98" l="1"/>
  <c r="O98" s="1"/>
  <c r="Q16"/>
  <c r="Q70"/>
  <c r="Q24"/>
  <c r="Q48"/>
  <c r="Q26"/>
  <c r="Q15"/>
  <c r="Q76"/>
  <c r="Q25"/>
  <c r="Q6"/>
  <c r="G10"/>
  <c r="H10" s="1"/>
  <c r="G8"/>
  <c r="H8" s="1"/>
  <c r="G73"/>
  <c r="H73" s="1"/>
  <c r="G51"/>
  <c r="H51" s="1"/>
  <c r="G163"/>
  <c r="H163" s="1"/>
  <c r="G162"/>
  <c r="H162" s="1"/>
  <c r="G5"/>
  <c r="H5" s="1"/>
  <c r="G99"/>
  <c r="H99" s="1"/>
  <c r="G44"/>
  <c r="H44" s="1"/>
  <c r="G12"/>
  <c r="H12" s="1"/>
  <c r="G13"/>
  <c r="H13" s="1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78"/>
  <c r="N76" i="1" l="1"/>
  <c r="O76" s="1"/>
  <c r="N15"/>
  <c r="O15" s="1"/>
  <c r="N70"/>
  <c r="O70" s="1"/>
  <c r="N6"/>
  <c r="O6" s="1"/>
  <c r="N26"/>
  <c r="O26" s="1"/>
  <c r="N16"/>
  <c r="O16" s="1"/>
  <c r="N25"/>
  <c r="O25" s="1"/>
  <c r="N48"/>
  <c r="O48" s="1"/>
  <c r="N24"/>
  <c r="O24" s="1"/>
  <c r="M162"/>
  <c r="M163"/>
  <c r="M116" i="9"/>
  <c r="L116"/>
  <c r="K116"/>
  <c r="M117"/>
  <c r="L117"/>
  <c r="K117"/>
  <c r="M118"/>
  <c r="L118"/>
  <c r="K118"/>
  <c r="Q113"/>
  <c r="R113"/>
  <c r="M119"/>
  <c r="V113" s="1"/>
  <c r="L119"/>
  <c r="K119"/>
  <c r="T113" s="1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U117" s="1"/>
  <c r="K123"/>
  <c r="T117" s="1"/>
  <c r="Q118"/>
  <c r="R118"/>
  <c r="M124"/>
  <c r="V118" s="1"/>
  <c r="L124"/>
  <c r="U118" s="1"/>
  <c r="K124"/>
  <c r="Q119"/>
  <c r="R119"/>
  <c r="M125"/>
  <c r="V119" s="1"/>
  <c r="L125"/>
  <c r="K125"/>
  <c r="Q120"/>
  <c r="R120"/>
  <c r="M126"/>
  <c r="L126"/>
  <c r="K126"/>
  <c r="T120" s="1"/>
  <c r="Q121"/>
  <c r="R121"/>
  <c r="M127"/>
  <c r="L127"/>
  <c r="U121" s="1"/>
  <c r="K127"/>
  <c r="T121" s="1"/>
  <c r="Q122"/>
  <c r="R122"/>
  <c r="M128"/>
  <c r="V122" s="1"/>
  <c r="L128"/>
  <c r="U122" s="1"/>
  <c r="K128"/>
  <c r="Q123"/>
  <c r="R123"/>
  <c r="M129"/>
  <c r="V123" s="1"/>
  <c r="L129"/>
  <c r="K129"/>
  <c r="Q124"/>
  <c r="R124"/>
  <c r="M130"/>
  <c r="L130"/>
  <c r="K130"/>
  <c r="T124" s="1"/>
  <c r="Q125"/>
  <c r="R125"/>
  <c r="M131"/>
  <c r="L131"/>
  <c r="U125" s="1"/>
  <c r="K131"/>
  <c r="T125" s="1"/>
  <c r="Q126"/>
  <c r="R126"/>
  <c r="M132"/>
  <c r="L132"/>
  <c r="K132"/>
  <c r="Q127"/>
  <c r="R127"/>
  <c r="M133"/>
  <c r="L133"/>
  <c r="K133"/>
  <c r="R89"/>
  <c r="Q89"/>
  <c r="R82"/>
  <c r="Q82"/>
  <c r="R108"/>
  <c r="Q108"/>
  <c r="R100"/>
  <c r="Q100"/>
  <c r="R96"/>
  <c r="Q96"/>
  <c r="R69"/>
  <c r="R67"/>
  <c r="R65"/>
  <c r="R63"/>
  <c r="R62"/>
  <c r="R107"/>
  <c r="R106"/>
  <c r="R102"/>
  <c r="R81"/>
  <c r="R80"/>
  <c r="R77"/>
  <c r="R74"/>
  <c r="R59"/>
  <c r="R58"/>
  <c r="R57"/>
  <c r="R56"/>
  <c r="R55"/>
  <c r="R53"/>
  <c r="R52"/>
  <c r="R49"/>
  <c r="R48"/>
  <c r="R47"/>
  <c r="R44"/>
  <c r="R43"/>
  <c r="R42"/>
  <c r="R39"/>
  <c r="R38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66"/>
  <c r="R72"/>
  <c r="R71"/>
  <c r="R79"/>
  <c r="R40"/>
  <c r="R90"/>
  <c r="R54"/>
  <c r="R130"/>
  <c r="R70"/>
  <c r="R73"/>
  <c r="R68"/>
  <c r="R64"/>
  <c r="R101"/>
  <c r="R8"/>
  <c r="R37"/>
  <c r="R60"/>
  <c r="R41"/>
  <c r="R50"/>
  <c r="R46"/>
  <c r="R45"/>
  <c r="R51"/>
  <c r="J7"/>
  <c r="S112" s="1"/>
  <c r="K7"/>
  <c r="L7"/>
  <c r="M7"/>
  <c r="J8"/>
  <c r="K8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U13" s="1"/>
  <c r="M72"/>
  <c r="V13" s="1"/>
  <c r="J73"/>
  <c r="K73"/>
  <c r="L73"/>
  <c r="M73"/>
  <c r="J74"/>
  <c r="K74"/>
  <c r="L74"/>
  <c r="U7" s="1"/>
  <c r="M74"/>
  <c r="V7" s="1"/>
  <c r="J75"/>
  <c r="S30" s="1"/>
  <c r="K75"/>
  <c r="T30" s="1"/>
  <c r="L75"/>
  <c r="U30" s="1"/>
  <c r="M75"/>
  <c r="V30" s="1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S32" s="1"/>
  <c r="K84"/>
  <c r="T32" s="1"/>
  <c r="L84"/>
  <c r="U32" s="1"/>
  <c r="M84"/>
  <c r="V32" s="1"/>
  <c r="J85"/>
  <c r="S33" s="1"/>
  <c r="K85"/>
  <c r="T33" s="1"/>
  <c r="L85"/>
  <c r="U33" s="1"/>
  <c r="M85"/>
  <c r="V33" s="1"/>
  <c r="J86"/>
  <c r="S34" s="1"/>
  <c r="K86"/>
  <c r="T34" s="1"/>
  <c r="L86"/>
  <c r="U34" s="1"/>
  <c r="M86"/>
  <c r="V34" s="1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S35" s="1"/>
  <c r="K95"/>
  <c r="T35" s="1"/>
  <c r="L95"/>
  <c r="U35" s="1"/>
  <c r="M95"/>
  <c r="V35" s="1"/>
  <c r="J96"/>
  <c r="S36" s="1"/>
  <c r="K96"/>
  <c r="T36" s="1"/>
  <c r="L96"/>
  <c r="U36" s="1"/>
  <c r="M96"/>
  <c r="V36" s="1"/>
  <c r="J97"/>
  <c r="K97"/>
  <c r="L97"/>
  <c r="U25" s="1"/>
  <c r="M97"/>
  <c r="V25" s="1"/>
  <c r="J98"/>
  <c r="K98"/>
  <c r="L98"/>
  <c r="U26" s="1"/>
  <c r="M98"/>
  <c r="V26" s="1"/>
  <c r="J99"/>
  <c r="K99"/>
  <c r="L99"/>
  <c r="U27" s="1"/>
  <c r="M99"/>
  <c r="V27" s="1"/>
  <c r="J100"/>
  <c r="K100"/>
  <c r="L100"/>
  <c r="U28" s="1"/>
  <c r="M100"/>
  <c r="V28" s="1"/>
  <c r="J101"/>
  <c r="K101"/>
  <c r="L101"/>
  <c r="U29" s="1"/>
  <c r="M101"/>
  <c r="V29" s="1"/>
  <c r="J102"/>
  <c r="K102"/>
  <c r="L102"/>
  <c r="U23" s="1"/>
  <c r="M102"/>
  <c r="V23" s="1"/>
  <c r="J103"/>
  <c r="K103"/>
  <c r="L103"/>
  <c r="U24" s="1"/>
  <c r="M103"/>
  <c r="V24" s="1"/>
  <c r="J104"/>
  <c r="S85" s="1"/>
  <c r="K104"/>
  <c r="T85" s="1"/>
  <c r="L104"/>
  <c r="U85" s="1"/>
  <c r="M104"/>
  <c r="V85" s="1"/>
  <c r="J105"/>
  <c r="S86" s="1"/>
  <c r="K105"/>
  <c r="T86" s="1"/>
  <c r="L105"/>
  <c r="U86" s="1"/>
  <c r="M105"/>
  <c r="V86" s="1"/>
  <c r="J106"/>
  <c r="S83" s="1"/>
  <c r="K106"/>
  <c r="T83" s="1"/>
  <c r="L106"/>
  <c r="U83" s="1"/>
  <c r="M106"/>
  <c r="V83" s="1"/>
  <c r="J107"/>
  <c r="S84" s="1"/>
  <c r="K107"/>
  <c r="T84" s="1"/>
  <c r="L107"/>
  <c r="U84" s="1"/>
  <c r="M107"/>
  <c r="V84" s="1"/>
  <c r="J108"/>
  <c r="S92" s="1"/>
  <c r="K108"/>
  <c r="T92" s="1"/>
  <c r="L108"/>
  <c r="U92" s="1"/>
  <c r="M108"/>
  <c r="V92" s="1"/>
  <c r="J109"/>
  <c r="S93" s="1"/>
  <c r="K109"/>
  <c r="T93" s="1"/>
  <c r="L109"/>
  <c r="U93" s="1"/>
  <c r="M109"/>
  <c r="V93" s="1"/>
  <c r="J110"/>
  <c r="K110"/>
  <c r="L110"/>
  <c r="M110"/>
  <c r="J111"/>
  <c r="K111"/>
  <c r="L111"/>
  <c r="M111"/>
  <c r="S108"/>
  <c r="K112"/>
  <c r="L112"/>
  <c r="M112"/>
  <c r="K113"/>
  <c r="L113"/>
  <c r="M113"/>
  <c r="L114"/>
  <c r="M114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T26" l="1"/>
  <c r="T28"/>
  <c r="T13"/>
  <c r="U113"/>
  <c r="S28"/>
  <c r="S27"/>
  <c r="S26"/>
  <c r="S25"/>
  <c r="S7"/>
  <c r="S13"/>
  <c r="V125"/>
  <c r="U124"/>
  <c r="T123"/>
  <c r="V121"/>
  <c r="U120"/>
  <c r="T119"/>
  <c r="V117"/>
  <c r="U116"/>
  <c r="T115"/>
  <c r="T27"/>
  <c r="T25"/>
  <c r="T7"/>
  <c r="V124"/>
  <c r="U123"/>
  <c r="T122"/>
  <c r="V120"/>
  <c r="U119"/>
  <c r="T118"/>
  <c r="V116"/>
  <c r="U115"/>
  <c r="T114"/>
  <c r="V16"/>
  <c r="U16"/>
  <c r="T16"/>
  <c r="S16"/>
  <c r="V11"/>
  <c r="U11"/>
  <c r="T11"/>
  <c r="S11"/>
  <c r="V95"/>
  <c r="U95"/>
  <c r="T95"/>
  <c r="S95"/>
  <c r="V94"/>
  <c r="U94"/>
  <c r="T94"/>
  <c r="S94"/>
  <c r="S111"/>
  <c r="V91"/>
  <c r="U91"/>
  <c r="T91"/>
  <c r="S91"/>
  <c r="V22"/>
  <c r="U22"/>
  <c r="T22"/>
  <c r="S22"/>
  <c r="V21"/>
  <c r="U21"/>
  <c r="T21"/>
  <c r="S21"/>
  <c r="V20"/>
  <c r="U20"/>
  <c r="T20"/>
  <c r="S20"/>
  <c r="V87"/>
  <c r="U87"/>
  <c r="T87"/>
  <c r="S87"/>
  <c r="V111"/>
  <c r="U111"/>
  <c r="T111"/>
  <c r="V110"/>
  <c r="U110"/>
  <c r="T110"/>
  <c r="S110"/>
  <c r="V109"/>
  <c r="U109"/>
  <c r="T109"/>
  <c r="S109"/>
  <c r="T82"/>
  <c r="S82"/>
  <c r="V115"/>
  <c r="U114"/>
  <c r="T116"/>
  <c r="V114"/>
  <c r="U82"/>
  <c r="V82"/>
  <c r="V108"/>
  <c r="V112"/>
  <c r="U108"/>
  <c r="U112"/>
  <c r="T108"/>
  <c r="T112"/>
  <c r="V100"/>
  <c r="V75"/>
  <c r="U100"/>
  <c r="U75"/>
  <c r="T100"/>
  <c r="T75"/>
  <c r="S100"/>
  <c r="S75"/>
  <c r="V96"/>
  <c r="V76"/>
  <c r="U96"/>
  <c r="U76"/>
  <c r="T96"/>
  <c r="T76"/>
  <c r="S96"/>
  <c r="S76"/>
  <c r="T66"/>
  <c r="T24"/>
  <c r="S66"/>
  <c r="S24"/>
  <c r="T72"/>
  <c r="T23"/>
  <c r="S72"/>
  <c r="S23"/>
  <c r="T71"/>
  <c r="T29"/>
  <c r="S71"/>
  <c r="S29"/>
  <c r="V79"/>
  <c r="V103"/>
  <c r="U79"/>
  <c r="U103"/>
  <c r="T79"/>
  <c r="T103"/>
  <c r="S79"/>
  <c r="S103"/>
  <c r="V40"/>
  <c r="V19"/>
  <c r="U40"/>
  <c r="U19"/>
  <c r="T40"/>
  <c r="T19"/>
  <c r="S40"/>
  <c r="S19"/>
  <c r="V90"/>
  <c r="V18"/>
  <c r="U90"/>
  <c r="U18"/>
  <c r="T90"/>
  <c r="T18"/>
  <c r="S90"/>
  <c r="S18"/>
  <c r="V54"/>
  <c r="V17"/>
  <c r="U54"/>
  <c r="U17"/>
  <c r="T54"/>
  <c r="T17"/>
  <c r="S54"/>
  <c r="S17"/>
  <c r="V70"/>
  <c r="V15"/>
  <c r="U70"/>
  <c r="U15"/>
  <c r="T70"/>
  <c r="T15"/>
  <c r="S70"/>
  <c r="S15"/>
  <c r="V73"/>
  <c r="V61"/>
  <c r="U73"/>
  <c r="U61"/>
  <c r="T73"/>
  <c r="T61"/>
  <c r="S73"/>
  <c r="S61"/>
  <c r="V68"/>
  <c r="V10"/>
  <c r="U68"/>
  <c r="U10"/>
  <c r="T68"/>
  <c r="T10"/>
  <c r="S68"/>
  <c r="S10"/>
  <c r="V64"/>
  <c r="V12"/>
  <c r="U64"/>
  <c r="U12"/>
  <c r="T64"/>
  <c r="T12"/>
  <c r="S64"/>
  <c r="S12"/>
  <c r="V101"/>
  <c r="V9"/>
  <c r="U101"/>
  <c r="U9"/>
  <c r="T101"/>
  <c r="T9"/>
  <c r="S101"/>
  <c r="S9"/>
  <c r="V8"/>
  <c r="V31"/>
  <c r="U8"/>
  <c r="U31"/>
  <c r="T8"/>
  <c r="T31"/>
  <c r="S8"/>
  <c r="S31"/>
  <c r="V37"/>
  <c r="V14"/>
  <c r="U37"/>
  <c r="U14"/>
  <c r="T37"/>
  <c r="T14"/>
  <c r="S37"/>
  <c r="S14"/>
  <c r="V60"/>
  <c r="V99"/>
  <c r="U60"/>
  <c r="U99"/>
  <c r="T60"/>
  <c r="T99"/>
  <c r="S60"/>
  <c r="S99"/>
  <c r="V41"/>
  <c r="V98"/>
  <c r="U41"/>
  <c r="U98"/>
  <c r="T41"/>
  <c r="T98"/>
  <c r="S41"/>
  <c r="S98"/>
  <c r="V50"/>
  <c r="V97"/>
  <c r="U50"/>
  <c r="U97"/>
  <c r="T50"/>
  <c r="T97"/>
  <c r="S50"/>
  <c r="S97"/>
  <c r="V46"/>
  <c r="V105"/>
  <c r="U46"/>
  <c r="U105"/>
  <c r="T46"/>
  <c r="T105"/>
  <c r="S46"/>
  <c r="S105"/>
  <c r="V45"/>
  <c r="V104"/>
  <c r="U45"/>
  <c r="U104"/>
  <c r="T45"/>
  <c r="T104"/>
  <c r="S45"/>
  <c r="S104"/>
  <c r="V51"/>
  <c r="V88"/>
  <c r="U51"/>
  <c r="U88"/>
  <c r="T51"/>
  <c r="T88"/>
  <c r="S51"/>
  <c r="S88"/>
  <c r="T127"/>
  <c r="T129"/>
  <c r="U127"/>
  <c r="U129"/>
  <c r="V127"/>
  <c r="V129"/>
  <c r="T126"/>
  <c r="T128"/>
  <c r="U126"/>
  <c r="U128"/>
  <c r="V126"/>
  <c r="V128"/>
  <c r="V89"/>
  <c r="V131"/>
  <c r="U89"/>
  <c r="U131"/>
  <c r="T89"/>
  <c r="T131"/>
  <c r="S89"/>
  <c r="V78"/>
  <c r="U78"/>
  <c r="T78"/>
  <c r="S78"/>
  <c r="V72"/>
  <c r="U72"/>
  <c r="V71"/>
  <c r="U71"/>
  <c r="V69"/>
  <c r="U69"/>
  <c r="T69"/>
  <c r="S69"/>
  <c r="V67"/>
  <c r="U67"/>
  <c r="T67"/>
  <c r="S67"/>
  <c r="V66"/>
  <c r="U66"/>
  <c r="V65"/>
  <c r="U65"/>
  <c r="T65"/>
  <c r="S65"/>
  <c r="V63"/>
  <c r="U63"/>
  <c r="T63"/>
  <c r="S63"/>
  <c r="V62"/>
  <c r="U62"/>
  <c r="T62"/>
  <c r="S62"/>
  <c r="V130"/>
  <c r="U130"/>
  <c r="T130"/>
  <c r="V107"/>
  <c r="U107"/>
  <c r="T107"/>
  <c r="S107"/>
  <c r="V106"/>
  <c r="U106"/>
  <c r="T106"/>
  <c r="S106"/>
  <c r="V102"/>
  <c r="U102"/>
  <c r="T102"/>
  <c r="S102"/>
  <c r="V81"/>
  <c r="U81"/>
  <c r="T81"/>
  <c r="S81"/>
  <c r="V80"/>
  <c r="U80"/>
  <c r="T80"/>
  <c r="S80"/>
  <c r="V77"/>
  <c r="U77"/>
  <c r="T77"/>
  <c r="S77"/>
  <c r="V74"/>
  <c r="U74"/>
  <c r="T74"/>
  <c r="S74"/>
  <c r="V59"/>
  <c r="U59"/>
  <c r="T59"/>
  <c r="S59"/>
  <c r="V58"/>
  <c r="U58"/>
  <c r="T58"/>
  <c r="S58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49"/>
  <c r="U49"/>
  <c r="T49"/>
  <c r="S49"/>
  <c r="V48"/>
  <c r="U48"/>
  <c r="T48"/>
  <c r="S48"/>
  <c r="V47"/>
  <c r="U47"/>
  <c r="T47"/>
  <c r="S47"/>
  <c r="V44"/>
  <c r="U44"/>
  <c r="T44"/>
  <c r="S44"/>
  <c r="V43"/>
  <c r="U43"/>
  <c r="T43"/>
  <c r="S43"/>
  <c r="V42"/>
  <c r="U42"/>
  <c r="T42"/>
  <c r="S42"/>
  <c r="V39"/>
  <c r="U39"/>
  <c r="T39"/>
  <c r="S39"/>
  <c r="V38"/>
  <c r="U38"/>
  <c r="T38"/>
  <c r="S38"/>
  <c r="J44" i="1"/>
  <c r="J99"/>
  <c r="J51"/>
  <c r="J13"/>
  <c r="J73"/>
  <c r="J10"/>
  <c r="J8"/>
  <c r="J12"/>
  <c r="J162"/>
  <c r="J579" i="12" l="1"/>
  <c r="H579" s="1"/>
  <c r="I579" s="1"/>
  <c r="J578"/>
  <c r="H578" s="1"/>
  <c r="I578" s="1"/>
  <c r="J577"/>
  <c r="H577" s="1"/>
  <c r="I577" s="1"/>
  <c r="J576"/>
  <c r="H576" s="1"/>
  <c r="I576" s="1"/>
  <c r="J575"/>
  <c r="H575" s="1"/>
  <c r="I575" s="1"/>
  <c r="J574"/>
  <c r="H574" s="1"/>
  <c r="I574" s="1"/>
  <c r="J573"/>
  <c r="H573" s="1"/>
  <c r="I573" s="1"/>
  <c r="V95" i="1"/>
  <c r="K95" s="1"/>
  <c r="V105"/>
  <c r="K105" s="1"/>
  <c r="J572" i="12"/>
  <c r="H572" s="1"/>
  <c r="I572" s="1"/>
  <c r="J571"/>
  <c r="H571" s="1"/>
  <c r="I571" s="1"/>
  <c r="J570"/>
  <c r="H570" s="1"/>
  <c r="I570" s="1"/>
  <c r="V69" i="1"/>
  <c r="K69" s="1"/>
  <c r="J569" i="12"/>
  <c r="H569" s="1"/>
  <c r="I569" s="1"/>
  <c r="J568"/>
  <c r="H568" s="1"/>
  <c r="I568" s="1"/>
  <c r="J567"/>
  <c r="H567" s="1"/>
  <c r="I567" s="1"/>
  <c r="V42" i="1"/>
  <c r="K42" s="1"/>
  <c r="J566" i="12"/>
  <c r="H566" s="1"/>
  <c r="I566" s="1"/>
  <c r="J565"/>
  <c r="H565" s="1"/>
  <c r="I565" s="1"/>
  <c r="J564"/>
  <c r="H564" s="1"/>
  <c r="I564" s="1"/>
  <c r="V89" i="1"/>
  <c r="K89" s="1"/>
  <c r="J243" i="12"/>
  <c r="H243" s="1"/>
  <c r="I243" s="1"/>
  <c r="J239"/>
  <c r="H239" s="1"/>
  <c r="I239" s="1"/>
  <c r="J238"/>
  <c r="H238" s="1"/>
  <c r="I238" s="1"/>
  <c r="J242"/>
  <c r="H242" s="1"/>
  <c r="I242" s="1"/>
  <c r="J237"/>
  <c r="H237" s="1"/>
  <c r="I237" s="1"/>
  <c r="J241"/>
  <c r="H241" s="1"/>
  <c r="I241" s="1"/>
  <c r="J240"/>
  <c r="H240" s="1"/>
  <c r="I240" s="1"/>
  <c r="J236"/>
  <c r="H236" s="1"/>
  <c r="I236" s="1"/>
  <c r="V84" i="1"/>
  <c r="K84" s="1"/>
  <c r="V108"/>
  <c r="K108" s="1"/>
  <c r="J414" i="12"/>
  <c r="H414" s="1"/>
  <c r="I414" s="1"/>
  <c r="J417"/>
  <c r="H417" s="1"/>
  <c r="I417" s="1"/>
  <c r="J413"/>
  <c r="H413" s="1"/>
  <c r="I413" s="1"/>
  <c r="J416"/>
  <c r="H416" s="1"/>
  <c r="I416" s="1"/>
  <c r="J415"/>
  <c r="H415" s="1"/>
  <c r="I415" s="1"/>
  <c r="J412"/>
  <c r="H412" s="1"/>
  <c r="I412" s="1"/>
  <c r="J499"/>
  <c r="H499" s="1"/>
  <c r="I499" s="1"/>
  <c r="J498"/>
  <c r="H498" s="1"/>
  <c r="J497"/>
  <c r="H497" s="1"/>
  <c r="I497" s="1"/>
  <c r="J509"/>
  <c r="H509" s="1"/>
  <c r="I509" s="1"/>
  <c r="J508"/>
  <c r="H508" s="1"/>
  <c r="I508" s="1"/>
  <c r="J507"/>
  <c r="H507" s="1"/>
  <c r="I507" s="1"/>
  <c r="J425"/>
  <c r="H425" s="1"/>
  <c r="I425" s="1"/>
  <c r="J424"/>
  <c r="H424" s="1"/>
  <c r="I424" s="1"/>
  <c r="J423"/>
  <c r="H423" s="1"/>
  <c r="I423" s="1"/>
  <c r="J422"/>
  <c r="H422" s="1"/>
  <c r="I422" s="1"/>
  <c r="J376"/>
  <c r="H376" s="1"/>
  <c r="I376" s="1"/>
  <c r="J375"/>
  <c r="H375" s="1"/>
  <c r="I375" s="1"/>
  <c r="J374"/>
  <c r="H374" s="1"/>
  <c r="I374" s="1"/>
  <c r="J373"/>
  <c r="H373" s="1"/>
  <c r="I373" s="1"/>
  <c r="J155"/>
  <c r="H155" s="1"/>
  <c r="J154"/>
  <c r="H154" s="1"/>
  <c r="J153"/>
  <c r="H153" s="1"/>
  <c r="I153" s="1"/>
  <c r="J134"/>
  <c r="H134" s="1"/>
  <c r="I134" s="1"/>
  <c r="J133"/>
  <c r="H133" s="1"/>
  <c r="I133" s="1"/>
  <c r="J132"/>
  <c r="H132" s="1"/>
  <c r="I132" s="1"/>
  <c r="J131"/>
  <c r="H131" s="1"/>
  <c r="I131" s="1"/>
  <c r="J130"/>
  <c r="H130" s="1"/>
  <c r="I130" s="1"/>
  <c r="J129"/>
  <c r="H129" s="1"/>
  <c r="I129" s="1"/>
  <c r="J128"/>
  <c r="H128" s="1"/>
  <c r="I128" s="1"/>
  <c r="J13"/>
  <c r="H13" s="1"/>
  <c r="I13" s="1"/>
  <c r="J12"/>
  <c r="H12" s="1"/>
  <c r="I12" s="1"/>
  <c r="J11"/>
  <c r="H11" s="1"/>
  <c r="I11" s="1"/>
  <c r="J10"/>
  <c r="H10" s="1"/>
  <c r="I10" s="1"/>
  <c r="V145" i="1"/>
  <c r="K145" s="1"/>
  <c r="V144"/>
  <c r="K144" s="1"/>
  <c r="V2"/>
  <c r="K2" s="1"/>
  <c r="V77"/>
  <c r="K77" s="1"/>
  <c r="V121"/>
  <c r="K121" s="1"/>
  <c r="V128"/>
  <c r="K128" s="1"/>
  <c r="V126"/>
  <c r="K126" s="1"/>
  <c r="V117"/>
  <c r="K117" s="1"/>
  <c r="V143"/>
  <c r="K143" s="1"/>
  <c r="V21"/>
  <c r="K21" s="1"/>
  <c r="J336" i="12"/>
  <c r="H336" s="1"/>
  <c r="I336" s="1"/>
  <c r="J335"/>
  <c r="H335" s="1"/>
  <c r="I335" s="1"/>
  <c r="J334"/>
  <c r="H334" s="1"/>
  <c r="I334" s="1"/>
  <c r="V22" i="1"/>
  <c r="K22" s="1"/>
  <c r="J539" i="12"/>
  <c r="H539" s="1"/>
  <c r="I539" s="1"/>
  <c r="J538"/>
  <c r="H538" s="1"/>
  <c r="I538" s="1"/>
  <c r="J537"/>
  <c r="H537" s="1"/>
  <c r="I537" s="1"/>
  <c r="J536"/>
  <c r="H536" s="1"/>
  <c r="I536" s="1"/>
  <c r="V38" i="1"/>
  <c r="K38" s="1"/>
  <c r="J435" i="12"/>
  <c r="H435" s="1"/>
  <c r="I435" s="1"/>
  <c r="J434"/>
  <c r="H434" s="1"/>
  <c r="I434" s="1"/>
  <c r="J433"/>
  <c r="H433" s="1"/>
  <c r="I433" s="1"/>
  <c r="J432"/>
  <c r="H432" s="1"/>
  <c r="I432" s="1"/>
  <c r="V3" i="1"/>
  <c r="K3" s="1"/>
  <c r="J554" i="12"/>
  <c r="H554" s="1"/>
  <c r="I554" s="1"/>
  <c r="J553"/>
  <c r="H553" s="1"/>
  <c r="I553" s="1"/>
  <c r="J552"/>
  <c r="H552" s="1"/>
  <c r="I552" s="1"/>
  <c r="V50" i="1"/>
  <c r="K50" s="1"/>
  <c r="J411" i="12"/>
  <c r="H411" s="1"/>
  <c r="J410"/>
  <c r="H410" s="1"/>
  <c r="I410" s="1"/>
  <c r="J409"/>
  <c r="H409" s="1"/>
  <c r="I409" s="1"/>
  <c r="V152" i="1"/>
  <c r="K152" s="1"/>
  <c r="J453" i="12"/>
  <c r="H453" s="1"/>
  <c r="I453" s="1"/>
  <c r="J452"/>
  <c r="H452" s="1"/>
  <c r="I452" s="1"/>
  <c r="J451"/>
  <c r="H451" s="1"/>
  <c r="I451" s="1"/>
  <c r="V66" i="1"/>
  <c r="K66" s="1"/>
  <c r="J339" i="12"/>
  <c r="H339" s="1"/>
  <c r="I339" s="1"/>
  <c r="J338"/>
  <c r="H338" s="1"/>
  <c r="I338" s="1"/>
  <c r="J337"/>
  <c r="H337" s="1"/>
  <c r="I337" s="1"/>
  <c r="V92" i="1"/>
  <c r="K92" s="1"/>
  <c r="J276" i="12"/>
  <c r="H276" s="1"/>
  <c r="I276" s="1"/>
  <c r="J275"/>
  <c r="H275" s="1"/>
  <c r="I275" s="1"/>
  <c r="J274"/>
  <c r="H274" s="1"/>
  <c r="I274" s="1"/>
  <c r="J273"/>
  <c r="H273" s="1"/>
  <c r="I273" s="1"/>
  <c r="V110" i="1"/>
  <c r="K110" s="1"/>
  <c r="J461" i="12"/>
  <c r="H461" s="1"/>
  <c r="I461" s="1"/>
  <c r="J460"/>
  <c r="H460" s="1"/>
  <c r="I460" s="1"/>
  <c r="J459"/>
  <c r="H459" s="1"/>
  <c r="I459" s="1"/>
  <c r="J458"/>
  <c r="H458" s="1"/>
  <c r="I458" s="1"/>
  <c r="V119" i="1"/>
  <c r="K119" s="1"/>
  <c r="J401" i="12"/>
  <c r="H401" s="1"/>
  <c r="I401" s="1"/>
  <c r="J400"/>
  <c r="H400" s="1"/>
  <c r="I400" s="1"/>
  <c r="V39" i="1"/>
  <c r="K39" s="1"/>
  <c r="T39" s="1"/>
  <c r="J16" i="12"/>
  <c r="H16" s="1"/>
  <c r="I16" s="1"/>
  <c r="J15"/>
  <c r="H15" s="1"/>
  <c r="I15" s="1"/>
  <c r="J14"/>
  <c r="H14" s="1"/>
  <c r="I14" s="1"/>
  <c r="V118" i="1"/>
  <c r="K118" s="1"/>
  <c r="T118" s="1"/>
  <c r="J548" i="12"/>
  <c r="H548" s="1"/>
  <c r="I548" s="1"/>
  <c r="J547"/>
  <c r="H547" s="1"/>
  <c r="I547" s="1"/>
  <c r="J546"/>
  <c r="H546" s="1"/>
  <c r="I546" s="1"/>
  <c r="V116" i="1"/>
  <c r="K116" s="1"/>
  <c r="T116" s="1"/>
  <c r="J421" i="12"/>
  <c r="H421" s="1"/>
  <c r="I421" s="1"/>
  <c r="J420"/>
  <c r="H420" s="1"/>
  <c r="I420" s="1"/>
  <c r="J419"/>
  <c r="H419" s="1"/>
  <c r="I419" s="1"/>
  <c r="J418"/>
  <c r="H418" s="1"/>
  <c r="I418" s="1"/>
  <c r="V114" i="1"/>
  <c r="K114" s="1"/>
  <c r="T114" s="1"/>
  <c r="J372" i="12"/>
  <c r="H372" s="1"/>
  <c r="I372" s="1"/>
  <c r="J371"/>
  <c r="H371" s="1"/>
  <c r="I371" s="1"/>
  <c r="J370"/>
  <c r="H370" s="1"/>
  <c r="I370" s="1"/>
  <c r="V75" i="1"/>
  <c r="K75" s="1"/>
  <c r="T75" s="1"/>
  <c r="J72" i="12"/>
  <c r="H72" s="1"/>
  <c r="I72" s="1"/>
  <c r="J76"/>
  <c r="H76" s="1"/>
  <c r="I76" s="1"/>
  <c r="J71"/>
  <c r="H71" s="1"/>
  <c r="I71" s="1"/>
  <c r="J75"/>
  <c r="H75" s="1"/>
  <c r="I75" s="1"/>
  <c r="J70"/>
  <c r="H70" s="1"/>
  <c r="I70" s="1"/>
  <c r="J74"/>
  <c r="H74" s="1"/>
  <c r="I74" s="1"/>
  <c r="J69"/>
  <c r="H69" s="1"/>
  <c r="I69" s="1"/>
  <c r="J73"/>
  <c r="H73" s="1"/>
  <c r="I73" s="1"/>
  <c r="V64" i="1"/>
  <c r="K64" s="1"/>
  <c r="T64" s="1"/>
  <c r="V57"/>
  <c r="K57" s="1"/>
  <c r="T57" s="1"/>
  <c r="J560" i="12"/>
  <c r="H560" s="1"/>
  <c r="I560" s="1"/>
  <c r="J563"/>
  <c r="H563" s="1"/>
  <c r="I563" s="1"/>
  <c r="J559"/>
  <c r="H559" s="1"/>
  <c r="I559" s="1"/>
  <c r="J562"/>
  <c r="H562" s="1"/>
  <c r="I562" s="1"/>
  <c r="J558"/>
  <c r="H558" s="1"/>
  <c r="I558" s="1"/>
  <c r="J561"/>
  <c r="H561" s="1"/>
  <c r="I561" s="1"/>
  <c r="V41" i="1"/>
  <c r="K41" s="1"/>
  <c r="T41" s="1"/>
  <c r="V37"/>
  <c r="K37" s="1"/>
  <c r="T37" s="1"/>
  <c r="J428" i="12"/>
  <c r="H428" s="1"/>
  <c r="J431"/>
  <c r="H431" s="1"/>
  <c r="J427"/>
  <c r="H427" s="1"/>
  <c r="I427" s="1"/>
  <c r="J430"/>
  <c r="H430" s="1"/>
  <c r="I430" s="1"/>
  <c r="J426"/>
  <c r="H426" s="1"/>
  <c r="I426" s="1"/>
  <c r="J429"/>
  <c r="H429" s="1"/>
  <c r="I429" s="1"/>
  <c r="V60" i="1"/>
  <c r="K60" s="1"/>
  <c r="T60" s="1"/>
  <c r="V55"/>
  <c r="K55" s="1"/>
  <c r="T55" s="1"/>
  <c r="J535" i="12"/>
  <c r="H535" s="1"/>
  <c r="I535" s="1"/>
  <c r="J534"/>
  <c r="H534" s="1"/>
  <c r="I534" s="1"/>
  <c r="J533"/>
  <c r="H533" s="1"/>
  <c r="V134" i="1"/>
  <c r="K134" s="1"/>
  <c r="T134" s="1"/>
  <c r="J557" i="12"/>
  <c r="H557" s="1"/>
  <c r="J556"/>
  <c r="H556" s="1"/>
  <c r="J555"/>
  <c r="H555" s="1"/>
  <c r="I555" s="1"/>
  <c r="V112" i="1"/>
  <c r="K112" s="1"/>
  <c r="T112" s="1"/>
  <c r="J393" i="12"/>
  <c r="H393" s="1"/>
  <c r="J392"/>
  <c r="H392" s="1"/>
  <c r="J391"/>
  <c r="H391" s="1"/>
  <c r="I391" s="1"/>
  <c r="V138" i="1"/>
  <c r="K138" s="1"/>
  <c r="T138" s="1"/>
  <c r="J79" i="12"/>
  <c r="H79" s="1"/>
  <c r="I79" s="1"/>
  <c r="J78"/>
  <c r="H78" s="1"/>
  <c r="I78" s="1"/>
  <c r="J77"/>
  <c r="H77" s="1"/>
  <c r="I77" s="1"/>
  <c r="V137" i="1"/>
  <c r="K137" s="1"/>
  <c r="T137" s="1"/>
  <c r="J196" i="12"/>
  <c r="H196" s="1"/>
  <c r="I196" s="1"/>
  <c r="J200"/>
  <c r="H200" s="1"/>
  <c r="I200" s="1"/>
  <c r="J195"/>
  <c r="H195" s="1"/>
  <c r="I195" s="1"/>
  <c r="J199"/>
  <c r="H199" s="1"/>
  <c r="I199" s="1"/>
  <c r="J194"/>
  <c r="H194" s="1"/>
  <c r="J198"/>
  <c r="H198" s="1"/>
  <c r="J193"/>
  <c r="H193" s="1"/>
  <c r="I193" s="1"/>
  <c r="J197"/>
  <c r="H197" s="1"/>
  <c r="I197" s="1"/>
  <c r="V109" i="1"/>
  <c r="K109" s="1"/>
  <c r="T109" s="1"/>
  <c r="V56"/>
  <c r="K56" s="1"/>
  <c r="T56" s="1"/>
  <c r="J506" i="12"/>
  <c r="H506" s="1"/>
  <c r="I506" s="1"/>
  <c r="J505"/>
  <c r="H505" s="1"/>
  <c r="I505" s="1"/>
  <c r="J504"/>
  <c r="H504" s="1"/>
  <c r="I504" s="1"/>
  <c r="J503"/>
  <c r="H503" s="1"/>
  <c r="I503" s="1"/>
  <c r="V133" i="1"/>
  <c r="K133" s="1"/>
  <c r="T133" s="1"/>
  <c r="J252" i="12"/>
  <c r="H252" s="1"/>
  <c r="I252" s="1"/>
  <c r="J251"/>
  <c r="H251" s="1"/>
  <c r="I251" s="1"/>
  <c r="J250"/>
  <c r="H250" s="1"/>
  <c r="I250" s="1"/>
  <c r="V155" i="1"/>
  <c r="K155" s="1"/>
  <c r="T155" s="1"/>
  <c r="J123" i="12"/>
  <c r="H123" s="1"/>
  <c r="J127"/>
  <c r="H127" s="1"/>
  <c r="J122"/>
  <c r="H122" s="1"/>
  <c r="I122" s="1"/>
  <c r="J117"/>
  <c r="H117" s="1"/>
  <c r="V132" i="1"/>
  <c r="K132" s="1"/>
  <c r="J287" i="12"/>
  <c r="H287" s="1"/>
  <c r="I287" s="1"/>
  <c r="J281"/>
  <c r="H281" s="1"/>
  <c r="V94" i="1"/>
  <c r="K94" s="1"/>
  <c r="J531" i="12"/>
  <c r="H531" s="1"/>
  <c r="I531" s="1"/>
  <c r="J32"/>
  <c r="H32" s="1"/>
  <c r="I32" s="1"/>
  <c r="V135" i="1"/>
  <c r="K135" s="1"/>
  <c r="J248" i="12"/>
  <c r="H248" s="1"/>
  <c r="I248" s="1"/>
  <c r="J512"/>
  <c r="H512" s="1"/>
  <c r="I512" s="1"/>
  <c r="J443"/>
  <c r="H443" s="1"/>
  <c r="I443" s="1"/>
  <c r="J441"/>
  <c r="H441" s="1"/>
  <c r="I441" s="1"/>
  <c r="J3"/>
  <c r="H3" s="1"/>
  <c r="I3" s="1"/>
  <c r="J7"/>
  <c r="H7" s="1"/>
  <c r="I7" s="1"/>
  <c r="J18"/>
  <c r="H18" s="1"/>
  <c r="I18" s="1"/>
  <c r="J22"/>
  <c r="H22" s="1"/>
  <c r="I22" s="1"/>
  <c r="J26"/>
  <c r="H26" s="1"/>
  <c r="I26" s="1"/>
  <c r="J30"/>
  <c r="H30" s="1"/>
  <c r="I30" s="1"/>
  <c r="J35"/>
  <c r="H35" s="1"/>
  <c r="I35" s="1"/>
  <c r="J39"/>
  <c r="H39" s="1"/>
  <c r="I39" s="1"/>
  <c r="J43"/>
  <c r="H43" s="1"/>
  <c r="I43" s="1"/>
  <c r="J47"/>
  <c r="H47" s="1"/>
  <c r="I47" s="1"/>
  <c r="J51"/>
  <c r="H51" s="1"/>
  <c r="I51" s="1"/>
  <c r="J55"/>
  <c r="H55" s="1"/>
  <c r="I55" s="1"/>
  <c r="J59"/>
  <c r="H59" s="1"/>
  <c r="I59" s="1"/>
  <c r="J63"/>
  <c r="H63" s="1"/>
  <c r="I63" s="1"/>
  <c r="J67"/>
  <c r="H67" s="1"/>
  <c r="I67" s="1"/>
  <c r="J82"/>
  <c r="H82" s="1"/>
  <c r="I82" s="1"/>
  <c r="J86"/>
  <c r="H86" s="1"/>
  <c r="I86" s="1"/>
  <c r="J90"/>
  <c r="H90" s="1"/>
  <c r="I90" s="1"/>
  <c r="J94"/>
  <c r="H94" s="1"/>
  <c r="I94" s="1"/>
  <c r="J98"/>
  <c r="H98" s="1"/>
  <c r="I98" s="1"/>
  <c r="J102"/>
  <c r="H102" s="1"/>
  <c r="I102" s="1"/>
  <c r="J106"/>
  <c r="H106" s="1"/>
  <c r="I106" s="1"/>
  <c r="J110"/>
  <c r="H110" s="1"/>
  <c r="I110" s="1"/>
  <c r="J114"/>
  <c r="H114" s="1"/>
  <c r="I114" s="1"/>
  <c r="J137"/>
  <c r="H137" s="1"/>
  <c r="I137" s="1"/>
  <c r="J141"/>
  <c r="H141" s="1"/>
  <c r="I141" s="1"/>
  <c r="J145"/>
  <c r="H145" s="1"/>
  <c r="I145" s="1"/>
  <c r="J149"/>
  <c r="H149" s="1"/>
  <c r="I149" s="1"/>
  <c r="J156"/>
  <c r="H156" s="1"/>
  <c r="I156" s="1"/>
  <c r="J160"/>
  <c r="H160" s="1"/>
  <c r="I160" s="1"/>
  <c r="J164"/>
  <c r="H164" s="1"/>
  <c r="I164" s="1"/>
  <c r="J168"/>
  <c r="H168" s="1"/>
  <c r="I168" s="1"/>
  <c r="J172"/>
  <c r="H172" s="1"/>
  <c r="I172" s="1"/>
  <c r="J176"/>
  <c r="H176" s="1"/>
  <c r="I176" s="1"/>
  <c r="J180"/>
  <c r="H180" s="1"/>
  <c r="I180" s="1"/>
  <c r="J184"/>
  <c r="H184" s="1"/>
  <c r="I184" s="1"/>
  <c r="J188"/>
  <c r="H188" s="1"/>
  <c r="I188" s="1"/>
  <c r="J119"/>
  <c r="H119" s="1"/>
  <c r="J125"/>
  <c r="H125" s="1"/>
  <c r="J120"/>
  <c r="H120" s="1"/>
  <c r="J288"/>
  <c r="H288" s="1"/>
  <c r="I288" s="1"/>
  <c r="J286"/>
  <c r="H286" s="1"/>
  <c r="I286" s="1"/>
  <c r="J249"/>
  <c r="H249" s="1"/>
  <c r="I249" s="1"/>
  <c r="J247"/>
  <c r="H247" s="1"/>
  <c r="I247" s="1"/>
  <c r="V149" i="1"/>
  <c r="K149" s="1"/>
  <c r="V151"/>
  <c r="K151" s="1"/>
  <c r="J510" i="12"/>
  <c r="H510" s="1"/>
  <c r="I510" s="1"/>
  <c r="V125" i="1"/>
  <c r="K125" s="1"/>
  <c r="J442" i="12"/>
  <c r="H442" s="1"/>
  <c r="I442" s="1"/>
  <c r="J436"/>
  <c r="H436" s="1"/>
  <c r="I436" s="1"/>
  <c r="J5"/>
  <c r="H5" s="1"/>
  <c r="I5" s="1"/>
  <c r="J9"/>
  <c r="H9" s="1"/>
  <c r="I9" s="1"/>
  <c r="J20"/>
  <c r="H20" s="1"/>
  <c r="I20" s="1"/>
  <c r="J24"/>
  <c r="H24" s="1"/>
  <c r="I24" s="1"/>
  <c r="J28"/>
  <c r="H28" s="1"/>
  <c r="I28" s="1"/>
  <c r="J33"/>
  <c r="H33" s="1"/>
  <c r="I33" s="1"/>
  <c r="J37"/>
  <c r="H37" s="1"/>
  <c r="I37" s="1"/>
  <c r="J41"/>
  <c r="H41" s="1"/>
  <c r="I41" s="1"/>
  <c r="J45"/>
  <c r="H45" s="1"/>
  <c r="I45" s="1"/>
  <c r="J49"/>
  <c r="H49" s="1"/>
  <c r="I49" s="1"/>
  <c r="J53"/>
  <c r="H53" s="1"/>
  <c r="I53" s="1"/>
  <c r="J57"/>
  <c r="H57" s="1"/>
  <c r="I57" s="1"/>
  <c r="J61"/>
  <c r="H61" s="1"/>
  <c r="I61" s="1"/>
  <c r="J65"/>
  <c r="H65" s="1"/>
  <c r="I65" s="1"/>
  <c r="J80"/>
  <c r="H80" s="1"/>
  <c r="I80" s="1"/>
  <c r="J84"/>
  <c r="H84" s="1"/>
  <c r="I84" s="1"/>
  <c r="J88"/>
  <c r="H88" s="1"/>
  <c r="I88" s="1"/>
  <c r="J92"/>
  <c r="H92" s="1"/>
  <c r="I92" s="1"/>
  <c r="J96"/>
  <c r="H96" s="1"/>
  <c r="I96" s="1"/>
  <c r="J100"/>
  <c r="H100" s="1"/>
  <c r="I100" s="1"/>
  <c r="J104"/>
  <c r="H104" s="1"/>
  <c r="I104" s="1"/>
  <c r="J108"/>
  <c r="H108" s="1"/>
  <c r="I108" s="1"/>
  <c r="J112"/>
  <c r="H112" s="1"/>
  <c r="I112" s="1"/>
  <c r="J135"/>
  <c r="H135" s="1"/>
  <c r="I135" s="1"/>
  <c r="J139"/>
  <c r="H139" s="1"/>
  <c r="I139" s="1"/>
  <c r="J143"/>
  <c r="H143" s="1"/>
  <c r="I143" s="1"/>
  <c r="J147"/>
  <c r="H147" s="1"/>
  <c r="I147" s="1"/>
  <c r="J151"/>
  <c r="H151" s="1"/>
  <c r="J158"/>
  <c r="H158" s="1"/>
  <c r="J162"/>
  <c r="H162" s="1"/>
  <c r="J166"/>
  <c r="H166" s="1"/>
  <c r="J170"/>
  <c r="H170" s="1"/>
  <c r="I170" s="1"/>
  <c r="J174"/>
  <c r="H174" s="1"/>
  <c r="I174" s="1"/>
  <c r="J178"/>
  <c r="H178" s="1"/>
  <c r="I178" s="1"/>
  <c r="J118"/>
  <c r="H118" s="1"/>
  <c r="I118" s="1"/>
  <c r="V107" i="1"/>
  <c r="K107" s="1"/>
  <c r="J530" i="12"/>
  <c r="H530" s="1"/>
  <c r="I530" s="1"/>
  <c r="J245"/>
  <c r="H245" s="1"/>
  <c r="I245" s="1"/>
  <c r="J8"/>
  <c r="H8" s="1"/>
  <c r="I8" s="1"/>
  <c r="J23"/>
  <c r="H23" s="1"/>
  <c r="I23" s="1"/>
  <c r="J31"/>
  <c r="H31" s="1"/>
  <c r="I31" s="1"/>
  <c r="J40"/>
  <c r="H40" s="1"/>
  <c r="I40" s="1"/>
  <c r="J48"/>
  <c r="H48" s="1"/>
  <c r="I48" s="1"/>
  <c r="J56"/>
  <c r="H56" s="1"/>
  <c r="I56" s="1"/>
  <c r="J64"/>
  <c r="H64" s="1"/>
  <c r="I64" s="1"/>
  <c r="J83"/>
  <c r="H83" s="1"/>
  <c r="I83" s="1"/>
  <c r="J91"/>
  <c r="H91" s="1"/>
  <c r="I91" s="1"/>
  <c r="J99"/>
  <c r="H99" s="1"/>
  <c r="I99" s="1"/>
  <c r="J107"/>
  <c r="H107" s="1"/>
  <c r="I107" s="1"/>
  <c r="J115"/>
  <c r="H115" s="1"/>
  <c r="I115" s="1"/>
  <c r="J142"/>
  <c r="H142" s="1"/>
  <c r="I142" s="1"/>
  <c r="J150"/>
  <c r="H150" s="1"/>
  <c r="I150" s="1"/>
  <c r="J161"/>
  <c r="H161" s="1"/>
  <c r="J169"/>
  <c r="H169" s="1"/>
  <c r="I169" s="1"/>
  <c r="J177"/>
  <c r="H177" s="1"/>
  <c r="I177" s="1"/>
  <c r="J183"/>
  <c r="H183" s="1"/>
  <c r="I183" s="1"/>
  <c r="J189"/>
  <c r="H189" s="1"/>
  <c r="I189" s="1"/>
  <c r="J201"/>
  <c r="H201" s="1"/>
  <c r="J205"/>
  <c r="H205" s="1"/>
  <c r="I205" s="1"/>
  <c r="J209"/>
  <c r="H209" s="1"/>
  <c r="I209" s="1"/>
  <c r="J213"/>
  <c r="H213" s="1"/>
  <c r="I213" s="1"/>
  <c r="J217"/>
  <c r="H217" s="1"/>
  <c r="I217" s="1"/>
  <c r="J221"/>
  <c r="H221" s="1"/>
  <c r="I221" s="1"/>
  <c r="J225"/>
  <c r="H225" s="1"/>
  <c r="I225" s="1"/>
  <c r="J229"/>
  <c r="H229" s="1"/>
  <c r="I229" s="1"/>
  <c r="J233"/>
  <c r="H233" s="1"/>
  <c r="I233" s="1"/>
  <c r="J254"/>
  <c r="H254" s="1"/>
  <c r="I254" s="1"/>
  <c r="J258"/>
  <c r="H258" s="1"/>
  <c r="I258" s="1"/>
  <c r="J262"/>
  <c r="H262" s="1"/>
  <c r="I262" s="1"/>
  <c r="J266"/>
  <c r="H266" s="1"/>
  <c r="I266" s="1"/>
  <c r="J270"/>
  <c r="H270" s="1"/>
  <c r="I270" s="1"/>
  <c r="J278"/>
  <c r="H278" s="1"/>
  <c r="I278" s="1"/>
  <c r="J290"/>
  <c r="H290" s="1"/>
  <c r="I290" s="1"/>
  <c r="J294"/>
  <c r="H294" s="1"/>
  <c r="I294" s="1"/>
  <c r="J298"/>
  <c r="H298" s="1"/>
  <c r="I298" s="1"/>
  <c r="J302"/>
  <c r="H302" s="1"/>
  <c r="I302" s="1"/>
  <c r="J306"/>
  <c r="H306" s="1"/>
  <c r="I306" s="1"/>
  <c r="J310"/>
  <c r="H310" s="1"/>
  <c r="J314"/>
  <c r="H314" s="1"/>
  <c r="I314" s="1"/>
  <c r="J318"/>
  <c r="H318" s="1"/>
  <c r="I318" s="1"/>
  <c r="J322"/>
  <c r="H322" s="1"/>
  <c r="I322" s="1"/>
  <c r="J326"/>
  <c r="H326" s="1"/>
  <c r="I326" s="1"/>
  <c r="J330"/>
  <c r="H330" s="1"/>
  <c r="I330" s="1"/>
  <c r="J340"/>
  <c r="H340" s="1"/>
  <c r="I340" s="1"/>
  <c r="J344"/>
  <c r="H344" s="1"/>
  <c r="I344" s="1"/>
  <c r="J348"/>
  <c r="H348" s="1"/>
  <c r="I348" s="1"/>
  <c r="J352"/>
  <c r="H352" s="1"/>
  <c r="I352" s="1"/>
  <c r="J356"/>
  <c r="H356" s="1"/>
  <c r="I356" s="1"/>
  <c r="J360"/>
  <c r="H360" s="1"/>
  <c r="I360" s="1"/>
  <c r="J364"/>
  <c r="H364" s="1"/>
  <c r="I364" s="1"/>
  <c r="J368"/>
  <c r="H368" s="1"/>
  <c r="I368" s="1"/>
  <c r="J379"/>
  <c r="H379" s="1"/>
  <c r="I379" s="1"/>
  <c r="J383"/>
  <c r="H383" s="1"/>
  <c r="I383" s="1"/>
  <c r="J387"/>
  <c r="H387" s="1"/>
  <c r="I387" s="1"/>
  <c r="J394"/>
  <c r="H394" s="1"/>
  <c r="I394" s="1"/>
  <c r="J398"/>
  <c r="H398" s="1"/>
  <c r="I398" s="1"/>
  <c r="J404"/>
  <c r="H404" s="1"/>
  <c r="I404" s="1"/>
  <c r="J408"/>
  <c r="H408" s="1"/>
  <c r="I408" s="1"/>
  <c r="J447"/>
  <c r="H447" s="1"/>
  <c r="I447" s="1"/>
  <c r="J454"/>
  <c r="H454" s="1"/>
  <c r="I454" s="1"/>
  <c r="J465"/>
  <c r="H465" s="1"/>
  <c r="I465" s="1"/>
  <c r="J469"/>
  <c r="H469" s="1"/>
  <c r="I469" s="1"/>
  <c r="J473"/>
  <c r="H473" s="1"/>
  <c r="I473" s="1"/>
  <c r="J477"/>
  <c r="H477" s="1"/>
  <c r="I477" s="1"/>
  <c r="J481"/>
  <c r="H481" s="1"/>
  <c r="I481" s="1"/>
  <c r="J485"/>
  <c r="H485" s="1"/>
  <c r="I485" s="1"/>
  <c r="J126"/>
  <c r="H126" s="1"/>
  <c r="I126" s="1"/>
  <c r="V123" i="1"/>
  <c r="K123" s="1"/>
  <c r="J532" i="12"/>
  <c r="H532" s="1"/>
  <c r="J529"/>
  <c r="H529" s="1"/>
  <c r="V150" i="1"/>
  <c r="K150" s="1"/>
  <c r="J246" i="12"/>
  <c r="H246" s="1"/>
  <c r="I246" s="1"/>
  <c r="J437"/>
  <c r="H437" s="1"/>
  <c r="I437" s="1"/>
  <c r="J440"/>
  <c r="H440" s="1"/>
  <c r="I440" s="1"/>
  <c r="J2"/>
  <c r="H2" s="1"/>
  <c r="I2" s="1"/>
  <c r="J17"/>
  <c r="H17" s="1"/>
  <c r="I17" s="1"/>
  <c r="J25"/>
  <c r="H25" s="1"/>
  <c r="I25" s="1"/>
  <c r="J34"/>
  <c r="H34" s="1"/>
  <c r="I34" s="1"/>
  <c r="J42"/>
  <c r="H42" s="1"/>
  <c r="I42" s="1"/>
  <c r="J50"/>
  <c r="H50" s="1"/>
  <c r="I50" s="1"/>
  <c r="J58"/>
  <c r="H58" s="1"/>
  <c r="I58" s="1"/>
  <c r="J66"/>
  <c r="H66" s="1"/>
  <c r="I66" s="1"/>
  <c r="J85"/>
  <c r="H85" s="1"/>
  <c r="I85" s="1"/>
  <c r="J93"/>
  <c r="H93" s="1"/>
  <c r="I93" s="1"/>
  <c r="J101"/>
  <c r="H101" s="1"/>
  <c r="I101" s="1"/>
  <c r="J109"/>
  <c r="H109" s="1"/>
  <c r="I109" s="1"/>
  <c r="J136"/>
  <c r="H136" s="1"/>
  <c r="I136" s="1"/>
  <c r="J144"/>
  <c r="H144" s="1"/>
  <c r="I144" s="1"/>
  <c r="J152"/>
  <c r="H152" s="1"/>
  <c r="I152" s="1"/>
  <c r="J163"/>
  <c r="H163" s="1"/>
  <c r="J171"/>
  <c r="H171" s="1"/>
  <c r="I171" s="1"/>
  <c r="J179"/>
  <c r="H179" s="1"/>
  <c r="I179" s="1"/>
  <c r="J185"/>
  <c r="H185" s="1"/>
  <c r="I185" s="1"/>
  <c r="J190"/>
  <c r="H190" s="1"/>
  <c r="I190" s="1"/>
  <c r="J202"/>
  <c r="H202" s="1"/>
  <c r="I202" s="1"/>
  <c r="J206"/>
  <c r="H206" s="1"/>
  <c r="I206" s="1"/>
  <c r="J210"/>
  <c r="H210" s="1"/>
  <c r="I210" s="1"/>
  <c r="J214"/>
  <c r="H214" s="1"/>
  <c r="I214" s="1"/>
  <c r="J218"/>
  <c r="H218" s="1"/>
  <c r="I218" s="1"/>
  <c r="J222"/>
  <c r="H222" s="1"/>
  <c r="I222" s="1"/>
  <c r="J226"/>
  <c r="H226" s="1"/>
  <c r="I226" s="1"/>
  <c r="J230"/>
  <c r="H230" s="1"/>
  <c r="I230" s="1"/>
  <c r="J234"/>
  <c r="H234" s="1"/>
  <c r="I234" s="1"/>
  <c r="J255"/>
  <c r="H255" s="1"/>
  <c r="I255" s="1"/>
  <c r="J259"/>
  <c r="H259" s="1"/>
  <c r="I259" s="1"/>
  <c r="J263"/>
  <c r="H263" s="1"/>
  <c r="I263" s="1"/>
  <c r="J267"/>
  <c r="H267" s="1"/>
  <c r="I267" s="1"/>
  <c r="J271"/>
  <c r="H271" s="1"/>
  <c r="I271" s="1"/>
  <c r="J279"/>
  <c r="H279" s="1"/>
  <c r="J291"/>
  <c r="H291" s="1"/>
  <c r="I291" s="1"/>
  <c r="J295"/>
  <c r="H295" s="1"/>
  <c r="I295" s="1"/>
  <c r="J299"/>
  <c r="H299" s="1"/>
  <c r="I299" s="1"/>
  <c r="J303"/>
  <c r="H303" s="1"/>
  <c r="I303" s="1"/>
  <c r="J307"/>
  <c r="H307" s="1"/>
  <c r="J311"/>
  <c r="H311" s="1"/>
  <c r="I311" s="1"/>
  <c r="J315"/>
  <c r="H315" s="1"/>
  <c r="I315" s="1"/>
  <c r="J319"/>
  <c r="H319" s="1"/>
  <c r="I319" s="1"/>
  <c r="J323"/>
  <c r="H323" s="1"/>
  <c r="I323" s="1"/>
  <c r="J327"/>
  <c r="H327" s="1"/>
  <c r="I327" s="1"/>
  <c r="J331"/>
  <c r="H331" s="1"/>
  <c r="I331" s="1"/>
  <c r="J341"/>
  <c r="H341" s="1"/>
  <c r="I341" s="1"/>
  <c r="J345"/>
  <c r="H345" s="1"/>
  <c r="I345" s="1"/>
  <c r="J349"/>
  <c r="H349" s="1"/>
  <c r="I349" s="1"/>
  <c r="J353"/>
  <c r="H353" s="1"/>
  <c r="I353" s="1"/>
  <c r="J357"/>
  <c r="H357" s="1"/>
  <c r="I357" s="1"/>
  <c r="J361"/>
  <c r="H361" s="1"/>
  <c r="I361" s="1"/>
  <c r="J365"/>
  <c r="H365" s="1"/>
  <c r="I365" s="1"/>
  <c r="J369"/>
  <c r="H369" s="1"/>
  <c r="I369" s="1"/>
  <c r="J380"/>
  <c r="H380" s="1"/>
  <c r="I380" s="1"/>
  <c r="J384"/>
  <c r="H384" s="1"/>
  <c r="I384" s="1"/>
  <c r="J388"/>
  <c r="H388" s="1"/>
  <c r="I388" s="1"/>
  <c r="J395"/>
  <c r="H395" s="1"/>
  <c r="I395" s="1"/>
  <c r="J399"/>
  <c r="H399" s="1"/>
  <c r="I399" s="1"/>
  <c r="J116"/>
  <c r="H116" s="1"/>
  <c r="J285"/>
  <c r="H285" s="1"/>
  <c r="I285" s="1"/>
  <c r="J21"/>
  <c r="H21" s="1"/>
  <c r="I21" s="1"/>
  <c r="J38"/>
  <c r="H38" s="1"/>
  <c r="I38" s="1"/>
  <c r="J54"/>
  <c r="H54" s="1"/>
  <c r="I54" s="1"/>
  <c r="J81"/>
  <c r="H81" s="1"/>
  <c r="I81" s="1"/>
  <c r="J97"/>
  <c r="H97" s="1"/>
  <c r="I97" s="1"/>
  <c r="J113"/>
  <c r="H113" s="1"/>
  <c r="I113" s="1"/>
  <c r="J148"/>
  <c r="H148" s="1"/>
  <c r="I148" s="1"/>
  <c r="J167"/>
  <c r="H167" s="1"/>
  <c r="I167" s="1"/>
  <c r="J182"/>
  <c r="H182" s="1"/>
  <c r="I182" s="1"/>
  <c r="J192"/>
  <c r="H192" s="1"/>
  <c r="I192" s="1"/>
  <c r="J208"/>
  <c r="H208" s="1"/>
  <c r="I208" s="1"/>
  <c r="J216"/>
  <c r="H216" s="1"/>
  <c r="I216" s="1"/>
  <c r="J224"/>
  <c r="H224" s="1"/>
  <c r="I224" s="1"/>
  <c r="J232"/>
  <c r="H232" s="1"/>
  <c r="I232" s="1"/>
  <c r="J257"/>
  <c r="H257" s="1"/>
  <c r="I257" s="1"/>
  <c r="J265"/>
  <c r="H265" s="1"/>
  <c r="I265" s="1"/>
  <c r="J277"/>
  <c r="H277" s="1"/>
  <c r="J293"/>
  <c r="H293" s="1"/>
  <c r="I293" s="1"/>
  <c r="J301"/>
  <c r="H301" s="1"/>
  <c r="I301" s="1"/>
  <c r="J309"/>
  <c r="H309" s="1"/>
  <c r="I309" s="1"/>
  <c r="J317"/>
  <c r="H317" s="1"/>
  <c r="I317" s="1"/>
  <c r="J325"/>
  <c r="H325" s="1"/>
  <c r="I325" s="1"/>
  <c r="J333"/>
  <c r="H333" s="1"/>
  <c r="I333" s="1"/>
  <c r="J347"/>
  <c r="H347" s="1"/>
  <c r="I347" s="1"/>
  <c r="J355"/>
  <c r="H355" s="1"/>
  <c r="I355" s="1"/>
  <c r="J363"/>
  <c r="H363" s="1"/>
  <c r="I363" s="1"/>
  <c r="J378"/>
  <c r="H378" s="1"/>
  <c r="I378" s="1"/>
  <c r="J386"/>
  <c r="H386" s="1"/>
  <c r="I386" s="1"/>
  <c r="J397"/>
  <c r="H397" s="1"/>
  <c r="I397" s="1"/>
  <c r="J406"/>
  <c r="H406" s="1"/>
  <c r="I406" s="1"/>
  <c r="J446"/>
  <c r="H446" s="1"/>
  <c r="I446" s="1"/>
  <c r="J455"/>
  <c r="H455" s="1"/>
  <c r="I455" s="1"/>
  <c r="J467"/>
  <c r="H467" s="1"/>
  <c r="I467" s="1"/>
  <c r="J472"/>
  <c r="H472" s="1"/>
  <c r="I472" s="1"/>
  <c r="J478"/>
  <c r="H478" s="1"/>
  <c r="I478" s="1"/>
  <c r="J483"/>
  <c r="H483" s="1"/>
  <c r="J488"/>
  <c r="H488" s="1"/>
  <c r="I488" s="1"/>
  <c r="J492"/>
  <c r="H492" s="1"/>
  <c r="I492" s="1"/>
  <c r="J496"/>
  <c r="H496" s="1"/>
  <c r="I496" s="1"/>
  <c r="J514"/>
  <c r="H514" s="1"/>
  <c r="J518"/>
  <c r="H518" s="1"/>
  <c r="J522"/>
  <c r="H522" s="1"/>
  <c r="I522" s="1"/>
  <c r="J526"/>
  <c r="H526" s="1"/>
  <c r="I526" s="1"/>
  <c r="J541"/>
  <c r="H541" s="1"/>
  <c r="I541" s="1"/>
  <c r="J545"/>
  <c r="H545" s="1"/>
  <c r="I545" s="1"/>
  <c r="V4" i="1"/>
  <c r="V5"/>
  <c r="K5" s="1"/>
  <c r="T5" s="1"/>
  <c r="V51"/>
  <c r="V65"/>
  <c r="V86"/>
  <c r="V28"/>
  <c r="V15"/>
  <c r="V11"/>
  <c r="V59"/>
  <c r="V82"/>
  <c r="V33"/>
  <c r="V24"/>
  <c r="V54"/>
  <c r="V43"/>
  <c r="V29"/>
  <c r="V36"/>
  <c r="V103"/>
  <c r="V106"/>
  <c r="V111"/>
  <c r="V76"/>
  <c r="V102"/>
  <c r="V73"/>
  <c r="V131"/>
  <c r="V136"/>
  <c r="V154"/>
  <c r="V158"/>
  <c r="V163"/>
  <c r="J121" i="12"/>
  <c r="H121" s="1"/>
  <c r="J439"/>
  <c r="H439" s="1"/>
  <c r="I439" s="1"/>
  <c r="J19"/>
  <c r="H19" s="1"/>
  <c r="I19" s="1"/>
  <c r="J36"/>
  <c r="H36" s="1"/>
  <c r="I36" s="1"/>
  <c r="J52"/>
  <c r="H52" s="1"/>
  <c r="I52" s="1"/>
  <c r="J68"/>
  <c r="H68" s="1"/>
  <c r="I68" s="1"/>
  <c r="J95"/>
  <c r="H95" s="1"/>
  <c r="I95" s="1"/>
  <c r="J111"/>
  <c r="H111" s="1"/>
  <c r="I111" s="1"/>
  <c r="J146"/>
  <c r="H146" s="1"/>
  <c r="I146" s="1"/>
  <c r="J165"/>
  <c r="H165" s="1"/>
  <c r="J181"/>
  <c r="H181" s="1"/>
  <c r="I181" s="1"/>
  <c r="J191"/>
  <c r="H191" s="1"/>
  <c r="I191" s="1"/>
  <c r="J207"/>
  <c r="H207" s="1"/>
  <c r="I207" s="1"/>
  <c r="J215"/>
  <c r="H215" s="1"/>
  <c r="I215" s="1"/>
  <c r="J223"/>
  <c r="H223" s="1"/>
  <c r="I223" s="1"/>
  <c r="J231"/>
  <c r="H231" s="1"/>
  <c r="I231" s="1"/>
  <c r="J256"/>
  <c r="H256" s="1"/>
  <c r="I256" s="1"/>
  <c r="J264"/>
  <c r="H264" s="1"/>
  <c r="I264" s="1"/>
  <c r="J272"/>
  <c r="H272" s="1"/>
  <c r="I272" s="1"/>
  <c r="J292"/>
  <c r="H292" s="1"/>
  <c r="I292" s="1"/>
  <c r="J300"/>
  <c r="H300" s="1"/>
  <c r="I300" s="1"/>
  <c r="J308"/>
  <c r="H308" s="1"/>
  <c r="J316"/>
  <c r="H316" s="1"/>
  <c r="I316" s="1"/>
  <c r="J324"/>
  <c r="H324" s="1"/>
  <c r="I324" s="1"/>
  <c r="J332"/>
  <c r="H332" s="1"/>
  <c r="I332" s="1"/>
  <c r="J346"/>
  <c r="H346" s="1"/>
  <c r="I346" s="1"/>
  <c r="J354"/>
  <c r="H354" s="1"/>
  <c r="I354" s="1"/>
  <c r="J362"/>
  <c r="H362" s="1"/>
  <c r="I362" s="1"/>
  <c r="J377"/>
  <c r="H377" s="1"/>
  <c r="I377" s="1"/>
  <c r="J385"/>
  <c r="H385" s="1"/>
  <c r="I385" s="1"/>
  <c r="J396"/>
  <c r="H396" s="1"/>
  <c r="I396" s="1"/>
  <c r="J405"/>
  <c r="H405" s="1"/>
  <c r="I405" s="1"/>
  <c r="J445"/>
  <c r="H445" s="1"/>
  <c r="I445" s="1"/>
  <c r="J450"/>
  <c r="H450" s="1"/>
  <c r="I450" s="1"/>
  <c r="J466"/>
  <c r="H466" s="1"/>
  <c r="I466" s="1"/>
  <c r="J471"/>
  <c r="H471" s="1"/>
  <c r="I471" s="1"/>
  <c r="J476"/>
  <c r="H476" s="1"/>
  <c r="I476" s="1"/>
  <c r="J482"/>
  <c r="H482" s="1"/>
  <c r="I482" s="1"/>
  <c r="J487"/>
  <c r="H487" s="1"/>
  <c r="I487" s="1"/>
  <c r="J491"/>
  <c r="H491" s="1"/>
  <c r="I491" s="1"/>
  <c r="J495"/>
  <c r="H495" s="1"/>
  <c r="I495" s="1"/>
  <c r="J502"/>
  <c r="H502" s="1"/>
  <c r="I502" s="1"/>
  <c r="J517"/>
  <c r="H517" s="1"/>
  <c r="I517" s="1"/>
  <c r="J521"/>
  <c r="H521" s="1"/>
  <c r="I521" s="1"/>
  <c r="J525"/>
  <c r="H525" s="1"/>
  <c r="I525" s="1"/>
  <c r="J540"/>
  <c r="H540" s="1"/>
  <c r="I540" s="1"/>
  <c r="J544"/>
  <c r="H544" s="1"/>
  <c r="I544" s="1"/>
  <c r="J551"/>
  <c r="H551" s="1"/>
  <c r="J464"/>
  <c r="H464" s="1"/>
  <c r="I464" s="1"/>
  <c r="V20" i="1"/>
  <c r="V7"/>
  <c r="V113"/>
  <c r="V97"/>
  <c r="V34"/>
  <c r="V49"/>
  <c r="V67"/>
  <c r="V63"/>
  <c r="V16"/>
  <c r="V12"/>
  <c r="V32"/>
  <c r="V13"/>
  <c r="V80"/>
  <c r="V124"/>
  <c r="V18"/>
  <c r="V27"/>
  <c r="V52"/>
  <c r="V58"/>
  <c r="V45"/>
  <c r="V100"/>
  <c r="V83"/>
  <c r="V99"/>
  <c r="V127"/>
  <c r="V153"/>
  <c r="V159"/>
  <c r="V161"/>
  <c r="V87"/>
  <c r="K87" s="1"/>
  <c r="J284" i="12"/>
  <c r="H284" s="1"/>
  <c r="I284" s="1"/>
  <c r="J282"/>
  <c r="H282" s="1"/>
  <c r="I282" s="1"/>
  <c r="J29"/>
  <c r="H29" s="1"/>
  <c r="I29" s="1"/>
  <c r="J62"/>
  <c r="H62" s="1"/>
  <c r="I62" s="1"/>
  <c r="J105"/>
  <c r="H105" s="1"/>
  <c r="I105" s="1"/>
  <c r="J159"/>
  <c r="H159" s="1"/>
  <c r="I159" s="1"/>
  <c r="J187"/>
  <c r="H187" s="1"/>
  <c r="I187" s="1"/>
  <c r="J212"/>
  <c r="H212" s="1"/>
  <c r="I212" s="1"/>
  <c r="J228"/>
  <c r="H228" s="1"/>
  <c r="I228" s="1"/>
  <c r="J261"/>
  <c r="H261" s="1"/>
  <c r="I261" s="1"/>
  <c r="J289"/>
  <c r="H289" s="1"/>
  <c r="I289" s="1"/>
  <c r="J305"/>
  <c r="H305" s="1"/>
  <c r="I305" s="1"/>
  <c r="J321"/>
  <c r="H321" s="1"/>
  <c r="I321" s="1"/>
  <c r="J343"/>
  <c r="H343" s="1"/>
  <c r="I343" s="1"/>
  <c r="J359"/>
  <c r="H359" s="1"/>
  <c r="I359" s="1"/>
  <c r="J382"/>
  <c r="H382" s="1"/>
  <c r="I382" s="1"/>
  <c r="J403"/>
  <c r="H403" s="1"/>
  <c r="I403" s="1"/>
  <c r="J449"/>
  <c r="H449" s="1"/>
  <c r="I449" s="1"/>
  <c r="J470"/>
  <c r="H470" s="1"/>
  <c r="I470" s="1"/>
  <c r="J480"/>
  <c r="H480" s="1"/>
  <c r="I480" s="1"/>
  <c r="J490"/>
  <c r="H490" s="1"/>
  <c r="I490" s="1"/>
  <c r="J501"/>
  <c r="H501" s="1"/>
  <c r="I501" s="1"/>
  <c r="J520"/>
  <c r="H520" s="1"/>
  <c r="I520" s="1"/>
  <c r="J528"/>
  <c r="H528" s="1"/>
  <c r="I528" s="1"/>
  <c r="J463"/>
  <c r="H463" s="1"/>
  <c r="I463" s="1"/>
  <c r="V8" i="1"/>
  <c r="V46"/>
  <c r="V148"/>
  <c r="V19"/>
  <c r="V23"/>
  <c r="V30"/>
  <c r="V31"/>
  <c r="V85"/>
  <c r="V48"/>
  <c r="V98"/>
  <c r="V139"/>
  <c r="V141"/>
  <c r="V162"/>
  <c r="J511" i="12"/>
  <c r="H511" s="1"/>
  <c r="I511" s="1"/>
  <c r="J438"/>
  <c r="H438" s="1"/>
  <c r="I438" s="1"/>
  <c r="J46"/>
  <c r="H46" s="1"/>
  <c r="I46" s="1"/>
  <c r="J140"/>
  <c r="H140" s="1"/>
  <c r="I140" s="1"/>
  <c r="J204"/>
  <c r="H204" s="1"/>
  <c r="I204" s="1"/>
  <c r="J253"/>
  <c r="H253" s="1"/>
  <c r="I253" s="1"/>
  <c r="J297"/>
  <c r="H297" s="1"/>
  <c r="I297" s="1"/>
  <c r="J329"/>
  <c r="H329" s="1"/>
  <c r="I329" s="1"/>
  <c r="J367"/>
  <c r="H367" s="1"/>
  <c r="I367" s="1"/>
  <c r="J444"/>
  <c r="H444" s="1"/>
  <c r="I444" s="1"/>
  <c r="J475"/>
  <c r="H475" s="1"/>
  <c r="J494"/>
  <c r="H494" s="1"/>
  <c r="I494" s="1"/>
  <c r="J524"/>
  <c r="H524" s="1"/>
  <c r="I524" s="1"/>
  <c r="J550"/>
  <c r="H550" s="1"/>
  <c r="V74" i="1"/>
  <c r="V47"/>
  <c r="V61"/>
  <c r="V35"/>
  <c r="V96"/>
  <c r="V129"/>
  <c r="V101"/>
  <c r="K101" s="1"/>
  <c r="J244" i="12"/>
  <c r="H244" s="1"/>
  <c r="I244" s="1"/>
  <c r="J27"/>
  <c r="H27" s="1"/>
  <c r="I27" s="1"/>
  <c r="J103"/>
  <c r="H103" s="1"/>
  <c r="I103" s="1"/>
  <c r="J186"/>
  <c r="H186" s="1"/>
  <c r="I186" s="1"/>
  <c r="J227"/>
  <c r="H227" s="1"/>
  <c r="I227" s="1"/>
  <c r="J280"/>
  <c r="H280" s="1"/>
  <c r="I280" s="1"/>
  <c r="J320"/>
  <c r="H320" s="1"/>
  <c r="I320" s="1"/>
  <c r="J358"/>
  <c r="H358" s="1"/>
  <c r="I358" s="1"/>
  <c r="J402"/>
  <c r="H402" s="1"/>
  <c r="I402" s="1"/>
  <c r="J468"/>
  <c r="H468" s="1"/>
  <c r="I468" s="1"/>
  <c r="J489"/>
  <c r="H489" s="1"/>
  <c r="I489" s="1"/>
  <c r="J519"/>
  <c r="H519" s="1"/>
  <c r="I519" s="1"/>
  <c r="V25" i="1"/>
  <c r="V68"/>
  <c r="V26"/>
  <c r="V78"/>
  <c r="V88"/>
  <c r="V62"/>
  <c r="V156"/>
  <c r="J124" i="12"/>
  <c r="H124" s="1"/>
  <c r="V120" i="1"/>
  <c r="K120" s="1"/>
  <c r="J283" i="12"/>
  <c r="H283" s="1"/>
  <c r="I283" s="1"/>
  <c r="J4"/>
  <c r="H4" s="1"/>
  <c r="I4" s="1"/>
  <c r="J44"/>
  <c r="H44" s="1"/>
  <c r="I44" s="1"/>
  <c r="J87"/>
  <c r="H87" s="1"/>
  <c r="I87" s="1"/>
  <c r="J138"/>
  <c r="H138" s="1"/>
  <c r="I138" s="1"/>
  <c r="J173"/>
  <c r="H173" s="1"/>
  <c r="I173" s="1"/>
  <c r="J203"/>
  <c r="H203" s="1"/>
  <c r="I203" s="1"/>
  <c r="J219"/>
  <c r="H219" s="1"/>
  <c r="I219" s="1"/>
  <c r="J235"/>
  <c r="H235" s="1"/>
  <c r="I235" s="1"/>
  <c r="J268"/>
  <c r="H268" s="1"/>
  <c r="I268" s="1"/>
  <c r="J296"/>
  <c r="H296" s="1"/>
  <c r="I296" s="1"/>
  <c r="J312"/>
  <c r="H312" s="1"/>
  <c r="I312" s="1"/>
  <c r="J328"/>
  <c r="H328" s="1"/>
  <c r="I328" s="1"/>
  <c r="J350"/>
  <c r="H350" s="1"/>
  <c r="I350" s="1"/>
  <c r="J366"/>
  <c r="H366" s="1"/>
  <c r="I366" s="1"/>
  <c r="J389"/>
  <c r="H389" s="1"/>
  <c r="I389" s="1"/>
  <c r="J407"/>
  <c r="H407" s="1"/>
  <c r="I407" s="1"/>
  <c r="J456"/>
  <c r="H456" s="1"/>
  <c r="I456" s="1"/>
  <c r="J474"/>
  <c r="H474" s="1"/>
  <c r="I474" s="1"/>
  <c r="J484"/>
  <c r="H484" s="1"/>
  <c r="I484" s="1"/>
  <c r="J493"/>
  <c r="H493" s="1"/>
  <c r="I493" s="1"/>
  <c r="J515"/>
  <c r="H515" s="1"/>
  <c r="I515" s="1"/>
  <c r="J523"/>
  <c r="H523" s="1"/>
  <c r="I523" s="1"/>
  <c r="J542"/>
  <c r="H542" s="1"/>
  <c r="I542" s="1"/>
  <c r="J549"/>
  <c r="H549" s="1"/>
  <c r="I549" s="1"/>
  <c r="V10" i="1"/>
  <c r="V146"/>
  <c r="V140"/>
  <c r="V9"/>
  <c r="V53"/>
  <c r="V40"/>
  <c r="V79"/>
  <c r="V104"/>
  <c r="V81"/>
  <c r="V93"/>
  <c r="V122"/>
  <c r="V147"/>
  <c r="V160"/>
  <c r="J6" i="12"/>
  <c r="H6" s="1"/>
  <c r="J89"/>
  <c r="H89" s="1"/>
  <c r="I89" s="1"/>
  <c r="J175"/>
  <c r="H175" s="1"/>
  <c r="I175" s="1"/>
  <c r="J220"/>
  <c r="H220" s="1"/>
  <c r="I220" s="1"/>
  <c r="J269"/>
  <c r="H269" s="1"/>
  <c r="I269" s="1"/>
  <c r="J313"/>
  <c r="H313" s="1"/>
  <c r="I313" s="1"/>
  <c r="J351"/>
  <c r="H351" s="1"/>
  <c r="I351" s="1"/>
  <c r="J390"/>
  <c r="H390" s="1"/>
  <c r="I390" s="1"/>
  <c r="J457"/>
  <c r="H457" s="1"/>
  <c r="I457" s="1"/>
  <c r="J486"/>
  <c r="H486" s="1"/>
  <c r="I486" s="1"/>
  <c r="J516"/>
  <c r="H516" s="1"/>
  <c r="I516" s="1"/>
  <c r="J543"/>
  <c r="H543" s="1"/>
  <c r="I543" s="1"/>
  <c r="V6" i="1"/>
  <c r="V72"/>
  <c r="V14"/>
  <c r="V70"/>
  <c r="V130"/>
  <c r="V157"/>
  <c r="J513" i="12"/>
  <c r="H513" s="1"/>
  <c r="I513" s="1"/>
  <c r="J60"/>
  <c r="H60" s="1"/>
  <c r="I60" s="1"/>
  <c r="J157"/>
  <c r="H157" s="1"/>
  <c r="J211"/>
  <c r="H211" s="1"/>
  <c r="I211" s="1"/>
  <c r="J260"/>
  <c r="H260" s="1"/>
  <c r="I260" s="1"/>
  <c r="J304"/>
  <c r="H304" s="1"/>
  <c r="I304" s="1"/>
  <c r="J342"/>
  <c r="H342" s="1"/>
  <c r="I342" s="1"/>
  <c r="J381"/>
  <c r="H381" s="1"/>
  <c r="I381" s="1"/>
  <c r="J448"/>
  <c r="H448" s="1"/>
  <c r="I448" s="1"/>
  <c r="J479"/>
  <c r="H479" s="1"/>
  <c r="I479" s="1"/>
  <c r="J500"/>
  <c r="H500" s="1"/>
  <c r="I500" s="1"/>
  <c r="J527"/>
  <c r="H527" s="1"/>
  <c r="I527" s="1"/>
  <c r="J462"/>
  <c r="H462" s="1"/>
  <c r="I462" s="1"/>
  <c r="V17" i="1"/>
  <c r="V142"/>
  <c r="V71"/>
  <c r="V91"/>
  <c r="V44"/>
  <c r="V115"/>
  <c r="V90"/>
  <c r="K90" s="1"/>
  <c r="I551" i="12"/>
  <c r="I550"/>
  <c r="Q8" i="1"/>
  <c r="Q51"/>
  <c r="Q12"/>
  <c r="Q13"/>
  <c r="Q44"/>
  <c r="Q162"/>
  <c r="N162" s="1"/>
  <c r="O162" s="1"/>
  <c r="Q10"/>
  <c r="N10" s="1"/>
  <c r="O10" s="1"/>
  <c r="Q99"/>
  <c r="Q73"/>
  <c r="J5"/>
  <c r="J163"/>
  <c r="M21" l="1"/>
  <c r="L21"/>
  <c r="P21"/>
  <c r="T21"/>
  <c r="U21" s="1"/>
  <c r="S21"/>
  <c r="R21" s="1"/>
  <c r="M143"/>
  <c r="L143"/>
  <c r="P143"/>
  <c r="T143"/>
  <c r="U143" s="1"/>
  <c r="S143"/>
  <c r="R143" s="1"/>
  <c r="M117"/>
  <c r="L117"/>
  <c r="P117"/>
  <c r="T117"/>
  <c r="U117" s="1"/>
  <c r="S117"/>
  <c r="R117" s="1"/>
  <c r="M126"/>
  <c r="L126"/>
  <c r="P126"/>
  <c r="T126"/>
  <c r="U126" s="1"/>
  <c r="S126"/>
  <c r="R126" s="1"/>
  <c r="M128"/>
  <c r="L128"/>
  <c r="P128"/>
  <c r="T128"/>
  <c r="U128" s="1"/>
  <c r="S128"/>
  <c r="R128" s="1"/>
  <c r="M121"/>
  <c r="L121"/>
  <c r="P121"/>
  <c r="T121"/>
  <c r="U121" s="1"/>
  <c r="S121"/>
  <c r="R121" s="1"/>
  <c r="M77"/>
  <c r="L77"/>
  <c r="P77"/>
  <c r="T77"/>
  <c r="U77" s="1"/>
  <c r="S77"/>
  <c r="R77" s="1"/>
  <c r="M2"/>
  <c r="S2"/>
  <c r="L2"/>
  <c r="R2" s="1"/>
  <c r="P2"/>
  <c r="T2"/>
  <c r="U2" s="1"/>
  <c r="M144"/>
  <c r="L144"/>
  <c r="P144"/>
  <c r="T144"/>
  <c r="U144" s="1"/>
  <c r="S144"/>
  <c r="R144" s="1"/>
  <c r="M145"/>
  <c r="L145"/>
  <c r="T145"/>
  <c r="U145" s="1"/>
  <c r="S145"/>
  <c r="R145" s="1"/>
  <c r="P145"/>
  <c r="M108"/>
  <c r="L108"/>
  <c r="T108"/>
  <c r="U108" s="1"/>
  <c r="S108"/>
  <c r="R108" s="1"/>
  <c r="P108"/>
  <c r="M84"/>
  <c r="L84"/>
  <c r="T84"/>
  <c r="U84" s="1"/>
  <c r="S84"/>
  <c r="R84" s="1"/>
  <c r="P84"/>
  <c r="M89"/>
  <c r="L89"/>
  <c r="T89"/>
  <c r="U89" s="1"/>
  <c r="S89"/>
  <c r="R89" s="1"/>
  <c r="P89"/>
  <c r="M42"/>
  <c r="L42"/>
  <c r="T42"/>
  <c r="U42" s="1"/>
  <c r="S42"/>
  <c r="R42" s="1"/>
  <c r="P42"/>
  <c r="M69"/>
  <c r="L69"/>
  <c r="T69"/>
  <c r="U69" s="1"/>
  <c r="S69"/>
  <c r="R69" s="1"/>
  <c r="P69"/>
  <c r="M105"/>
  <c r="L105"/>
  <c r="P105"/>
  <c r="T105"/>
  <c r="U105" s="1"/>
  <c r="S105"/>
  <c r="R105" s="1"/>
  <c r="M95"/>
  <c r="L95"/>
  <c r="T95"/>
  <c r="U95" s="1"/>
  <c r="S95"/>
  <c r="R95" s="1"/>
  <c r="P95"/>
  <c r="M119"/>
  <c r="L119"/>
  <c r="T119"/>
  <c r="U119" s="1"/>
  <c r="S119"/>
  <c r="R119" s="1"/>
  <c r="P119"/>
  <c r="M110"/>
  <c r="L110"/>
  <c r="T110"/>
  <c r="U110" s="1"/>
  <c r="S110"/>
  <c r="R110" s="1"/>
  <c r="P110"/>
  <c r="M92"/>
  <c r="L92"/>
  <c r="T92"/>
  <c r="U92" s="1"/>
  <c r="S92"/>
  <c r="R92" s="1"/>
  <c r="P92"/>
  <c r="M66"/>
  <c r="L66"/>
  <c r="T66"/>
  <c r="U66" s="1"/>
  <c r="S66"/>
  <c r="R66" s="1"/>
  <c r="P66"/>
  <c r="M152"/>
  <c r="L152"/>
  <c r="T152"/>
  <c r="U152" s="1"/>
  <c r="S152"/>
  <c r="R152" s="1"/>
  <c r="P152"/>
  <c r="M50"/>
  <c r="L50"/>
  <c r="T50"/>
  <c r="U50" s="1"/>
  <c r="S50"/>
  <c r="R50" s="1"/>
  <c r="P50"/>
  <c r="M3"/>
  <c r="L3"/>
  <c r="T3"/>
  <c r="U3" s="1"/>
  <c r="S3"/>
  <c r="R3" s="1"/>
  <c r="P3"/>
  <c r="M38"/>
  <c r="L38"/>
  <c r="T38"/>
  <c r="U38" s="1"/>
  <c r="S38"/>
  <c r="R38" s="1"/>
  <c r="P38"/>
  <c r="M22"/>
  <c r="L22"/>
  <c r="T22"/>
  <c r="U22" s="1"/>
  <c r="S22"/>
  <c r="R22" s="1"/>
  <c r="P22"/>
  <c r="K27"/>
  <c r="T27" s="1"/>
  <c r="S90"/>
  <c r="T90"/>
  <c r="S120"/>
  <c r="T120"/>
  <c r="S101"/>
  <c r="T101"/>
  <c r="S87"/>
  <c r="T87"/>
  <c r="S150"/>
  <c r="T150"/>
  <c r="S123"/>
  <c r="T123"/>
  <c r="S107"/>
  <c r="T107"/>
  <c r="S125"/>
  <c r="T125"/>
  <c r="S151"/>
  <c r="T151"/>
  <c r="S149"/>
  <c r="T149"/>
  <c r="S135"/>
  <c r="T135"/>
  <c r="S94"/>
  <c r="T94"/>
  <c r="S132"/>
  <c r="T132"/>
  <c r="S155"/>
  <c r="L155"/>
  <c r="P155"/>
  <c r="U155"/>
  <c r="M155"/>
  <c r="S133"/>
  <c r="L133"/>
  <c r="M133"/>
  <c r="U133"/>
  <c r="P133"/>
  <c r="S56"/>
  <c r="M56"/>
  <c r="U56"/>
  <c r="L56"/>
  <c r="P56"/>
  <c r="S109"/>
  <c r="U109"/>
  <c r="M109"/>
  <c r="L109"/>
  <c r="P109"/>
  <c r="S137"/>
  <c r="L137"/>
  <c r="U137"/>
  <c r="M137"/>
  <c r="P137"/>
  <c r="S138"/>
  <c r="L138"/>
  <c r="M138"/>
  <c r="U138"/>
  <c r="P138"/>
  <c r="S112"/>
  <c r="M112"/>
  <c r="P112"/>
  <c r="L112"/>
  <c r="U112"/>
  <c r="S134"/>
  <c r="P134"/>
  <c r="L134"/>
  <c r="U134"/>
  <c r="M134"/>
  <c r="S55"/>
  <c r="M55"/>
  <c r="L55"/>
  <c r="U55"/>
  <c r="P55"/>
  <c r="S60"/>
  <c r="P60"/>
  <c r="U60"/>
  <c r="M60"/>
  <c r="L60"/>
  <c r="L37"/>
  <c r="P37"/>
  <c r="S37"/>
  <c r="M37"/>
  <c r="U37"/>
  <c r="M41"/>
  <c r="L41"/>
  <c r="U41"/>
  <c r="S41"/>
  <c r="R41" s="1"/>
  <c r="P41"/>
  <c r="M57"/>
  <c r="L57"/>
  <c r="U57"/>
  <c r="S57"/>
  <c r="R57" s="1"/>
  <c r="P57"/>
  <c r="P64"/>
  <c r="M64"/>
  <c r="L64"/>
  <c r="U64"/>
  <c r="S64"/>
  <c r="R64" s="1"/>
  <c r="P75"/>
  <c r="M75"/>
  <c r="L75"/>
  <c r="U75"/>
  <c r="S75"/>
  <c r="R75" s="1"/>
  <c r="P114"/>
  <c r="L114"/>
  <c r="U114"/>
  <c r="M114"/>
  <c r="S114"/>
  <c r="R114" s="1"/>
  <c r="P116"/>
  <c r="L116"/>
  <c r="M116"/>
  <c r="U116"/>
  <c r="S116"/>
  <c r="R116" s="1"/>
  <c r="P118"/>
  <c r="L118"/>
  <c r="M118"/>
  <c r="U118"/>
  <c r="S118"/>
  <c r="R118" s="1"/>
  <c r="U39"/>
  <c r="M39"/>
  <c r="L39"/>
  <c r="S39"/>
  <c r="R39" s="1"/>
  <c r="P39"/>
  <c r="N99"/>
  <c r="O99" s="1"/>
  <c r="N13"/>
  <c r="O13" s="1"/>
  <c r="K142"/>
  <c r="K6"/>
  <c r="T6" s="1"/>
  <c r="K40"/>
  <c r="K78"/>
  <c r="K139"/>
  <c r="K148"/>
  <c r="T148" s="1"/>
  <c r="K100"/>
  <c r="K13"/>
  <c r="T13" s="1"/>
  <c r="K97"/>
  <c r="K102"/>
  <c r="T102" s="1"/>
  <c r="K54"/>
  <c r="K86"/>
  <c r="T86" s="1"/>
  <c r="K44"/>
  <c r="K70"/>
  <c r="T70" s="1"/>
  <c r="K81"/>
  <c r="K10"/>
  <c r="T10" s="1"/>
  <c r="K26"/>
  <c r="K61"/>
  <c r="K30"/>
  <c r="K45"/>
  <c r="K32"/>
  <c r="K113"/>
  <c r="T113" s="1"/>
  <c r="K136"/>
  <c r="K76"/>
  <c r="T76" s="1"/>
  <c r="K36"/>
  <c r="K24"/>
  <c r="K11"/>
  <c r="K65"/>
  <c r="T65" s="1"/>
  <c r="N51"/>
  <c r="O51" s="1"/>
  <c r="K91"/>
  <c r="K14"/>
  <c r="K147"/>
  <c r="K104"/>
  <c r="K9"/>
  <c r="K62"/>
  <c r="K68"/>
  <c r="K129"/>
  <c r="K47"/>
  <c r="K162"/>
  <c r="K48"/>
  <c r="T48" s="1"/>
  <c r="K23"/>
  <c r="K8"/>
  <c r="K161"/>
  <c r="K99"/>
  <c r="T99" s="1"/>
  <c r="K58"/>
  <c r="K124"/>
  <c r="T124" s="1"/>
  <c r="K12"/>
  <c r="K49"/>
  <c r="K7"/>
  <c r="K163"/>
  <c r="T163" s="1"/>
  <c r="K131"/>
  <c r="K111"/>
  <c r="K29"/>
  <c r="K33"/>
  <c r="T33" s="1"/>
  <c r="K15"/>
  <c r="K51"/>
  <c r="K115"/>
  <c r="K130"/>
  <c r="T130" s="1"/>
  <c r="K93"/>
  <c r="K146"/>
  <c r="T146" s="1"/>
  <c r="K35"/>
  <c r="K31"/>
  <c r="T31" s="1"/>
  <c r="K153"/>
  <c r="L27"/>
  <c r="K63"/>
  <c r="K154"/>
  <c r="K103"/>
  <c r="K59"/>
  <c r="T59" s="1"/>
  <c r="K4"/>
  <c r="N12"/>
  <c r="O12" s="1"/>
  <c r="K17"/>
  <c r="K160"/>
  <c r="T160" s="1"/>
  <c r="K53"/>
  <c r="K156"/>
  <c r="T156" s="1"/>
  <c r="K98"/>
  <c r="K46"/>
  <c r="T46" s="1"/>
  <c r="K127"/>
  <c r="K18"/>
  <c r="T18" s="1"/>
  <c r="K67"/>
  <c r="N73"/>
  <c r="O73" s="1"/>
  <c r="N44"/>
  <c r="O44" s="1"/>
  <c r="N8"/>
  <c r="O8" s="1"/>
  <c r="K71"/>
  <c r="K157"/>
  <c r="K72"/>
  <c r="K122"/>
  <c r="T122" s="1"/>
  <c r="K79"/>
  <c r="K140"/>
  <c r="T140" s="1"/>
  <c r="K88"/>
  <c r="K25"/>
  <c r="T25" s="1"/>
  <c r="K96"/>
  <c r="K74"/>
  <c r="T74" s="1"/>
  <c r="K141"/>
  <c r="K85"/>
  <c r="T85" s="1"/>
  <c r="K19"/>
  <c r="K159"/>
  <c r="T159" s="1"/>
  <c r="K83"/>
  <c r="K52"/>
  <c r="T52" s="1"/>
  <c r="K80"/>
  <c r="K16"/>
  <c r="K34"/>
  <c r="K20"/>
  <c r="T20" s="1"/>
  <c r="K158"/>
  <c r="K73"/>
  <c r="K106"/>
  <c r="K43"/>
  <c r="T43" s="1"/>
  <c r="K82"/>
  <c r="K28"/>
  <c r="P150"/>
  <c r="L150"/>
  <c r="M150"/>
  <c r="U150"/>
  <c r="P149"/>
  <c r="U149"/>
  <c r="M149"/>
  <c r="L149"/>
  <c r="R149" s="1"/>
  <c r="P94"/>
  <c r="M94"/>
  <c r="L94"/>
  <c r="R94" s="1"/>
  <c r="U94"/>
  <c r="U101"/>
  <c r="P101"/>
  <c r="L101"/>
  <c r="M101"/>
  <c r="L87"/>
  <c r="M87"/>
  <c r="U87"/>
  <c r="M125"/>
  <c r="P125"/>
  <c r="L125"/>
  <c r="R125" s="1"/>
  <c r="U125"/>
  <c r="P135"/>
  <c r="M135"/>
  <c r="U135"/>
  <c r="L135"/>
  <c r="R135" s="1"/>
  <c r="U90"/>
  <c r="P90"/>
  <c r="L90"/>
  <c r="M90"/>
  <c r="L120"/>
  <c r="M120"/>
  <c r="U120"/>
  <c r="M123"/>
  <c r="L123"/>
  <c r="R123" s="1"/>
  <c r="U123"/>
  <c r="P107"/>
  <c r="U107"/>
  <c r="L107"/>
  <c r="M107"/>
  <c r="P151"/>
  <c r="U151"/>
  <c r="L151"/>
  <c r="M151"/>
  <c r="M132"/>
  <c r="U132"/>
  <c r="L132"/>
  <c r="R132" s="1"/>
  <c r="M30"/>
  <c r="L40"/>
  <c r="M93"/>
  <c r="L11"/>
  <c r="M100"/>
  <c r="L100"/>
  <c r="M15"/>
  <c r="P161"/>
  <c r="L161"/>
  <c r="M141"/>
  <c r="L62"/>
  <c r="Q163"/>
  <c r="Q5"/>
  <c r="S5" s="1"/>
  <c r="L28" l="1"/>
  <c r="T28"/>
  <c r="S82"/>
  <c r="T82"/>
  <c r="S106"/>
  <c r="T106"/>
  <c r="M73"/>
  <c r="T73"/>
  <c r="S158"/>
  <c r="T158"/>
  <c r="S34"/>
  <c r="T34"/>
  <c r="L16"/>
  <c r="T16"/>
  <c r="S80"/>
  <c r="T80"/>
  <c r="S83"/>
  <c r="T83"/>
  <c r="S19"/>
  <c r="T19"/>
  <c r="S141"/>
  <c r="T141"/>
  <c r="S96"/>
  <c r="T96"/>
  <c r="S88"/>
  <c r="T88"/>
  <c r="S79"/>
  <c r="T79"/>
  <c r="S72"/>
  <c r="T72"/>
  <c r="L157"/>
  <c r="T157"/>
  <c r="S71"/>
  <c r="T71"/>
  <c r="S67"/>
  <c r="T67"/>
  <c r="S127"/>
  <c r="T127"/>
  <c r="S98"/>
  <c r="T98"/>
  <c r="S53"/>
  <c r="T53"/>
  <c r="S17"/>
  <c r="T17"/>
  <c r="S4"/>
  <c r="T4"/>
  <c r="S103"/>
  <c r="T103"/>
  <c r="M154"/>
  <c r="T154"/>
  <c r="S63"/>
  <c r="T63"/>
  <c r="S153"/>
  <c r="T153"/>
  <c r="S35"/>
  <c r="T35"/>
  <c r="S93"/>
  <c r="T93"/>
  <c r="S115"/>
  <c r="T115"/>
  <c r="M51"/>
  <c r="T51"/>
  <c r="S15"/>
  <c r="T15"/>
  <c r="S29"/>
  <c r="T29"/>
  <c r="M111"/>
  <c r="T111"/>
  <c r="S131"/>
  <c r="T131"/>
  <c r="S7"/>
  <c r="T7"/>
  <c r="L49"/>
  <c r="T49"/>
  <c r="S12"/>
  <c r="T12"/>
  <c r="S58"/>
  <c r="T58"/>
  <c r="S161"/>
  <c r="T161"/>
  <c r="S8"/>
  <c r="T8"/>
  <c r="S23"/>
  <c r="T23"/>
  <c r="S162"/>
  <c r="T162"/>
  <c r="M47"/>
  <c r="T47"/>
  <c r="S129"/>
  <c r="T129"/>
  <c r="M68"/>
  <c r="T68"/>
  <c r="S62"/>
  <c r="T62"/>
  <c r="L9"/>
  <c r="T9"/>
  <c r="S104"/>
  <c r="T104"/>
  <c r="M147"/>
  <c r="T147"/>
  <c r="S14"/>
  <c r="T14"/>
  <c r="M91"/>
  <c r="T91"/>
  <c r="S11"/>
  <c r="T11"/>
  <c r="M24"/>
  <c r="T24"/>
  <c r="S36"/>
  <c r="T36"/>
  <c r="S136"/>
  <c r="T136"/>
  <c r="S32"/>
  <c r="T32"/>
  <c r="L45"/>
  <c r="T45"/>
  <c r="S30"/>
  <c r="T30"/>
  <c r="M61"/>
  <c r="T61"/>
  <c r="S26"/>
  <c r="T26"/>
  <c r="S81"/>
  <c r="T81"/>
  <c r="T44"/>
  <c r="U44" s="1"/>
  <c r="S54"/>
  <c r="T54"/>
  <c r="S97"/>
  <c r="T97"/>
  <c r="S100"/>
  <c r="T100"/>
  <c r="S139"/>
  <c r="T139"/>
  <c r="L78"/>
  <c r="T78"/>
  <c r="S40"/>
  <c r="T40"/>
  <c r="S142"/>
  <c r="T142"/>
  <c r="R151"/>
  <c r="R107"/>
  <c r="R120"/>
  <c r="R90"/>
  <c r="R87"/>
  <c r="R101"/>
  <c r="R150"/>
  <c r="R161"/>
  <c r="R100"/>
  <c r="R37"/>
  <c r="R60"/>
  <c r="R55"/>
  <c r="R134"/>
  <c r="R112"/>
  <c r="R138"/>
  <c r="R137"/>
  <c r="R109"/>
  <c r="R56"/>
  <c r="R133"/>
  <c r="R155"/>
  <c r="M32"/>
  <c r="P72"/>
  <c r="M7"/>
  <c r="L44"/>
  <c r="P32"/>
  <c r="L29"/>
  <c r="L139"/>
  <c r="M139"/>
  <c r="M83"/>
  <c r="P26"/>
  <c r="L72"/>
  <c r="P59"/>
  <c r="L23"/>
  <c r="L34"/>
  <c r="L129"/>
  <c r="M129"/>
  <c r="M67"/>
  <c r="M79"/>
  <c r="U129"/>
  <c r="M72"/>
  <c r="P103"/>
  <c r="L131"/>
  <c r="L15"/>
  <c r="R15" s="1"/>
  <c r="L7"/>
  <c r="R7" s="1"/>
  <c r="M88"/>
  <c r="P91"/>
  <c r="P88"/>
  <c r="L5"/>
  <c r="M96"/>
  <c r="L81"/>
  <c r="L141"/>
  <c r="R141" s="1"/>
  <c r="P115"/>
  <c r="L93"/>
  <c r="R93" s="1"/>
  <c r="M34"/>
  <c r="L83"/>
  <c r="R83" s="1"/>
  <c r="M26"/>
  <c r="M98"/>
  <c r="P83"/>
  <c r="M82"/>
  <c r="P106"/>
  <c r="L63"/>
  <c r="M35"/>
  <c r="M62"/>
  <c r="R62" s="1"/>
  <c r="M136"/>
  <c r="L71"/>
  <c r="M81"/>
  <c r="L17"/>
  <c r="L88"/>
  <c r="R88" s="1"/>
  <c r="L115"/>
  <c r="M106"/>
  <c r="L106"/>
  <c r="R106" s="1"/>
  <c r="M29"/>
  <c r="P29"/>
  <c r="L30"/>
  <c r="R30" s="1"/>
  <c r="L32"/>
  <c r="R32" s="1"/>
  <c r="P98"/>
  <c r="M5"/>
  <c r="U29"/>
  <c r="U81"/>
  <c r="M58"/>
  <c r="L136"/>
  <c r="R136" s="1"/>
  <c r="M103"/>
  <c r="L97"/>
  <c r="P17"/>
  <c r="L35"/>
  <c r="R35" s="1"/>
  <c r="P131"/>
  <c r="L8"/>
  <c r="S44"/>
  <c r="U58"/>
  <c r="U136"/>
  <c r="L58"/>
  <c r="R58" s="1"/>
  <c r="M53"/>
  <c r="L54"/>
  <c r="L103"/>
  <c r="R103" s="1"/>
  <c r="M17"/>
  <c r="M131"/>
  <c r="L67"/>
  <c r="R67" s="1"/>
  <c r="M63"/>
  <c r="M11"/>
  <c r="R11" s="1"/>
  <c r="L98"/>
  <c r="R98" s="1"/>
  <c r="M44"/>
  <c r="L4"/>
  <c r="U35"/>
  <c r="U100"/>
  <c r="M14"/>
  <c r="M153"/>
  <c r="L142"/>
  <c r="P79"/>
  <c r="U153"/>
  <c r="U15"/>
  <c r="U97"/>
  <c r="U142"/>
  <c r="L153"/>
  <c r="R153" s="1"/>
  <c r="M40"/>
  <c r="R40" s="1"/>
  <c r="M97"/>
  <c r="P19"/>
  <c r="L36"/>
  <c r="P96"/>
  <c r="M36"/>
  <c r="L127"/>
  <c r="L162"/>
  <c r="R162" s="1"/>
  <c r="P36"/>
  <c r="M12"/>
  <c r="M80"/>
  <c r="M4"/>
  <c r="U63"/>
  <c r="U115"/>
  <c r="U7"/>
  <c r="U23"/>
  <c r="U104"/>
  <c r="U11"/>
  <c r="U30"/>
  <c r="U54"/>
  <c r="U40"/>
  <c r="L53"/>
  <c r="R53" s="1"/>
  <c r="L96"/>
  <c r="R96" s="1"/>
  <c r="M142"/>
  <c r="L80"/>
  <c r="R80" s="1"/>
  <c r="M127"/>
  <c r="U12"/>
  <c r="U162"/>
  <c r="U14"/>
  <c r="U36"/>
  <c r="U26"/>
  <c r="L158"/>
  <c r="R158" s="1"/>
  <c r="L14"/>
  <c r="R14" s="1"/>
  <c r="M104"/>
  <c r="L104"/>
  <c r="R104" s="1"/>
  <c r="M54"/>
  <c r="M71"/>
  <c r="M23"/>
  <c r="M19"/>
  <c r="M115"/>
  <c r="P40"/>
  <c r="L79"/>
  <c r="R79" s="1"/>
  <c r="P97"/>
  <c r="L26"/>
  <c r="R26" s="1"/>
  <c r="L19"/>
  <c r="R19" s="1"/>
  <c r="P15"/>
  <c r="L82"/>
  <c r="R82" s="1"/>
  <c r="L12"/>
  <c r="R12" s="1"/>
  <c r="P11"/>
  <c r="P4"/>
  <c r="U93"/>
  <c r="U131"/>
  <c r="U161"/>
  <c r="U62"/>
  <c r="U32"/>
  <c r="U139"/>
  <c r="N5"/>
  <c r="O5" s="1"/>
  <c r="R5"/>
  <c r="S46"/>
  <c r="U46"/>
  <c r="M46"/>
  <c r="S160"/>
  <c r="L160"/>
  <c r="U160"/>
  <c r="S146"/>
  <c r="L146"/>
  <c r="U146"/>
  <c r="S111"/>
  <c r="L111"/>
  <c r="U111"/>
  <c r="U99"/>
  <c r="M99"/>
  <c r="L99"/>
  <c r="S99"/>
  <c r="R99" s="1"/>
  <c r="S68"/>
  <c r="U68"/>
  <c r="L68"/>
  <c r="S113"/>
  <c r="M113"/>
  <c r="U113"/>
  <c r="S70"/>
  <c r="M70"/>
  <c r="U70"/>
  <c r="L70"/>
  <c r="S148"/>
  <c r="M148"/>
  <c r="U148"/>
  <c r="L148"/>
  <c r="L113"/>
  <c r="S28"/>
  <c r="M28"/>
  <c r="U28"/>
  <c r="L73"/>
  <c r="U73"/>
  <c r="S16"/>
  <c r="M16"/>
  <c r="U16"/>
  <c r="S159"/>
  <c r="L159"/>
  <c r="U159"/>
  <c r="S74"/>
  <c r="M74"/>
  <c r="L74"/>
  <c r="U74"/>
  <c r="S140"/>
  <c r="M140"/>
  <c r="U140"/>
  <c r="L140"/>
  <c r="S157"/>
  <c r="R157" s="1"/>
  <c r="U157"/>
  <c r="S59"/>
  <c r="M59"/>
  <c r="L59"/>
  <c r="U59"/>
  <c r="S31"/>
  <c r="M31"/>
  <c r="U31"/>
  <c r="L31"/>
  <c r="S33"/>
  <c r="L33"/>
  <c r="M33"/>
  <c r="U33"/>
  <c r="S124"/>
  <c r="L124"/>
  <c r="M124"/>
  <c r="U124"/>
  <c r="S47"/>
  <c r="L47"/>
  <c r="U47"/>
  <c r="S91"/>
  <c r="U91"/>
  <c r="L91"/>
  <c r="S76"/>
  <c r="M76"/>
  <c r="U76"/>
  <c r="S10"/>
  <c r="M10"/>
  <c r="L10"/>
  <c r="U10"/>
  <c r="L13"/>
  <c r="M13"/>
  <c r="U13"/>
  <c r="S13"/>
  <c r="R13" s="1"/>
  <c r="M146"/>
  <c r="P28"/>
  <c r="S18"/>
  <c r="L18"/>
  <c r="M18"/>
  <c r="U18"/>
  <c r="S156"/>
  <c r="U156"/>
  <c r="L156"/>
  <c r="S27"/>
  <c r="U27"/>
  <c r="M27"/>
  <c r="U51"/>
  <c r="S51"/>
  <c r="L51"/>
  <c r="S49"/>
  <c r="M49"/>
  <c r="U49"/>
  <c r="S48"/>
  <c r="U48"/>
  <c r="M48"/>
  <c r="L48"/>
  <c r="S147"/>
  <c r="U147"/>
  <c r="L147"/>
  <c r="S24"/>
  <c r="L24"/>
  <c r="U24"/>
  <c r="S61"/>
  <c r="L61"/>
  <c r="U61"/>
  <c r="S102"/>
  <c r="M102"/>
  <c r="L102"/>
  <c r="U102"/>
  <c r="S6"/>
  <c r="M6"/>
  <c r="L6"/>
  <c r="U6"/>
  <c r="L46"/>
  <c r="L76"/>
  <c r="S43"/>
  <c r="L43"/>
  <c r="M43"/>
  <c r="U43"/>
  <c r="S20"/>
  <c r="U20"/>
  <c r="L20"/>
  <c r="M20"/>
  <c r="S52"/>
  <c r="L52"/>
  <c r="U52"/>
  <c r="M52"/>
  <c r="S85"/>
  <c r="U85"/>
  <c r="L85"/>
  <c r="M85"/>
  <c r="S25"/>
  <c r="U25"/>
  <c r="M25"/>
  <c r="L25"/>
  <c r="S122"/>
  <c r="U122"/>
  <c r="M122"/>
  <c r="L122"/>
  <c r="S73"/>
  <c r="R73" s="1"/>
  <c r="S154"/>
  <c r="U154"/>
  <c r="L154"/>
  <c r="S130"/>
  <c r="M130"/>
  <c r="L130"/>
  <c r="U130"/>
  <c r="L163"/>
  <c r="U163"/>
  <c r="U8"/>
  <c r="M8"/>
  <c r="S9"/>
  <c r="M9"/>
  <c r="U9"/>
  <c r="S65"/>
  <c r="L65"/>
  <c r="U65"/>
  <c r="M65"/>
  <c r="S45"/>
  <c r="M45"/>
  <c r="U45"/>
  <c r="S86"/>
  <c r="L86"/>
  <c r="M86"/>
  <c r="U86"/>
  <c r="S78"/>
  <c r="M78"/>
  <c r="U78"/>
  <c r="P16"/>
  <c r="N163"/>
  <c r="O163" s="1"/>
  <c r="S163"/>
  <c r="R163" s="1"/>
  <c r="P33"/>
  <c r="P86"/>
  <c r="P70"/>
  <c r="P111"/>
  <c r="P46"/>
  <c r="P6"/>
  <c r="P76"/>
  <c r="P102"/>
  <c r="P9"/>
  <c r="P68"/>
  <c r="P160"/>
  <c r="P74"/>
  <c r="P65"/>
  <c r="P24"/>
  <c r="U82"/>
  <c r="U106"/>
  <c r="U158"/>
  <c r="U34"/>
  <c r="U80"/>
  <c r="U83"/>
  <c r="U19"/>
  <c r="U141"/>
  <c r="U96"/>
  <c r="U88"/>
  <c r="U79"/>
  <c r="U72"/>
  <c r="U71"/>
  <c r="U67"/>
  <c r="U127"/>
  <c r="U98"/>
  <c r="U53"/>
  <c r="U17"/>
  <c r="U4"/>
  <c r="U103"/>
  <c r="P87"/>
  <c r="P132"/>
  <c r="P123"/>
  <c r="P120"/>
  <c r="P158"/>
  <c r="P156"/>
  <c r="P45"/>
  <c r="P14"/>
  <c r="P147"/>
  <c r="P62"/>
  <c r="P58"/>
  <c r="P8"/>
  <c r="P51"/>
  <c r="P12"/>
  <c r="P13"/>
  <c r="P44"/>
  <c r="P162"/>
  <c r="P10"/>
  <c r="P99"/>
  <c r="P73"/>
  <c r="P18"/>
  <c r="P154"/>
  <c r="P104"/>
  <c r="P53"/>
  <c r="P78"/>
  <c r="P146"/>
  <c r="P81"/>
  <c r="P148"/>
  <c r="P159"/>
  <c r="P157"/>
  <c r="P52"/>
  <c r="P61"/>
  <c r="P124"/>
  <c r="P20"/>
  <c r="P54"/>
  <c r="P136"/>
  <c r="P141"/>
  <c r="P49"/>
  <c r="P71"/>
  <c r="P47"/>
  <c r="P122"/>
  <c r="P153"/>
  <c r="P23"/>
  <c r="P27"/>
  <c r="P7"/>
  <c r="P140"/>
  <c r="P43"/>
  <c r="P113"/>
  <c r="P100"/>
  <c r="P129"/>
  <c r="P67"/>
  <c r="P34"/>
  <c r="P30"/>
  <c r="P25"/>
  <c r="P93"/>
  <c r="P142"/>
  <c r="P63"/>
  <c r="P85"/>
  <c r="P82"/>
  <c r="P35"/>
  <c r="P127"/>
  <c r="P48"/>
  <c r="P80"/>
  <c r="P31"/>
  <c r="P130"/>
  <c r="P139"/>
  <c r="U5"/>
  <c r="R127" l="1"/>
  <c r="R36"/>
  <c r="R142"/>
  <c r="R4"/>
  <c r="R54"/>
  <c r="R8"/>
  <c r="R97"/>
  <c r="R115"/>
  <c r="R17"/>
  <c r="R71"/>
  <c r="R63"/>
  <c r="R81"/>
  <c r="R131"/>
  <c r="R129"/>
  <c r="R34"/>
  <c r="R23"/>
  <c r="R72"/>
  <c r="R139"/>
  <c r="R29"/>
  <c r="R78"/>
  <c r="R86"/>
  <c r="R45"/>
  <c r="R65"/>
  <c r="R9"/>
  <c r="R130"/>
  <c r="R154"/>
  <c r="R122"/>
  <c r="R25"/>
  <c r="R85"/>
  <c r="R52"/>
  <c r="R20"/>
  <c r="R43"/>
  <c r="R6"/>
  <c r="R102"/>
  <c r="R61"/>
  <c r="R24"/>
  <c r="R147"/>
  <c r="R48"/>
  <c r="R49"/>
  <c r="R51"/>
  <c r="R27"/>
  <c r="R156"/>
  <c r="R18"/>
  <c r="R10"/>
  <c r="R76"/>
  <c r="R91"/>
  <c r="R47"/>
  <c r="R124"/>
  <c r="R33"/>
  <c r="R31"/>
  <c r="R59"/>
  <c r="R140"/>
  <c r="R74"/>
  <c r="R159"/>
  <c r="R16"/>
  <c r="R28"/>
  <c r="R148"/>
  <c r="R70"/>
  <c r="R113"/>
  <c r="R68"/>
  <c r="R111"/>
  <c r="R146"/>
  <c r="R160"/>
  <c r="R46"/>
  <c r="R44"/>
  <c r="P163"/>
  <c r="P5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" name="Conexão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" name="Conexão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+USIM5.SA&amp;f=nol1hgd1" htmlTables="1" htmlFormat="all"/>
  </connection>
  <connection id="4" name="Conexão100" type="4" refreshedVersion="3" background="1" saveData="1">
    <webPr xl2000="1" url="http://download.finance.yahoo.com/d/quotes.csv?s=PETR4.SA&amp;f=nol1hgd1" htmlFormat="all"/>
  </connection>
  <connection id="5" name="Conexão10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+USIM5.SA&amp;f=nol1hgd1" htmlTables="1" htmlFormat="all"/>
  </connection>
  <connection id="6" name="Conexão102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7" name="Conexão103" type="4" refreshedVersion="3" background="1" saveData="1">
    <webPr xl2000="1" url="http://download.finance.yahoo.com/d/quotes.csv?s=PREB32.SA&amp;f=nol1hgd1" htmlFormat="all"/>
  </connection>
  <connection id="8" name="Conexão104" type="4" refreshedVersion="3" background="1" saveData="1">
    <webPr xl2000="1" url="http://download.finance.yahoo.com/d/quotes.csv?s=PETR3.SA+PETR4.SA&amp;f=nol1hgd1" htmlFormat="all"/>
  </connection>
  <connection id="9" name="Conexão105" type="4" refreshedVersion="3" background="1" saveData="1">
    <webPr xl2000="1" url="http://download.finance.yahoo.com/d/quotes.csv?s=PETR3.SA+PETR4.SA+QGEP3.SA&amp;f=nol1hgd1" htmlFormat="all"/>
  </connection>
  <connection id="10" name="Conexão106" type="4" refreshedVersion="3" background="1" saveData="1">
    <webPr xl2000="1" url="http://download.finance.yahoo.com/d/quotes.csv?s=PETR3.SA+PETR4.SA+QGEP3.SA+SULA3.SA+SULA4.SA+SULA11.SA&amp;f=nol1hgd1" htmlFormat="all"/>
  </connection>
  <connection id="11" name="Conexão107" type="4" refreshedVersion="3" background="1" saveData="1">
    <webPr xl2000="1" url="http://download.finance.yahoo.com/d/quotes.csv?s=PETR3.SA+PETR4.SA+QGEP3.SA+SULA11.SA&amp;f=nol1hgd1" htmlFormat="all"/>
  </connection>
  <connection id="12" name="Conexão108" type="4" refreshedVersion="3" background="1" saveData="1">
    <webPr xl2000="1" url="http://download.finance.yahoo.com/d/quotes.csv?s=PETR3.SA+PETR4.SA+QGEP3.SA+SULA11.SA+CSAB3.SA+CSAB4.SA&amp;f=nol1hgd1" htmlFormat="all"/>
  </connection>
  <connection id="13" name="Conexão109" type="4" refreshedVersion="3" background="1" saveData="1">
    <webPr xl2000="1" url="http://download.finance.yahoo.com/d/quotes.csv?s=PETR3.SA+PETR4.SA+QGEP3.SA+SULA11.SA+CSAB3.SA+CSAB4.SA+BBSE3.SA&amp;f=nol1hgd1" htmlFormat="all"/>
  </connection>
  <connection id="14" name="Conexão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15" name="Conexão1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6" name="Conexão1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7" name="Conexão1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8" name="Conexão1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9" name="Conexão1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0" name="Conexão1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1" name="Conexão11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2" name="Conexão11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3" name="Conexão11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4" name="Conexão11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5" name="Conexão12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6" name="Conexão120" type="4" refreshedVersion="3" background="1" saveData="1">
    <webPr xl2000="1" url="http://download.finance.yahoo.com/d/quotes.csv?s=PETR3.SA+PETR4.SA+QGEP3.SA+SULA11.SA+CSAB3.SA+CSAB4.SA+BBSE3.SA+ODER3.SA+ODER4.SA&amp;f=nol1hgd1" htmlFormat="all"/>
  </connection>
  <connection id="27" name="Conexão121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8" name="Conexão122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9" name="Conexão123" type="4" refreshedVersion="3" background="1" saveData="1">
    <webPr xl2000="1" url="http://download.finance.yahoo.com/d/quotes.csv?s=PETR3.SA+PETR4.SA+QGEP3.SA+SULA11.SA+CSAB3.SA+CSAB4.SA+BBSE3.SA+JOPA3.SA+JOPA4.SA&amp;f=nol1hgd1" htmlFormat="all"/>
  </connection>
  <connection id="30" name="Conexão124" type="4" refreshedVersion="3" background="1" saveData="1">
    <webPr xl2000="1" url="http://download.finance.yahoo.com/d/quotes.csv?s=PETR3.SA+PETR4.SA+QGEP3.SA+SULA11.SA+CSAB3.SA+CSAB4.SA+BBSE3.SA+JOPA3.SA+JOPA4.SA+TERI3.SA&amp;f=nol1hgd1" htmlFormat="all"/>
  </connection>
  <connection id="31" name="Conexão125" type="4" refreshedVersion="3" background="1" saveData="1">
    <webPr xl2000="1" url="http://download.finance.yahoo.com/d/quotes.csv?s=PETR3.SA+PETR4.SA+QGEP3.SA+SULA11.SA+CSAB3.SA+CSAB4.SA+BBSE3.SA+JOPA3.SA+JOPA4.SA+TERI3.SA+ELEK3.SA+ELEK4.SA&amp;f=nol1hgd1" htmlFormat="all"/>
  </connection>
  <connection id="32" name="Conexão126" type="4" refreshedVersion="3" background="1" saveData="1">
    <webPr xl2000="1" url="http://download.finance.yahoo.com/d/quotes.csv?s=PETR3.SA+PETR4.SA+QGEP3.SA+SULA11.SA+CSAB3.SA+CSAB4.SA+BBSE3.SA+JOPA3.SA+JOPA4.SA+TERI3.SA+ELEK3.SA+ELEK4.SA+BRKM3.SA+BRKM5.SA+BRKM6.SA&amp;f=nol1hgd1" htmlFormat="all"/>
  </connection>
  <connection id="33" name="Conexão12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34" name="Conexão12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5" name="Conexão12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6" name="Conexão13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7" name="Conexão13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38" name="Conexão131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9" name="Conexão132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40" name="Conexão133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1" name="Conexão13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2" name="Conexão13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3" name="Conexão13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4" name="Conexão13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5" name="Conexão13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6" name="Conexão13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7" name="Conexão14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48" name="Conexão14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9" name="Conexão141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50" name="Conexão142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51" name="Conexão14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2" name="Conexão14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53" name="Conexão14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4" name="Conexão14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55" name="Conexão14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6" name="Conexão14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57" name="Conexão14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8" name="Conexão1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59" name="Conexão15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3.SA+PTPA4.SA&amp;f=nol1hgd1" htmlFormat="all"/>
  </connection>
  <connection id="60" name="Conexão1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61" name="Conexão1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62" name="Conexão15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PTPA4.SA&amp;f=nol1hgd1" htmlFormat="all"/>
  </connection>
  <connection id="63" name="Conexão15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&amp;f=nol1hgd1" htmlFormat="all"/>
  </connection>
  <connection id="64" name="Conexão15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&amp;f=nol1hgd1" htmlFormat="all"/>
  </connection>
  <connection id="65" name="Conexão15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&amp;f=nol1hgd1" htmlFormat="all"/>
  </connection>
  <connection id="66" name="Conexão15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&amp;f=nol1hgd1" htmlFormat="all"/>
  </connection>
  <connection id="67" name="Conexão15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&amp;f=nol1hgd1" htmlFormat="all"/>
  </connection>
  <connection id="68" name="Conexão15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&amp;f=nol1hgd1" htmlFormat="all"/>
  </connection>
  <connection id="69" name="Conexão1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70" name="Conexão16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&amp;f=nol1hgd1" htmlFormat="all"/>
  </connection>
  <connection id="71" name="Conexão1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72" name="Conexão1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73" name="Conexão16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&amp;f=nol1hgd1" htmlFormat="all"/>
  </connection>
  <connection id="74" name="Conexão16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75" name="Conexão16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76" name="Conexão16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77" name="Conexão16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Tables="1" htmlFormat="all"/>
  </connection>
  <connection id="78" name="Conexão16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79" name="Conexão16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80" name="Conexão1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81" name="Conexão17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82" name="Conexão1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83" name="Conexão1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84" name="Conexão17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85" name="Conexão17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86" name="Conexão17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87" name="Conexão17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&amp;f=nol1hgd1" htmlFormat="all"/>
  </connection>
  <connection id="88" name="Conexão17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&amp;f=nol1hgd1" htmlFormat="all"/>
  </connection>
  <connection id="89" name="Conexão17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&amp;f=nol1hgd1" htmlFormat="all"/>
  </connection>
  <connection id="90" name="Conexão17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&amp;f=nol1hgd1" htmlFormat="all"/>
  </connection>
  <connection id="91" name="Conexão1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92" name="Conexão180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&amp;f=nol1hgd1" htmlTables="1" htmlFormat="all"/>
  </connection>
  <connection id="93" name="Conexão1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94" name="Conexão1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95" name="Conexão18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&amp;f=nol1hgd1" htmlFormat="all"/>
  </connection>
  <connection id="96" name="Conexão18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&amp;f=nol1hgd1" htmlFormat="all"/>
  </connection>
  <connection id="97" name="Conexão18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MNZC3B.SA&amp;f=nol1hgd1" htmlFormat="all"/>
  </connection>
  <connection id="98" name="Conexão18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&amp;f=nol1hgd1" htmlFormat="all"/>
  </connection>
  <connection id="99" name="Conexão18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&amp;f=nol1hgd1" htmlTables="1" htmlFormat="all"/>
  </connection>
  <connection id="100" name="Conexão188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&amp;f=nol1hgd1" htmlTables="1" htmlFormat="all"/>
  </connection>
  <connection id="101" name="Conexão18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&amp;f=nol1hgd1" htmlFormat="all"/>
  </connection>
  <connection id="102" name="Conexão1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103" name="Conexão19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&amp;f=nol1hgd1" htmlFormat="all"/>
  </connection>
  <connection id="104" name="Conexão1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105" name="Conexão1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106" name="Conexão19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&amp;f=nol1hgd1" htmlFormat="all"/>
  </connection>
  <connection id="107" name="Conexão194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&amp;f=nol1hgd1" htmlTables="1" htmlFormat="all"/>
  </connection>
  <connection id="108" name="Conexão19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&amp;f=nol1hgd1" htmlFormat="all"/>
  </connection>
  <connection id="109" name="Conexão19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&amp;f=nol1hgd1" htmlFormat="all"/>
  </connection>
  <connection id="110" name="Conexão19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11" name="Conexão198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12" name="Conexão19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13" name="Conexão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14" name="Conexão2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115" name="Conexão20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16" name="Conexão20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117" name="Conexão20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118" name="Conexão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119" name="Conexão2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20" name="Conexão2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21" name="Conexão2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22" name="Conexão21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123" name="Conexão2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24" name="Conexão2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25" name="Conexão21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126" name="Conexão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127" name="Conexão2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128" name="Conexão2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129" name="Conexão2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130" name="Conexão2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131" name="Conexão2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132" name="Conexão2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133" name="Conexão24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134" name="Conexão24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135" name="Conexão2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136" name="Conexão2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137" name="Conexão2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138" name="Conexão2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139" name="Conexão2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140" name="Conexão2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141" name="Conexão2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142" name="Conexão2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143" name="Conexão2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144" name="Conexão2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145" name="Conexão2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146" name="Conexão2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147" name="Conexão2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148" name="Conexão2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149" name="Conexão2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150" name="Conexão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51" name="Conexão3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152" name="Conexão30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153" name="Conexão30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154" name="Conexão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155" name="Conexão3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56" name="Conexão3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57" name="Conexão31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158" name="Conexão3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59" name="Conexão31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160" name="Conexão3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61" name="Conexão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162" name="Conexão3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163" name="Conexão3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164" name="Conexão3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165" name="Conexão3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166" name="Conexão3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167" name="Conexão3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168" name="Conexão34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169" name="Conexão34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170" name="Conexão3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171" name="Conexão3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172" name="Conexão3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173" name="Conexão3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174" name="Conexão3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175" name="Conexão3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176" name="Conexão3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177" name="Conexão3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178" name="Conexão3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179" name="Conexão3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180" name="Conexão3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181" name="Conexão3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182" name="Conexão3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183" name="Conexão3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184" name="Conexão3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185" name="Conexão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86" name="Conexão40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187" name="Conexão40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188" name="Conexão40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189" name="Conexão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&amp;f=nol1hgd1" htmlFormat="all"/>
  </connection>
  <connection id="190" name="Conexão4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91" name="Conexão41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&amp;f=nol1hgd1" htmlFormat="all"/>
  </connection>
  <connection id="192" name="Conexão4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93" name="Conexão4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NEMO3.SA+NEMO5.SA+NEMO6.SA&amp;f=nol1hgd1" htmlFormat="all"/>
  </connection>
  <connection id="194" name="Conexão4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NEMO3.SA+NEMO5.SA+NEMO6.SA&amp;f=nol1hgd1" htmlFormat="all"/>
  </connection>
  <connection id="195" name="Conexão4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3.SA+SUZB5.SA+SUZB6.SA&amp;f=nol1hgd1" htmlFormat="all"/>
  </connection>
  <connection id="196" name="Conexão4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3.SA+SUZB5.SA+SUZB6.SA&amp;f=nol1hgd1" htmlFormat="all"/>
  </connection>
  <connection id="197" name="Conexão4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&amp;f=nol1hgd1" htmlFormat="all"/>
  </connection>
  <connection id="198" name="Conexão4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&amp;f=nol1hgd1" htmlFormat="all"/>
  </connection>
  <connection id="199" name="Conexão4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&amp;f=nol1hgd1" htmlFormat="all"/>
  </connection>
  <connection id="200" name="Conexão4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&amp;f=nol1hgd1" htmlFormat="all"/>
  </connection>
  <connection id="201" name="Conexão4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&amp;f=nol1hgd1" htmlFormat="all"/>
  </connection>
  <connection id="202" name="Conexão4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&amp;f=nol1hgd1" htmlFormat="all"/>
  </connection>
  <connection id="203" name="Conexão4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3.SA+ABCB4.SA&amp;f=nol1hgd1" htmlFormat="all"/>
  </connection>
  <connection id="204" name="Conexão4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3.SA+ABCB4.SA&amp;f=nol1hgd1" htmlFormat="all"/>
  </connection>
  <connection id="205" name="Conexão4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&amp;f=nol1hgd1" htmlFormat="all"/>
  </connection>
  <connection id="206" name="Conexão4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&amp;f=nol1hgd1" htmlFormat="all"/>
  </connection>
  <connection id="207" name="Conexão4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&amp;f=nol1hgd1" htmlFormat="all"/>
  </connection>
  <connection id="208" name="Conexão4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&amp;f=nol1hgd1" htmlFormat="all"/>
  </connection>
  <connection id="209" name="Conexão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10" name="Conexão5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&amp;f=nol1hgd1" htmlFormat="all"/>
  </connection>
  <connection id="211" name="Conexão5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&amp;f=nol1hgd1" htmlFormat="all"/>
  </connection>
  <connection id="212" name="Conexão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&amp;f=nol1hgd1" htmlFormat="all"/>
  </connection>
  <connection id="213" name="Conexão5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14" name="Conexão51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&amp;f=nol1hgd1" htmlFormat="all"/>
  </connection>
  <connection id="215" name="Conexão5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16" name="Conexão5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17" name="Conexão5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218" name="Conexão5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219" name="Conexão5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BPAC3.SA+BPAC5.SA&amp;f=nol1hgd1" htmlFormat="all"/>
  </connection>
  <connection id="220" name="Conexão5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BPAC3.SA+BPAC5.SA&amp;f=nol1hgd1" htmlFormat="all"/>
  </connection>
  <connection id="221" name="Conexão5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3.SA+DAYC4.SA&amp;f=nol1hgd1" htmlFormat="all"/>
  </connection>
  <connection id="222" name="Conexão5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3.SA+DAYC4.SA&amp;f=nol1hgd1" htmlFormat="all"/>
  </connection>
  <connection id="223" name="Conexão5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224" name="Conexão5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225" name="Conexão5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&amp;f=nol1hgd1" htmlFormat="all"/>
  </connection>
  <connection id="226" name="Conexão5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&amp;f=nol1hgd1" htmlFormat="all"/>
  </connection>
  <connection id="227" name="Conexão5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&amp;f=nol1hgd1" htmlFormat="all"/>
  </connection>
  <connection id="228" name="Conexão5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&amp;f=nol1hgd1" htmlFormat="all"/>
  </connection>
  <connection id="229" name="Conexão5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PAR3.SA&amp;f=nol1hgd1" htmlFormat="all"/>
  </connection>
  <connection id="230" name="Conexão5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PAR3.SA&amp;f=nol1hgd1" htmlFormat="all"/>
  </connection>
  <connection id="231" name="Conexão5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&amp;f=nol1hgd1" htmlFormat="all"/>
  </connection>
  <connection id="232" name="Conexão5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&amp;f=nol1hgd1" htmlFormat="all"/>
  </connection>
  <connection id="233" name="Conexão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34" name="Conexão6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&amp;f=nol1hgd1" htmlFormat="all"/>
  </connection>
  <connection id="235" name="Conexão6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&amp;f=nol1hgd1" htmlFormat="all"/>
  </connection>
  <connection id="236" name="Conexão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&amp;f=nol1hgd1" htmlFormat="all"/>
  </connection>
  <connection id="237" name="Conexão6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38" name="Conexão6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39" name="Conexão6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40" name="Conexão61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&amp;f=nol1hgd1" htmlFormat="all"/>
  </connection>
  <connection id="241" name="Conexão6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&amp;f=nol1hgd1" htmlFormat="all"/>
  </connection>
  <connection id="242" name="Conexão6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&amp;f=nol1hgd1" htmlFormat="all"/>
  </connection>
  <connection id="243" name="Conexão6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244" name="Conexão6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245" name="Conexão6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246" name="Conexão6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247" name="Conexão6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3.SA+PINE4.SA&amp;f=nol1hgd1" htmlFormat="all"/>
  </connection>
  <connection id="248" name="Conexão6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3.SA+PINE4.SA&amp;f=nol1hgd1" htmlFormat="all"/>
  </connection>
  <connection id="249" name="Conexão6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&amp;f=nol1hgd1" htmlFormat="all"/>
  </connection>
  <connection id="250" name="Conexão6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&amp;f=nol1hgd1" htmlFormat="all"/>
  </connection>
  <connection id="251" name="Conexão6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ANB3.SA+SANB4.SA+SANB11.SA&amp;f=nol1hgd1" htmlFormat="all"/>
  </connection>
  <connection id="252" name="Conexão6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ANB3.SA+SANB4.SA+SANB11.SA&amp;f=nol1hgd1" htmlFormat="all"/>
  </connection>
  <connection id="253" name="Conexão6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3.SA+SFSA4.SA&amp;f=nol1hgd1" htmlFormat="all"/>
  </connection>
  <connection id="254" name="Conexão6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3.SA+SFSA4.SA&amp;f=nol1hgd1" htmlFormat="all"/>
  </connection>
  <connection id="255" name="Conexão6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&amp;f=nol1hgd1" htmlFormat="all"/>
  </connection>
  <connection id="256" name="Conexão6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&amp;f=nol1hgd1" htmlFormat="all"/>
  </connection>
  <connection id="257" name="Conexão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58" name="Conexão7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&amp;f=nol1hgd1" htmlFormat="all"/>
  </connection>
  <connection id="259" name="Conexão7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&amp;f=nol1hgd1" htmlFormat="all"/>
  </connection>
  <connection id="260" name="Conexão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&amp;f=nol1hgd1" htmlFormat="all"/>
  </connection>
  <connection id="261" name="Conexão7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62" name="Conexão7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63" name="Conexão71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&amp;f=nol1hgd1" htmlFormat="all"/>
  </connection>
  <connection id="264" name="Conexão7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65" name="Conexão7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&amp;f=nol1hgd1" htmlFormat="all"/>
  </connection>
  <connection id="266" name="Conexão7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&amp;f=nol1hgd1" htmlFormat="all"/>
  </connection>
  <connection id="267" name="Conexão7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&amp;f=nol1hgd1" htmlFormat="all"/>
  </connection>
  <connection id="268" name="Conexão7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&amp;f=nol1hgd1" htmlFormat="all"/>
  </connection>
  <connection id="269" name="Conexão7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3.SA+PRBC4.SA&amp;f=nol1hgd1" htmlFormat="all"/>
  </connection>
  <connection id="270" name="Conexão7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3.SA+PRBC4.SA&amp;f=nol1hgd1" htmlFormat="all"/>
  </connection>
  <connection id="271" name="Conexão7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&amp;f=nol1hgd1" htmlFormat="all"/>
  </connection>
  <connection id="272" name="Conexão7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&amp;f=nol1hgd1" htmlFormat="all"/>
  </connection>
  <connection id="273" name="Conexão7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274" name="Conexão7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275" name="Conexão7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276" name="Conexão7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277" name="Conexão7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278" name="Conexão7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279" name="Conexão7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280" name="Conexão7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281" name="Conexão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82" name="Conexão8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83" name="Conexão80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84" name="Conexão8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85" name="Conexão8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86" name="Conexão8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87" name="Conexão812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88" name="Conexão8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89" name="Conexão8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90" name="Conexão82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91" name="Conexão82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92" name="Conexão83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93" name="Conexão83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94" name="Conexão8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95" name="Conexão84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96" name="Conexão8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3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97" name="Conexão85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3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98" name="Conexão8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99" name="Conexão86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00" name="Conexão8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01" name="Conexão87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02" name="Conexão8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03" name="Conexão8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04" name="Conexão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05" name="Conexão9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06" name="Conexão9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07" name="Conexão9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08" name="Conexão9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09" name="Conexão9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10" name="Conexão9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11" name="Conexão9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12" name="Conexão9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13" name="Conexão9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14" name="Conexão9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15" name="Connection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316" name="Connection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317" name="Connection10" type="4" refreshedVersion="0" background="1" saveData="1">
    <webPr url="http://download.finance.yahoo.com/d/quotes.csv?s=PETR3.SA+PETR4.SA+QGEP3.SA+SULA11.SA+CSAB3.SA+CSAB4.SA+BBSE3.SA+JOPA3.SA+JOPA4.SA+TERI3.SA+ELEK3.SA+ELEK4.SA+BRKM3.SA+BRKM5.SA+BRKM6.SA+CSAN3.SA+SMTO3.SA&amp;f=nol1hgd1" htmlTables="1" htmlFormat="all"/>
  </connection>
  <connection id="318" name="Connection1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319" name="Connection11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320" name="Connection1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321" name="Connection13" type="4" refreshedVersion="0" background="1" saveData="1">
    <webPr url="http://download.finance.yahoo.com/d/quotes.csv?s=PETR3.SA+PETR4.SA+QGEP3.SA+SULA11.SA+CSAB3.SA+CSAB4.SA+BBSE3.SA+JOPA3.SA+JOPA4.SA+TERI3.SA+ELEK3.SA+ELEK4.SA+BRKM3.SA+BRKM5.SA+BRKM6.SA+CSAN3.SA+SMTO3.SA+CIQU3.SA+CIQU4.SA&amp;f=nol1hgd1" htmlTables="1" htmlFormat="all"/>
  </connection>
  <connection id="322" name="Connection14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&amp;f=nol1hgd1" htmlFormat="all"/>
  </connection>
  <connection id="323" name="Connection15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BAUH3.SA+BAUH4.SA&amp;f=nol1hgd1" htmlFormat="all"/>
  </connection>
  <connection id="324" name="Connection16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BAUH4.SA&amp;f=nol1hgd1" htmlFormat="all"/>
  </connection>
  <connection id="325" name="Connection17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&amp;f=nol1hgd1" htmlFormat="all"/>
  </connection>
  <connection id="326" name="Connection18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&amp;f=nol1hgd1" htmlFormat="all"/>
  </connection>
  <connection id="327" name="Connection19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&amp;f=nol1hgd1" htmlFormat="all"/>
  </connection>
  <connection id="328" name="Connection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329" name="Connection20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JBDU3.SA+JBDU4.SA&amp;f=nol1hgd1" htmlFormat="all"/>
  </connection>
  <connection id="330" name="Connection2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331" name="Connection2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332" name="Connection23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&amp;f=nol1hgd1" htmlFormat="all"/>
  </connection>
  <connection id="333" name="Connection24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&amp;f=nol1hgd1" htmlFormat="all"/>
  </connection>
  <connection id="334" name="Connection25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&amp;f=nol1hgd1" htmlFormat="all"/>
  </connection>
  <connection id="335" name="Connection26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HBTS6.SA+HBTS3.SA&amp;f=nol1hgd1" htmlFormat="all"/>
  </connection>
  <connection id="336" name="Connection27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&amp;f=nol1hgd1" htmlFormat="all"/>
  </connection>
  <connection id="337" name="Connection28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&amp;f=nol1hgd1" htmlFormat="all"/>
  </connection>
  <connection id="338" name="Connection29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&amp;f=nol1hgd1" htmlFormat="all"/>
  </connection>
  <connection id="339" name="Connection3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340" name="Connection30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341" name="Connection3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342" name="Connection3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343" name="Connection4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344" name="Connection4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345" name="Connection4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346" name="Connection5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347" name="Connection5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348" name="Connection6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349" name="Connection7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350" name="Connection8" type="4" refreshedVersion="0" background="1" saveData="1">
    <webPr url="http://download.finance.yahoo.com/d/quotes.csv?s=PETR3.SA+PETR4.SA+QGEP3.SA+SULA11.SA+CSAB3.SA+CSAB4.SA+BBSE3.SA+JOPA3.SA+JOPA4.SA+TERI3.SA+ELEK3.SA+ELEK4.SA+BRKM3.SA+BRKM5.SA+BRKM6.SA+CZLT33.SA&amp;f=nol1hgd1" htmlTables="1" htmlFormat="all"/>
  </connection>
  <connection id="351" name="Connection9" type="4" refreshedVersion="0" background="1" saveData="1">
    <webPr url="http://download.finance.yahoo.com/d/quotes.csv?s=PETR3.SA+PETR4.SA+QGEP3.SA+SULA11.SA+CSAB3.SA+CSAB4.SA+BBSE3.SA+JOPA3.SA+JOPA4.SA+TERI3.SA+ELEK3.SA+ELEK4.SA+BRKM3.SA+BRKM5.SA+BRKM6.SA+CSAN3.SA&amp;f=nol1hgd1" htmlTables="1" htmlFormat="all"/>
  </connection>
</connections>
</file>

<file path=xl/sharedStrings.xml><?xml version="1.0" encoding="utf-8"?>
<sst xmlns="http://schemas.openxmlformats.org/spreadsheetml/2006/main" count="2133" uniqueCount="803">
  <si>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</si>
  <si>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</si>
  <si>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</si>
  <si>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</si>
  <si>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</si>
  <si>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</si>
  <si>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</si>
  <si>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</si>
  <si>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</si>
  <si>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</si>
  <si>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</si>
  <si>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</si>
  <si>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</si>
  <si>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</si>
  <si>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</si>
  <si>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</si>
  <si>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</si>
  <si>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</si>
  <si>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</si>
  <si>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</si>
  <si>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</si>
  <si>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</si>
  <si>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</si>
  <si>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</si>
  <si>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</si>
  <si>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</si>
  <si>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</si>
  <si>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</si>
  <si>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</si>
  <si>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</si>
  <si>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</si>
  <si>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</si>
  <si>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</si>
  <si>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</si>
  <si>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</si>
  <si>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</si>
  <si>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</si>
  <si>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</si>
  <si>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</si>
  <si>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</si>
  <si>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</si>
  <si>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</si>
  <si>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</si>
  <si>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</si>
  <si>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</si>
  <si>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</si>
  <si>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</si>
  <si>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</si>
  <si>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</si>
  <si>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</si>
  <si>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</si>
  <si>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</si>
  <si>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</si>
  <si>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</si>
  <si>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P Compra</t>
  </si>
  <si>
    <t>KLBN4</t>
  </si>
  <si>
    <t>LIGT3</t>
  </si>
  <si>
    <t>TAEE11</t>
  </si>
  <si>
    <t>SULA11</t>
  </si>
  <si>
    <t>Lucro Prev</t>
  </si>
  <si>
    <t>BEES3</t>
  </si>
  <si>
    <t>BEES4</t>
  </si>
  <si>
    <t>Lucro Med A.A</t>
  </si>
  <si>
    <t>BMIN4</t>
  </si>
  <si>
    <t>BAZA3</t>
  </si>
  <si>
    <t>Ref</t>
  </si>
  <si>
    <t>Lucro/Ação Ano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</si>
  <si>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</si>
  <si>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</si>
  <si>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</si>
  <si>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</si>
  <si>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</si>
  <si>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</si>
  <si>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</si>
  <si>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</si>
  <si>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</si>
  <si>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Payout</t>
  </si>
  <si>
    <t>UNIP5</t>
  </si>
  <si>
    <t>PINE4</t>
  </si>
  <si>
    <t>SFSA4</t>
  </si>
  <si>
    <t>RPAD5</t>
  </si>
  <si>
    <t>BRGE6</t>
  </si>
  <si>
    <t>TERI3</t>
  </si>
  <si>
    <t>FESA4</t>
  </si>
  <si>
    <t>% Compra</t>
  </si>
  <si>
    <t>ITUB4</t>
  </si>
  <si>
    <t>COCE5</t>
  </si>
  <si>
    <t>PRBC4</t>
  </si>
  <si>
    <t>Exercício</t>
  </si>
  <si>
    <t>Lucro/Ação</t>
  </si>
  <si>
    <t>Lucro por ação</t>
  </si>
  <si>
    <t>Dividendo / Ação</t>
  </si>
  <si>
    <t>ENGI11</t>
  </si>
  <si>
    <t>Yield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</si>
  <si>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</si>
  <si>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</si>
  <si>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</si>
  <si>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</si>
  <si>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</si>
  <si>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</si>
  <si>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</si>
  <si>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</si>
  <si>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</si>
  <si>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</si>
  <si>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</si>
  <si>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</si>
  <si>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</si>
  <si>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</si>
  <si>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</si>
  <si>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</si>
  <si>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</si>
  <si>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</si>
  <si>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AMAZONIA    -ON</t>
  </si>
  <si>
    <t>0.32</t>
  </si>
  <si>
    <t xml:space="preserve">BRASIL      -ON  </t>
  </si>
  <si>
    <t>0.46</t>
  </si>
  <si>
    <t>9.00</t>
  </si>
  <si>
    <t xml:space="preserve">BICBANCO    -PN  </t>
  </si>
  <si>
    <t>MERC INVEST -PN</t>
  </si>
  <si>
    <t>0.26</t>
  </si>
  <si>
    <t>ALFA CONSORC-PNB</t>
  </si>
  <si>
    <t>5.96</t>
  </si>
  <si>
    <t xml:space="preserve">BANRISUL    -PNB </t>
  </si>
  <si>
    <t>CEB         -ON</t>
  </si>
  <si>
    <t>CEB         -PNA</t>
  </si>
  <si>
    <t>CEB         -PNB</t>
  </si>
  <si>
    <t>17.08</t>
  </si>
  <si>
    <t>32.01</t>
  </si>
  <si>
    <t>CELPE       -PNA</t>
  </si>
  <si>
    <t>17.56</t>
  </si>
  <si>
    <t>18.00</t>
  </si>
  <si>
    <t>CELPE       -PNB</t>
  </si>
  <si>
    <t>21.51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</si>
  <si>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</si>
  <si>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</si>
  <si>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</si>
  <si>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</si>
  <si>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</si>
  <si>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</si>
  <si>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</si>
  <si>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</si>
  <si>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</si>
  <si>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</si>
  <si>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</si>
  <si>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</si>
  <si>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</si>
  <si>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10.12</t>
  </si>
  <si>
    <t xml:space="preserve">DAYCOVAL    -PN  </t>
  </si>
  <si>
    <t xml:space="preserve">CEEE-GT     -ON  </t>
  </si>
  <si>
    <t xml:space="preserve">CEEE-GT     -PN  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</si>
  <si>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</si>
  <si>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</si>
  <si>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</si>
  <si>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</si>
  <si>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</si>
  <si>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>ENERGISA    -UNT</t>
  </si>
  <si>
    <t>ENERGISA    -PN</t>
  </si>
  <si>
    <t xml:space="preserve">CEMAR       -ON  </t>
  </si>
  <si>
    <t xml:space="preserve">EQUATORIAL  -ON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</si>
  <si>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</si>
  <si>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</si>
  <si>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</si>
  <si>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</si>
  <si>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</si>
  <si>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</si>
  <si>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</si>
  <si>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</si>
  <si>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</si>
  <si>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>ALFA HOLDING-PNA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</si>
  <si>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</si>
  <si>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</si>
  <si>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</si>
  <si>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</si>
  <si>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</si>
  <si>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</si>
  <si>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TRPL3</t>
  </si>
  <si>
    <t>TRPL4</t>
  </si>
  <si>
    <t>1.10</t>
  </si>
  <si>
    <t>4.12</t>
  </si>
  <si>
    <t>3.82</t>
  </si>
  <si>
    <t xml:space="preserve">TRAN PAULIST-ON  </t>
  </si>
  <si>
    <t xml:space="preserve">TRAN PAULIST-PN  </t>
  </si>
  <si>
    <t>5.70</t>
  </si>
  <si>
    <t>GEPA3</t>
  </si>
  <si>
    <t>62.04</t>
  </si>
  <si>
    <t>LIPR3</t>
  </si>
  <si>
    <t>ELETROPAR   -ON</t>
  </si>
  <si>
    <t>49.45</t>
  </si>
  <si>
    <t>ELPL3</t>
  </si>
  <si>
    <t xml:space="preserve">ELETROPAULO -ON  </t>
  </si>
  <si>
    <t>EMAE4</t>
  </si>
  <si>
    <t>EMAE        -PN</t>
  </si>
  <si>
    <t>ENGI3</t>
  </si>
  <si>
    <t>ENERGISA    -ON</t>
  </si>
  <si>
    <t>3.15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</si>
  <si>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</si>
  <si>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</si>
  <si>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</si>
  <si>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</si>
  <si>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</si>
  <si>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</si>
  <si>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</si>
  <si>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</si>
  <si>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</si>
  <si>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</si>
  <si>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</si>
  <si>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8.19</t>
  </si>
  <si>
    <t>RANI3</t>
  </si>
  <si>
    <t>RANI4</t>
  </si>
  <si>
    <t>CELUL IRANI -ON</t>
  </si>
  <si>
    <t>CELUL IRANI -PN</t>
  </si>
  <si>
    <t>KLBN3</t>
  </si>
  <si>
    <t xml:space="preserve">KLABIN S/A  -ON  </t>
  </si>
  <si>
    <t>SUZB6</t>
  </si>
  <si>
    <t>4.00</t>
  </si>
  <si>
    <t xml:space="preserve">SUZANO PAPEL-PNB </t>
  </si>
  <si>
    <t>RPAD3</t>
  </si>
  <si>
    <t>RPAD6</t>
  </si>
  <si>
    <t>ALFA HOLDING-ON</t>
  </si>
  <si>
    <t>3.08</t>
  </si>
  <si>
    <t>ALFA HOLDING-PNB</t>
  </si>
  <si>
    <t>BRIV3</t>
  </si>
  <si>
    <t>BRIV4</t>
  </si>
  <si>
    <t>ALFA INVEST -ON</t>
  </si>
  <si>
    <t>ALFA INVEST -PN</t>
  </si>
  <si>
    <t>BBDC3</t>
  </si>
  <si>
    <t>BBDC4</t>
  </si>
  <si>
    <t xml:space="preserve">BRADESCO    -ON  </t>
  </si>
  <si>
    <t xml:space="preserve">BRADESCO    -PN  </t>
  </si>
  <si>
    <t>28.74</t>
  </si>
  <si>
    <t>BGIP3</t>
  </si>
  <si>
    <t>BGIP4</t>
  </si>
  <si>
    <t>BRSR3</t>
  </si>
  <si>
    <t>BRSR5</t>
  </si>
  <si>
    <t xml:space="preserve">BANRISUL    -ON  </t>
  </si>
  <si>
    <t xml:space="preserve">BANRISUL    -PNA </t>
  </si>
  <si>
    <t>15.72</t>
  </si>
  <si>
    <t>BICB3</t>
  </si>
  <si>
    <t xml:space="preserve">BICBANCO    -ON  </t>
  </si>
  <si>
    <t>9.69</t>
  </si>
  <si>
    <t>9.65</t>
  </si>
  <si>
    <t>BMIN3</t>
  </si>
  <si>
    <t>MERC INVEST -ON</t>
  </si>
  <si>
    <t>BNBR3</t>
  </si>
  <si>
    <t>BNBR4</t>
  </si>
  <si>
    <t>NORD BRASIL -ON</t>
  </si>
  <si>
    <t>NORD BRASIL -PN</t>
  </si>
  <si>
    <t>BSLI3</t>
  </si>
  <si>
    <t>BSLI4</t>
  </si>
  <si>
    <t>BRB BANCO   -ON</t>
  </si>
  <si>
    <t>29.02</t>
  </si>
  <si>
    <t>BRB BANCO   -PN</t>
  </si>
  <si>
    <t>29.99</t>
  </si>
  <si>
    <t>BRGE3</t>
  </si>
  <si>
    <t>BRGE5</t>
  </si>
  <si>
    <t>BRGE7</t>
  </si>
  <si>
    <t>BRGE8</t>
  </si>
  <si>
    <t>BRGE11</t>
  </si>
  <si>
    <t>BRGE12</t>
  </si>
  <si>
    <t>ALFA CONSORC-ON</t>
  </si>
  <si>
    <t>4.20</t>
  </si>
  <si>
    <t>ALFA CONSORC-PNA</t>
  </si>
  <si>
    <t>3.27</t>
  </si>
  <si>
    <t>ALFA CONSORC-PNC</t>
  </si>
  <si>
    <t>3.60</t>
  </si>
  <si>
    <t>ALFA CONSORC-PND</t>
  </si>
  <si>
    <t>ALFA CONSORC-PNE</t>
  </si>
  <si>
    <t>ALFA CONSORC-PNF</t>
  </si>
  <si>
    <t>ITUB3</t>
  </si>
  <si>
    <t xml:space="preserve">ITAUUNIBANCO-ON  </t>
  </si>
  <si>
    <t>ITSA3</t>
  </si>
  <si>
    <t xml:space="preserve">ITAUSA      -ON  </t>
  </si>
  <si>
    <t>PSSA3</t>
  </si>
  <si>
    <t xml:space="preserve">PORTO SEGURO-ON  </t>
  </si>
  <si>
    <t>58.00</t>
  </si>
  <si>
    <t>61.99</t>
  </si>
  <si>
    <t>19.00</t>
  </si>
  <si>
    <t>FESA3</t>
  </si>
  <si>
    <t xml:space="preserve">FERBASA     -PN  </t>
  </si>
  <si>
    <t xml:space="preserve">FERBASA     -ON  </t>
  </si>
  <si>
    <t>Materiais Básicos / Siderurgia e Metalurgia / Siderurgia</t>
  </si>
  <si>
    <t>10% Rent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</si>
  <si>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</t>
  </si>
  <si>
    <t>2.83</t>
  </si>
  <si>
    <t>5.50</t>
  </si>
  <si>
    <t>7.40</t>
  </si>
  <si>
    <t>25.00</t>
  </si>
  <si>
    <t>12.50</t>
  </si>
  <si>
    <t>5.69</t>
  </si>
  <si>
    <t>25.02</t>
  </si>
  <si>
    <t>1.70</t>
  </si>
  <si>
    <t>5.75</t>
  </si>
  <si>
    <t>6.89</t>
  </si>
  <si>
    <t>2.65</t>
  </si>
  <si>
    <t>PETROBRAS   -PN</t>
  </si>
  <si>
    <t>Cotação 1</t>
  </si>
  <si>
    <t>Cotação 2</t>
  </si>
  <si>
    <t>PETROBRAS   -ON</t>
  </si>
  <si>
    <t>Petróleo. Gás e Biocombustíveis / Petróleo. Gás e Biocombustíveis / Exploração e/ou Refino</t>
  </si>
  <si>
    <t>QGEP3</t>
  </si>
  <si>
    <t xml:space="preserve">QGEP PART   -ON  </t>
  </si>
  <si>
    <t xml:space="preserve">SUL AMERICA -UNT </t>
  </si>
  <si>
    <t>CSAB3</t>
  </si>
  <si>
    <t>CSAB4</t>
  </si>
  <si>
    <t>SEG AL BAHIA-ON</t>
  </si>
  <si>
    <t>30.01</t>
  </si>
  <si>
    <t>SEG AL BAHIA-PN</t>
  </si>
  <si>
    <t>30.05</t>
  </si>
  <si>
    <t xml:space="preserve">BBSEGURIDADE-ON  </t>
  </si>
  <si>
    <t>JOPA3</t>
  </si>
  <si>
    <t>JOPA4</t>
  </si>
  <si>
    <t>JOSAPAR     -ON</t>
  </si>
  <si>
    <t>17.00</t>
  </si>
  <si>
    <t>JOSAPAR     -PN</t>
  </si>
  <si>
    <t>22.00</t>
  </si>
  <si>
    <t xml:space="preserve">TEREOS      -ON  </t>
  </si>
  <si>
    <t>Consumo não Cíclico / Alimentos Processados / Alimentos Diversos</t>
  </si>
  <si>
    <t>ELEK3</t>
  </si>
  <si>
    <t>ELEK4</t>
  </si>
  <si>
    <t xml:space="preserve">ELEKEIROZ   -ON  </t>
  </si>
  <si>
    <t>10.00</t>
  </si>
  <si>
    <t xml:space="preserve">ELEKEIROZ   -PN  </t>
  </si>
  <si>
    <t>10.50</t>
  </si>
  <si>
    <t>10.91</t>
  </si>
  <si>
    <t>BRKM3</t>
  </si>
  <si>
    <t>BRKM5</t>
  </si>
  <si>
    <t>BRKM6</t>
  </si>
  <si>
    <t xml:space="preserve">BRASKEM     -ON  </t>
  </si>
  <si>
    <t xml:space="preserve">BRASKEM     -PNA </t>
  </si>
  <si>
    <t xml:space="preserve">BRASKEM     -PNB </t>
  </si>
  <si>
    <t>10.10</t>
  </si>
  <si>
    <t>Consumo não Cíclico / Alimentos Processados / Açucar e Alcool</t>
  </si>
  <si>
    <t>CSAN3</t>
  </si>
  <si>
    <t xml:space="preserve">COSAN       -ON  </t>
  </si>
  <si>
    <t>SMTO3</t>
  </si>
  <si>
    <t xml:space="preserve">SAO MARTINHO-ON  </t>
  </si>
  <si>
    <t>CIQU3</t>
  </si>
  <si>
    <t>CIQU4</t>
  </si>
  <si>
    <t>7.08</t>
  </si>
  <si>
    <t>15.09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</si>
  <si>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</si>
  <si>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</si>
  <si>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</si>
  <si>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</si>
  <si>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JBSS3</t>
  </si>
  <si>
    <t xml:space="preserve">JBS         -ON  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</si>
  <si>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</si>
  <si>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</si>
  <si>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</si>
  <si>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</si>
  <si>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</si>
  <si>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</si>
  <si>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OIBR3</t>
  </si>
  <si>
    <t>OIBR4</t>
  </si>
  <si>
    <t xml:space="preserve">OI          -ON  </t>
  </si>
  <si>
    <t xml:space="preserve">OI          -PN  </t>
  </si>
  <si>
    <t>Telecomunicações / Telefonia Fixa / Telefonia Fixa</t>
  </si>
  <si>
    <t>VIVT3</t>
  </si>
  <si>
    <t>VIVT4</t>
  </si>
  <si>
    <t>BRAP3</t>
  </si>
  <si>
    <t>BRAP4</t>
  </si>
  <si>
    <t>Financeiro e Outros / Holdings Diversificadas / Holdings Diversificadas</t>
  </si>
  <si>
    <t xml:space="preserve">BRADESPAR   -ON  </t>
  </si>
  <si>
    <t xml:space="preserve">BRADESPAR   -PN  </t>
  </si>
  <si>
    <t>Cotação Atual</t>
  </si>
  <si>
    <t>Média Payout</t>
  </si>
  <si>
    <t>% Yield</t>
  </si>
  <si>
    <t>Média Dividendo</t>
  </si>
  <si>
    <t>HBTS5</t>
  </si>
  <si>
    <t>HABITASUL   -PNA</t>
  </si>
  <si>
    <t>14.99</t>
  </si>
  <si>
    <t>15.80</t>
  </si>
  <si>
    <t>MOAR3</t>
  </si>
  <si>
    <t xml:space="preserve">MONT ARANHA -ON  </t>
  </si>
  <si>
    <t>159.00</t>
  </si>
  <si>
    <t>158.99</t>
  </si>
  <si>
    <t>UGPA3</t>
  </si>
  <si>
    <t xml:space="preserve">ULTRAPAR    -ON  </t>
  </si>
  <si>
    <t>BAHI3</t>
  </si>
  <si>
    <t>BAHEMA      -ON</t>
  </si>
  <si>
    <t>Data Liquidação</t>
  </si>
  <si>
    <t>Taxas</t>
  </si>
  <si>
    <t>Resgates</t>
  </si>
  <si>
    <t>Aplicação</t>
  </si>
  <si>
    <t>Rendimento</t>
  </si>
  <si>
    <t>Total</t>
  </si>
  <si>
    <t>Consumo Cíclico / Diversos / Aluguel de carros</t>
  </si>
  <si>
    <t>LCAM3</t>
  </si>
  <si>
    <t xml:space="preserve">LOCAMERICA  -ON  </t>
  </si>
  <si>
    <t xml:space="preserve">BANESE      -ON  </t>
  </si>
  <si>
    <t xml:space="preserve">BANESE      -PN  </t>
  </si>
  <si>
    <t>0.49</t>
  </si>
  <si>
    <t>48.50</t>
  </si>
  <si>
    <t>3.80</t>
  </si>
  <si>
    <t>12.58</t>
  </si>
  <si>
    <t>1.59</t>
  </si>
  <si>
    <t>0.13</t>
  </si>
  <si>
    <t>3.24</t>
  </si>
  <si>
    <t>6.70</t>
  </si>
  <si>
    <t>5.08</t>
  </si>
  <si>
    <t>5.00</t>
  </si>
  <si>
    <t>6.61</t>
  </si>
  <si>
    <t>21.00</t>
  </si>
  <si>
    <t>8.50</t>
  </si>
  <si>
    <t>5.95</t>
  </si>
  <si>
    <t>6.80</t>
  </si>
  <si>
    <t>2.63</t>
  </si>
  <si>
    <t>18.15</t>
  </si>
  <si>
    <t>0.63</t>
  </si>
  <si>
    <t>5.18</t>
  </si>
  <si>
    <t>7.00</t>
  </si>
  <si>
    <t>9.20</t>
  </si>
  <si>
    <t>24.02</t>
  </si>
  <si>
    <t>19.50</t>
  </si>
  <si>
    <t>22.88</t>
  </si>
  <si>
    <t>17.76</t>
  </si>
  <si>
    <t>11.98</t>
  </si>
  <si>
    <t>12.10</t>
  </si>
  <si>
    <t>8.87</t>
  </si>
  <si>
    <t>8.77</t>
  </si>
  <si>
    <t>29.38</t>
  </si>
  <si>
    <t>11.91</t>
  </si>
  <si>
    <t>21.59</t>
  </si>
  <si>
    <t>0.52</t>
  </si>
  <si>
    <t>20.58</t>
  </si>
  <si>
    <t>8.51</t>
  </si>
  <si>
    <t>12.02</t>
  </si>
  <si>
    <t>8.40</t>
  </si>
  <si>
    <t>28.50</t>
  </si>
  <si>
    <t>12.72</t>
  </si>
  <si>
    <t>44.50</t>
  </si>
  <si>
    <t>18.68</t>
  </si>
  <si>
    <t>7.71</t>
  </si>
  <si>
    <t>8.74</t>
  </si>
  <si>
    <t>0.53</t>
  </si>
  <si>
    <t>2.38</t>
  </si>
  <si>
    <t>2.46</t>
  </si>
  <si>
    <t>3.90</t>
  </si>
  <si>
    <t>3.91</t>
  </si>
  <si>
    <t>3.87</t>
  </si>
  <si>
    <t>46.00</t>
  </si>
  <si>
    <t>6.87</t>
  </si>
  <si>
    <t>9.25</t>
  </si>
  <si>
    <t>24.05</t>
  </si>
  <si>
    <t>16.51</t>
  </si>
  <si>
    <t>32.00</t>
  </si>
  <si>
    <t>22.90</t>
  </si>
  <si>
    <t>23.25</t>
  </si>
  <si>
    <t>23.50</t>
  </si>
  <si>
    <t>11.37</t>
  </si>
  <si>
    <t>14.01</t>
  </si>
  <si>
    <t>22.20</t>
  </si>
  <si>
    <t>16.30</t>
  </si>
  <si>
    <t>28.13</t>
  </si>
  <si>
    <t>3.92</t>
  </si>
  <si>
    <t>PTPA4</t>
  </si>
  <si>
    <t xml:space="preserve">EVORA       -PN  </t>
  </si>
  <si>
    <t>56.60</t>
  </si>
  <si>
    <t>Materiais Básicos / Embalagens / Embalagens</t>
  </si>
  <si>
    <t>Rótulos de Linha</t>
  </si>
  <si>
    <t>Total geral</t>
  </si>
  <si>
    <t>DTEX3</t>
  </si>
  <si>
    <t>Materiais Básicos / Madeira e Papel / Madeira</t>
  </si>
  <si>
    <t>3.97</t>
  </si>
  <si>
    <t>23.70</t>
  </si>
  <si>
    <t xml:space="preserve">DURATEX     -ON  </t>
  </si>
  <si>
    <t>EUCA4</t>
  </si>
  <si>
    <t xml:space="preserve">EUCATEX     -PN  </t>
  </si>
  <si>
    <t>Materiais Básicos / Materiais Diversos / Materiais Diversos</t>
  </si>
  <si>
    <t>PRVI3</t>
  </si>
  <si>
    <t>23.49</t>
  </si>
  <si>
    <t xml:space="preserve">PROVIDENCIA -ON  </t>
  </si>
  <si>
    <t>7.80</t>
  </si>
  <si>
    <t>MAGG3</t>
  </si>
  <si>
    <t>48.12</t>
  </si>
  <si>
    <t xml:space="preserve">MAGNESITA SA-ON  </t>
  </si>
  <si>
    <t>5.85</t>
  </si>
  <si>
    <t>5.90</t>
  </si>
  <si>
    <t>Materiais Básicos / Mineração / Minerais Metálicos</t>
  </si>
  <si>
    <t>VALE5</t>
  </si>
  <si>
    <t>16.47</t>
  </si>
  <si>
    <t xml:space="preserve">VALE        -PNA </t>
  </si>
  <si>
    <t>NUTR3M</t>
  </si>
  <si>
    <t xml:space="preserve">NUTRIPLANT  -ON  </t>
  </si>
  <si>
    <t>PATI4</t>
  </si>
  <si>
    <t>Materiais Básicos / Siderurgia e Metalurgia / Artefatos de Ferro e Aço</t>
  </si>
  <si>
    <t>23.65</t>
  </si>
  <si>
    <t>16.25</t>
  </si>
  <si>
    <t>31.40</t>
  </si>
  <si>
    <t>PANATLANTICA-PN</t>
  </si>
  <si>
    <t>18.75</t>
  </si>
  <si>
    <t>TKNO4</t>
  </si>
  <si>
    <t>TEKNO       -PN</t>
  </si>
  <si>
    <t>88.00</t>
  </si>
  <si>
    <t>ETER3</t>
  </si>
  <si>
    <t>Construção e Transporte / Construção e Engenharia / Materiais de Construção</t>
  </si>
  <si>
    <t>4.03</t>
  </si>
  <si>
    <t>3.99</t>
  </si>
  <si>
    <t xml:space="preserve">ETERNIT     -ON  </t>
  </si>
  <si>
    <t>8.65</t>
  </si>
  <si>
    <t>0.48</t>
  </si>
  <si>
    <t>19.99</t>
  </si>
  <si>
    <t>9.50</t>
  </si>
  <si>
    <t>2.40</t>
  </si>
  <si>
    <t>0.12</t>
  </si>
  <si>
    <t>12.08</t>
  </si>
  <si>
    <t>49.60</t>
  </si>
  <si>
    <t>29.00</t>
  </si>
  <si>
    <t>15.49</t>
  </si>
  <si>
    <t>14.58</t>
  </si>
  <si>
    <t>15.39</t>
  </si>
  <si>
    <t>15.18</t>
  </si>
  <si>
    <t>16.45</t>
  </si>
  <si>
    <t>16.16</t>
  </si>
  <si>
    <t>9.70</t>
  </si>
  <si>
    <t>9.76</t>
  </si>
  <si>
    <t>14.85</t>
  </si>
  <si>
    <t>23.55</t>
  </si>
  <si>
    <t>2.32</t>
  </si>
  <si>
    <t>20.46</t>
  </si>
  <si>
    <t>20.18</t>
  </si>
  <si>
    <t>38.15</t>
  </si>
  <si>
    <t>38.23</t>
  </si>
  <si>
    <t xml:space="preserve">CACIQUE     -ON  </t>
  </si>
  <si>
    <t xml:space="preserve">CACIQUE     -PN  </t>
  </si>
  <si>
    <t>47.20</t>
  </si>
  <si>
    <t>8.38</t>
  </si>
  <si>
    <t>8.17</t>
  </si>
  <si>
    <t>8.52</t>
  </si>
  <si>
    <t>13.06</t>
  </si>
  <si>
    <t>12.91</t>
  </si>
  <si>
    <t>4.32</t>
  </si>
  <si>
    <t>4.08</t>
  </si>
  <si>
    <t xml:space="preserve">TELEF BRASIL-ON  </t>
  </si>
  <si>
    <t>41.04</t>
  </si>
  <si>
    <t xml:space="preserve">TELEF BRASIL-PN  </t>
  </si>
  <si>
    <t>45.55</t>
  </si>
  <si>
    <t>44.53</t>
  </si>
  <si>
    <t>23.80</t>
  </si>
  <si>
    <t>23.82</t>
  </si>
  <si>
    <t>23.45</t>
  </si>
  <si>
    <t>53.83</t>
  </si>
  <si>
    <t>53.99</t>
  </si>
  <si>
    <t>12.79</t>
  </si>
  <si>
    <t>31.42</t>
  </si>
  <si>
    <t>31.00</t>
  </si>
  <si>
    <t>8.62</t>
  </si>
  <si>
    <t>8.60</t>
  </si>
  <si>
    <t>12.12</t>
  </si>
  <si>
    <t>30.80</t>
  </si>
  <si>
    <t>30.79</t>
  </si>
  <si>
    <t>28.34</t>
  </si>
  <si>
    <t xml:space="preserve">BANESTES    -ON  </t>
  </si>
  <si>
    <t xml:space="preserve">BANESTES    -PN  </t>
  </si>
  <si>
    <t>47.66</t>
  </si>
  <si>
    <t>7.43</t>
  </si>
  <si>
    <t>12.78</t>
  </si>
  <si>
    <t xml:space="preserve">COELBA      -ON  </t>
  </si>
  <si>
    <t xml:space="preserve">COELBA      -PNA </t>
  </si>
  <si>
    <t>16.71</t>
  </si>
  <si>
    <t>14.54</t>
  </si>
  <si>
    <t>14.19</t>
  </si>
  <si>
    <t>42.72</t>
  </si>
  <si>
    <t>41.34</t>
  </si>
  <si>
    <t>18.30</t>
  </si>
  <si>
    <t>18.54</t>
  </si>
  <si>
    <t>22.47</t>
  </si>
  <si>
    <t>30.54</t>
  </si>
  <si>
    <t>31.15</t>
  </si>
  <si>
    <t>35.68</t>
  </si>
  <si>
    <t>36.79</t>
  </si>
  <si>
    <t xml:space="preserve">COSERN      -ON  </t>
  </si>
  <si>
    <t xml:space="preserve">COSERN      -PNA </t>
  </si>
  <si>
    <t xml:space="preserve">COSERN      -PNB </t>
  </si>
  <si>
    <t>8.31</t>
  </si>
  <si>
    <t>7.90</t>
  </si>
  <si>
    <t>5.80</t>
  </si>
  <si>
    <t>9.85</t>
  </si>
  <si>
    <t>9.10</t>
  </si>
  <si>
    <t>8.95</t>
  </si>
  <si>
    <t>11.44</t>
  </si>
  <si>
    <t>11.46</t>
  </si>
  <si>
    <t>14.88</t>
  </si>
  <si>
    <t>14.90</t>
  </si>
  <si>
    <t>22.80</t>
  </si>
  <si>
    <t>22.84</t>
  </si>
  <si>
    <t>13.10</t>
  </si>
  <si>
    <t>GER PARANAP -ON</t>
  </si>
  <si>
    <t>GER PARANAP -PN</t>
  </si>
  <si>
    <t>17.86</t>
  </si>
  <si>
    <t>19.20</t>
  </si>
  <si>
    <t>0.15</t>
  </si>
  <si>
    <t>12.00</t>
  </si>
  <si>
    <t>29.18</t>
  </si>
  <si>
    <t>31.38</t>
  </si>
  <si>
    <t>31.34</t>
  </si>
  <si>
    <t>11.80</t>
  </si>
  <si>
    <t>22.28</t>
  </si>
  <si>
    <t>22.04</t>
  </si>
  <si>
    <t>10.08</t>
  </si>
  <si>
    <t>10.20</t>
  </si>
  <si>
    <t>10.25</t>
  </si>
  <si>
    <t>11.35</t>
  </si>
  <si>
    <t>29.57</t>
  </si>
  <si>
    <t>3.20</t>
  </si>
  <si>
    <t xml:space="preserve">SANEPAR     -ON  </t>
  </si>
  <si>
    <t xml:space="preserve">SANEPAR     -PN  </t>
  </si>
  <si>
    <t>6.71</t>
  </si>
  <si>
    <t>25.75</t>
  </si>
  <si>
    <t>25.93</t>
  </si>
  <si>
    <t>9.41</t>
  </si>
  <si>
    <t>9.42</t>
  </si>
  <si>
    <t>18.40</t>
  </si>
  <si>
    <t>18.26</t>
  </si>
  <si>
    <t>36.52</t>
  </si>
  <si>
    <t>36.96</t>
  </si>
  <si>
    <t>26.87</t>
  </si>
  <si>
    <t>0.68</t>
  </si>
  <si>
    <t>0.51</t>
  </si>
  <si>
    <t>13.94</t>
  </si>
  <si>
    <t>45.79</t>
  </si>
  <si>
    <t>18.22</t>
  </si>
  <si>
    <t>21.96</t>
  </si>
  <si>
    <t>11.81</t>
  </si>
  <si>
    <t>31.69</t>
  </si>
  <si>
    <t>11.68</t>
  </si>
  <si>
    <t>6.64</t>
  </si>
  <si>
    <t>27.33</t>
  </si>
  <si>
    <t>0.67</t>
  </si>
  <si>
    <t>20.40</t>
  </si>
  <si>
    <t>48.03</t>
  </si>
  <si>
    <t>39.49</t>
  </si>
  <si>
    <t>19.69</t>
  </si>
  <si>
    <t>19.51</t>
  </si>
  <si>
    <t>6.67</t>
  </si>
  <si>
    <t>6.56</t>
  </si>
  <si>
    <t>28.71</t>
  </si>
  <si>
    <t>14.28</t>
  </si>
  <si>
    <t>14.24</t>
  </si>
  <si>
    <t>18.10</t>
  </si>
  <si>
    <t>30.04</t>
  </si>
  <si>
    <t>35.65</t>
  </si>
  <si>
    <t>8.00</t>
  </si>
  <si>
    <t>11.14</t>
  </si>
  <si>
    <t>19.45</t>
  </si>
  <si>
    <t>31.64</t>
  </si>
  <si>
    <t>6.97</t>
  </si>
  <si>
    <t>16.29</t>
  </si>
  <si>
    <t>27.84</t>
  </si>
  <si>
    <t>4.05</t>
  </si>
  <si>
    <t>40.20</t>
  </si>
  <si>
    <t>Financeiro e Outros / Exploração de Imóveis / Exploração de Imóveis</t>
  </si>
  <si>
    <t>ALSC3</t>
  </si>
  <si>
    <t>9.36</t>
  </si>
  <si>
    <t>14.38</t>
  </si>
  <si>
    <t>22.91</t>
  </si>
  <si>
    <t>8.39</t>
  </si>
  <si>
    <t>13.40</t>
  </si>
  <si>
    <t>53.15</t>
  </si>
  <si>
    <t>6.78</t>
  </si>
  <si>
    <t>5.84</t>
  </si>
  <si>
    <t>1.62</t>
  </si>
  <si>
    <t xml:space="preserve">ALIANSCE    -ON  </t>
  </si>
  <si>
    <t>18.14</t>
  </si>
  <si>
    <t>18.37</t>
  </si>
  <si>
    <t>18.07</t>
  </si>
  <si>
    <t>BRML3</t>
  </si>
  <si>
    <t>22.94</t>
  </si>
  <si>
    <t>28.04</t>
  </si>
  <si>
    <t>7.85</t>
  </si>
  <si>
    <t xml:space="preserve">BR MALLS PAR-ON  </t>
  </si>
  <si>
    <t>17.30</t>
  </si>
  <si>
    <t>17.33</t>
  </si>
  <si>
    <t>BRPR3</t>
  </si>
  <si>
    <t>37.35</t>
  </si>
  <si>
    <t>31.13</t>
  </si>
  <si>
    <t xml:space="preserve">BR PROPERT  -ON  </t>
  </si>
  <si>
    <t>18.01</t>
  </si>
  <si>
    <t>17.78</t>
  </si>
  <si>
    <t>CCPR3</t>
  </si>
  <si>
    <t>4.21</t>
  </si>
  <si>
    <t xml:space="preserve">CYRE COM-CCP-ON  </t>
  </si>
  <si>
    <t>IGTA3</t>
  </si>
  <si>
    <t>9.30</t>
  </si>
  <si>
    <t>23.01</t>
  </si>
  <si>
    <t>23.69</t>
  </si>
  <si>
    <t xml:space="preserve">IGUATEMI    -ON  </t>
  </si>
  <si>
    <t>22.34</t>
  </si>
  <si>
    <t>21.65</t>
  </si>
  <si>
    <t>MULT3</t>
  </si>
  <si>
    <t>9.40</t>
  </si>
  <si>
    <t xml:space="preserve">MULTIPLAN   -ON  </t>
  </si>
  <si>
    <t>49.80</t>
  </si>
  <si>
    <t>48.08</t>
  </si>
  <si>
    <t>21.70</t>
  </si>
  <si>
    <t>SSBR3</t>
  </si>
  <si>
    <t>SCAR3</t>
  </si>
  <si>
    <t>22.95</t>
  </si>
  <si>
    <t xml:space="preserve">SIERRABRASIL-ON  </t>
  </si>
  <si>
    <t>17.97</t>
  </si>
  <si>
    <t>18.29</t>
  </si>
  <si>
    <t>17.92</t>
  </si>
  <si>
    <t xml:space="preserve">SAO CARLOS  -ON  </t>
  </si>
  <si>
    <t>37.46</t>
  </si>
  <si>
    <t>37.47</t>
  </si>
  <si>
    <t>36.55</t>
  </si>
  <si>
    <t>MERC3</t>
  </si>
  <si>
    <t>MERC4</t>
  </si>
  <si>
    <t>Financeiro e Outros / Intermediários Financeiros / Soc. Crédito e Financiamento</t>
  </si>
  <si>
    <t>15.63</t>
  </si>
  <si>
    <t>16.59</t>
  </si>
  <si>
    <t>MERC FINANC -ON</t>
  </si>
  <si>
    <t>8.55</t>
  </si>
  <si>
    <t>MERC FINANC -PN</t>
  </si>
  <si>
    <t>CRIV3</t>
  </si>
  <si>
    <t>CRIV4</t>
  </si>
  <si>
    <t>16.80</t>
  </si>
  <si>
    <t>ALFA FINANC -ON</t>
  </si>
  <si>
    <t>ALFA FINANC -PN</t>
  </si>
  <si>
    <t>3.55</t>
  </si>
  <si>
    <t>BRIN3</t>
  </si>
  <si>
    <t>Financeiro e Outros / Previdência e Seguros / Corretoras de Seguros</t>
  </si>
  <si>
    <t>2.44</t>
  </si>
  <si>
    <t>13.29</t>
  </si>
  <si>
    <t>12.38</t>
  </si>
  <si>
    <t xml:space="preserve">BR INSURANCE-ON  </t>
  </si>
  <si>
    <t>17.90</t>
  </si>
  <si>
    <t>TRPN3</t>
  </si>
  <si>
    <t>Financeiro e Outros / Serviços Financeiros Diversos / Gestão de Recursos e Investimentos</t>
  </si>
  <si>
    <t>12.44</t>
  </si>
  <si>
    <t xml:space="preserve">TARPON INV  -ON  </t>
  </si>
  <si>
    <t>15.00</t>
  </si>
  <si>
    <t>14.89</t>
  </si>
  <si>
    <t>BVMF3</t>
  </si>
  <si>
    <t>Financeiro e Outros / Serviços Financeiros Diversos / Serviços Financeiros Diversos</t>
  </si>
  <si>
    <t xml:space="preserve">BMFBOVESPA  -ON  </t>
  </si>
  <si>
    <t>10.67</t>
  </si>
  <si>
    <t>CTIP3</t>
  </si>
  <si>
    <t>CIEL3</t>
  </si>
  <si>
    <t>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</t>
  </si>
  <si>
    <t>18.20</t>
  </si>
  <si>
    <t>17.93</t>
  </si>
  <si>
    <t>10.37</t>
  </si>
  <si>
    <t xml:space="preserve">CETIP       -ON  </t>
  </si>
  <si>
    <t xml:space="preserve">CIELO       -ON  </t>
  </si>
  <si>
    <t>66.49</t>
  </si>
  <si>
    <t>67.18</t>
  </si>
  <si>
    <t>66.08</t>
  </si>
  <si>
    <t>12.26</t>
  </si>
  <si>
    <t>12.33</t>
  </si>
  <si>
    <t>31.06</t>
  </si>
  <si>
    <t>31.29</t>
  </si>
  <si>
    <t>28.86</t>
  </si>
  <si>
    <t>49.99</t>
  </si>
  <si>
    <t>7.39</t>
  </si>
  <si>
    <t>12.41</t>
  </si>
  <si>
    <t>12.23</t>
  </si>
  <si>
    <t>22.31</t>
  </si>
  <si>
    <t>22.24</t>
  </si>
  <si>
    <t>16.88</t>
  </si>
  <si>
    <t>14.03</t>
  </si>
  <si>
    <t>43.10</t>
  </si>
  <si>
    <t>43.37</t>
  </si>
  <si>
    <t>18.24</t>
  </si>
  <si>
    <t>30.18</t>
  </si>
  <si>
    <t>35.38</t>
  </si>
  <si>
    <t>35.08</t>
  </si>
  <si>
    <t>6.05</t>
  </si>
  <si>
    <t>6.06</t>
  </si>
  <si>
    <t>10.27</t>
  </si>
  <si>
    <t>10.28</t>
  </si>
  <si>
    <t>9.38</t>
  </si>
  <si>
    <t>11.07</t>
  </si>
  <si>
    <t>17.63</t>
  </si>
  <si>
    <t>17.59</t>
  </si>
  <si>
    <t>19.08</t>
  </si>
  <si>
    <t>8.91</t>
  </si>
  <si>
    <t>29.13</t>
  </si>
  <si>
    <t>11.93</t>
  </si>
  <si>
    <t>21.78</t>
  </si>
  <si>
    <t>21.66</t>
  </si>
  <si>
    <t>11.40</t>
  </si>
  <si>
    <t>28.89</t>
  </si>
  <si>
    <t>28.61</t>
  </si>
  <si>
    <t>25.26</t>
  </si>
  <si>
    <t>25.11</t>
  </si>
  <si>
    <t>9.21</t>
  </si>
  <si>
    <t>9.11</t>
  </si>
  <si>
    <t>35.69</t>
  </si>
  <si>
    <t>42.11</t>
  </si>
  <si>
    <t>26.61</t>
  </si>
  <si>
    <t>26.57</t>
  </si>
  <si>
    <t>37.42</t>
  </si>
  <si>
    <t>47.28</t>
  </si>
  <si>
    <t>45.11</t>
  </si>
  <si>
    <t>23.57</t>
  </si>
  <si>
    <t>53.40</t>
  </si>
  <si>
    <t>7.69</t>
  </si>
  <si>
    <t>16.96</t>
  </si>
  <si>
    <t>17.95</t>
  </si>
  <si>
    <t>36.80</t>
  </si>
  <si>
    <t>10.39</t>
  </si>
  <si>
    <t>67.09</t>
  </si>
</sst>
</file>

<file path=xl/styles.xml><?xml version="1.0" encoding="utf-8"?>
<styleSheet xmlns="http://schemas.openxmlformats.org/spreadsheetml/2006/main">
  <numFmts count="11">
    <numFmt numFmtId="8" formatCode="&quot;R$ &quot;#,##0.00_);[Red]\(&quot;R$ &quot;#,##0.00\)"/>
    <numFmt numFmtId="43" formatCode="_(* #,##0.00_);_(* \(#,##0.00\);_(* &quot;-&quot;??_);_(@_)"/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_-* #,##0_-;\-* #,##0_-;_-* &quot;-&quot;??_-;_-@_-"/>
    <numFmt numFmtId="167" formatCode="&quot;R$&quot;\ #,##0.00"/>
    <numFmt numFmtId="168" formatCode="_-* #,##0.000000000_-;\-* #,##0.000000000_-;_-* &quot;-&quot;??_-;_-@_-"/>
    <numFmt numFmtId="169" formatCode="_(* #,##0.000000000_);_(* \(#,##0.000000000\);_(* &quot;-&quot;?????????_);_(@_)"/>
    <numFmt numFmtId="170" formatCode="_-* #,##0.0000_-;\-* #,##0.0000_-;_-* &quot;-&quot;??_-;_-@_-"/>
    <numFmt numFmtId="171" formatCode="_-* #,##0.0000000000_-;\-* #,##0.0000000000_-;_-* &quot;-&quot;??_-;_-@_-"/>
    <numFmt numFmtId="175" formatCode="_-* #,##0.00000_-;\-* #,##0.00000_-;_-* &quot;-&quot;??_-;_-@_-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9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4" fontId="2" fillId="0" borderId="0" xfId="2" applyFont="1"/>
    <xf numFmtId="164" fontId="2" fillId="0" borderId="0" xfId="2" applyFont="1" applyBorder="1"/>
    <xf numFmtId="164" fontId="2" fillId="0" borderId="0" xfId="0" applyNumberFormat="1" applyFont="1"/>
    <xf numFmtId="166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4" fontId="3" fillId="0" borderId="0" xfId="2" applyFont="1" applyBorder="1"/>
    <xf numFmtId="164" fontId="3" fillId="0" borderId="0" xfId="2" applyFont="1"/>
    <xf numFmtId="164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6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7" fontId="0" fillId="0" borderId="0" xfId="0" applyNumberForma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66" fontId="4" fillId="0" borderId="0" xfId="2" applyNumberFormat="1" applyFont="1" applyBorder="1"/>
    <xf numFmtId="164" fontId="4" fillId="0" borderId="0" xfId="0" applyNumberFormat="1" applyFont="1" applyBorder="1"/>
    <xf numFmtId="10" fontId="4" fillId="0" borderId="0" xfId="0" applyNumberFormat="1" applyFont="1" applyBorder="1"/>
    <xf numFmtId="164" fontId="4" fillId="0" borderId="0" xfId="2" applyFont="1" applyBorder="1"/>
    <xf numFmtId="164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0" fontId="2" fillId="0" borderId="0" xfId="1" applyNumberFormat="1" applyFont="1" applyBorder="1"/>
    <xf numFmtId="166" fontId="2" fillId="0" borderId="0" xfId="2" applyNumberFormat="1" applyFont="1" applyBorder="1"/>
    <xf numFmtId="164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64" fontId="2" fillId="0" borderId="0" xfId="2" applyNumberFormat="1" applyFont="1"/>
    <xf numFmtId="164" fontId="3" fillId="0" borderId="0" xfId="0" applyNumberFormat="1" applyFont="1" applyBorder="1"/>
    <xf numFmtId="10" fontId="4" fillId="0" borderId="0" xfId="2" applyNumberFormat="1" applyFont="1" applyBorder="1"/>
    <xf numFmtId="10" fontId="4" fillId="0" borderId="0" xfId="3" applyNumberFormat="1" applyFont="1" applyBorder="1"/>
    <xf numFmtId="10" fontId="2" fillId="0" borderId="0" xfId="1" applyNumberFormat="1" applyFont="1" applyBorder="1"/>
    <xf numFmtId="10" fontId="0" fillId="0" borderId="0" xfId="0" applyNumberFormat="1"/>
    <xf numFmtId="14" fontId="2" fillId="0" borderId="0" xfId="0" applyNumberFormat="1" applyFont="1"/>
    <xf numFmtId="164" fontId="3" fillId="0" borderId="0" xfId="0" applyNumberFormat="1" applyFont="1"/>
    <xf numFmtId="9" fontId="2" fillId="0" borderId="0" xfId="0" applyNumberFormat="1" applyFont="1"/>
    <xf numFmtId="164" fontId="2" fillId="0" borderId="0" xfId="3" applyNumberFormat="1" applyFont="1"/>
    <xf numFmtId="164" fontId="2" fillId="0" borderId="0" xfId="3" applyNumberFormat="1" applyFont="1" applyBorder="1"/>
    <xf numFmtId="166" fontId="2" fillId="0" borderId="0" xfId="1" applyNumberFormat="1" applyFont="1"/>
    <xf numFmtId="168" fontId="2" fillId="0" borderId="0" xfId="1" applyNumberFormat="1" applyFont="1"/>
    <xf numFmtId="168" fontId="2" fillId="0" borderId="0" xfId="1" applyNumberFormat="1" applyFont="1" applyBorder="1"/>
    <xf numFmtId="168" fontId="2" fillId="0" borderId="0" xfId="0" applyNumberFormat="1" applyFont="1"/>
    <xf numFmtId="168" fontId="2" fillId="0" borderId="0" xfId="0" applyNumberFormat="1" applyFont="1" applyBorder="1"/>
    <xf numFmtId="166" fontId="2" fillId="0" borderId="0" xfId="0" applyNumberFormat="1" applyFont="1"/>
    <xf numFmtId="169" fontId="2" fillId="0" borderId="0" xfId="0" applyNumberFormat="1" applyFont="1"/>
    <xf numFmtId="43" fontId="2" fillId="0" borderId="0" xfId="0" applyNumberFormat="1" applyFont="1"/>
    <xf numFmtId="165" fontId="2" fillId="0" borderId="0" xfId="1" applyFont="1"/>
    <xf numFmtId="0" fontId="9" fillId="0" borderId="0" xfId="5" applyNumberFormat="1" applyFont="1" applyBorder="1" applyAlignment="1" applyProtection="1"/>
    <xf numFmtId="0" fontId="2" fillId="0" borderId="0" xfId="3" applyNumberFormat="1" applyFont="1"/>
    <xf numFmtId="0" fontId="2" fillId="0" borderId="0" xfId="3" applyNumberFormat="1" applyFont="1" applyBorder="1"/>
    <xf numFmtId="0" fontId="9" fillId="0" borderId="0" xfId="5" applyNumberFormat="1" applyFont="1" applyAlignment="1" applyProtection="1"/>
    <xf numFmtId="170" fontId="2" fillId="0" borderId="0" xfId="0" applyNumberFormat="1" applyFont="1"/>
    <xf numFmtId="171" fontId="2" fillId="0" borderId="0" xfId="0" applyNumberFormat="1" applyFont="1"/>
    <xf numFmtId="10" fontId="2" fillId="0" borderId="0" xfId="2" applyNumberFormat="1" applyFont="1"/>
    <xf numFmtId="0" fontId="9" fillId="0" borderId="0" xfId="5" applyFont="1" applyAlignment="1" applyProtection="1"/>
    <xf numFmtId="164" fontId="0" fillId="0" borderId="0" xfId="2" applyFont="1"/>
    <xf numFmtId="164" fontId="0" fillId="0" borderId="0" xfId="0" applyNumberFormat="1"/>
    <xf numFmtId="0" fontId="10" fillId="0" borderId="0" xfId="0" applyFont="1"/>
    <xf numFmtId="14" fontId="0" fillId="0" borderId="0" xfId="2" applyNumberFormat="1" applyFont="1"/>
    <xf numFmtId="10" fontId="0" fillId="0" borderId="0" xfId="3" applyNumberFormat="1" applyFont="1"/>
    <xf numFmtId="10" fontId="10" fillId="0" borderId="0" xfId="3" applyNumberFormat="1" applyFont="1"/>
    <xf numFmtId="164" fontId="10" fillId="0" borderId="0" xfId="2" applyFont="1"/>
    <xf numFmtId="0" fontId="1" fillId="0" borderId="0" xfId="0" applyNumberFormat="1" applyFont="1"/>
    <xf numFmtId="164" fontId="0" fillId="0" borderId="0" xfId="0" applyNumberFormat="1" applyFont="1"/>
    <xf numFmtId="168" fontId="2" fillId="0" borderId="0" xfId="2" applyNumberFormat="1" applyFont="1"/>
    <xf numFmtId="9" fontId="0" fillId="0" borderId="0" xfId="0" applyNumberFormat="1"/>
    <xf numFmtId="8" fontId="0" fillId="0" borderId="0" xfId="0" applyNumberFormat="1"/>
    <xf numFmtId="166" fontId="2" fillId="0" borderId="0" xfId="0" applyNumberFormat="1" applyFont="1" applyBorder="1"/>
    <xf numFmtId="175" fontId="2" fillId="0" borderId="0" xfId="1" applyNumberFormat="1" applyFont="1"/>
    <xf numFmtId="3" fontId="2" fillId="0" borderId="0" xfId="0" applyNumberFormat="1" applyFont="1"/>
    <xf numFmtId="164" fontId="2" fillId="0" borderId="2" xfId="2" applyFont="1" applyBorder="1"/>
    <xf numFmtId="164" fontId="2" fillId="3" borderId="0" xfId="2" applyNumberFormat="1" applyFont="1" applyFill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8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2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45.629761921293" createdVersion="3" refreshedVersion="3" minRefreshableVersion="3" recordCount="578">
  <cacheSource type="worksheet">
    <worksheetSource name="Tabela2"/>
  </cacheSource>
  <cacheFields count="11">
    <cacheField name="Ativo" numFmtId="0">
      <sharedItems containsBlank="1" count="170">
        <s v="ABCB4"/>
        <s v="AELP3"/>
        <s v="ALSC3"/>
        <s v="BAHI3"/>
        <s v="BAZA3"/>
        <s v="BBAS3"/>
        <s v="BBDC3"/>
        <s v="BBDC4"/>
        <s v="BBSE3"/>
        <s v="BEES3"/>
        <s v="BEES4"/>
        <s v="BGIP3"/>
        <s v="BGIP4"/>
        <s v="BICB3"/>
        <s v="BICB4"/>
        <s v="BMIN3"/>
        <s v="BMIN4"/>
        <s v="BNBR3"/>
        <s v="BNBR4"/>
        <s v="BRAP3"/>
        <s v="BRAP4"/>
        <s v="BRFS3"/>
        <s v="BRGE11"/>
        <s v="BRGE12"/>
        <s v="BRGE3"/>
        <s v="BRGE5"/>
        <s v="BRGE6"/>
        <s v="BRGE7"/>
        <s v="BRGE8"/>
        <s v="BRIV3"/>
        <s v="BRIV4"/>
        <s v="BRKM3"/>
        <s v="BRKM5"/>
        <s v="BRKM6"/>
        <s v="BRML3"/>
        <s v="BRPR3"/>
        <s v="BRSR3"/>
        <s v="BRSR5"/>
        <s v="BRSR6"/>
        <s v="BSLI3"/>
        <s v="BSLI4"/>
        <s v="CASN3"/>
        <s v="CCPR3"/>
        <s v="CEBR3"/>
        <s v="CEBR5"/>
        <s v="CEBR6"/>
        <s v="CEEB3"/>
        <s v="CEEB5"/>
        <s v="CEPE5"/>
        <s v="CEPE6"/>
        <s v="CESP3"/>
        <s v="CESP5"/>
        <s v="CESP6"/>
        <s v="CIQU3"/>
        <s v="CIQU4"/>
        <s v="CLSC4"/>
        <s v="CMIG3"/>
        <s v="CMIG4"/>
        <s v="COCE3"/>
        <s v="COCE5"/>
        <s v="CPFE3"/>
        <s v="CPLE3"/>
        <s v="CPLE5"/>
        <s v="CPLE6"/>
        <s v="CRIV3"/>
        <s v="CRIV4"/>
        <s v="CSAB3"/>
        <s v="CSAB4"/>
        <s v="CSAN3"/>
        <s v="CSMG3"/>
        <s v="CSRN3"/>
        <s v="CSRN5"/>
        <s v="CSRN6"/>
        <s v="DAYC4"/>
        <s v="DTEX3"/>
        <s v="EEEL3"/>
        <s v="EEEL4"/>
        <s v="ELEK3"/>
        <s v="ELEK4"/>
        <s v="ELET3"/>
        <s v="ELET6"/>
        <s v="ELPL3"/>
        <s v="ELPL4"/>
        <s v="EMAE4"/>
        <s v="ENBR3"/>
        <s v="ENGI11"/>
        <s v="ENGI3"/>
        <s v="ENGI4"/>
        <s v="ENMA3B"/>
        <s v="EQTL3"/>
        <s v="ETER3"/>
        <s v="EUCA4"/>
        <s v="FESA3"/>
        <s v="FESA4"/>
        <s v="GEPA3"/>
        <s v="GEPA4"/>
        <s v="GETI3"/>
        <s v="GETI4"/>
        <s v="GTDP3B"/>
        <s v="GTDP4B"/>
        <s v="HBTS5"/>
        <s v="IGTA3"/>
        <s v="ITSA3"/>
        <s v="ITSA4"/>
        <s v="ITUB3"/>
        <s v="ITUB4"/>
        <s v="JBSS3"/>
        <s v="KLBN3"/>
        <s v="KLBN4"/>
        <s v="LCAM3"/>
        <s v="LIGT3"/>
        <s v="LIPR3"/>
        <s v="MAGG3"/>
        <s v="MERC3"/>
        <s v="MERC4"/>
        <s v="MOAR3"/>
        <s v="MULT3"/>
        <s v="OIBR3"/>
        <s v="OIBR4"/>
        <s v="PATI4"/>
        <s v="PETR3"/>
        <s v="PETR4"/>
        <s v="PINE4"/>
        <s v="PRBC4"/>
        <s v="PRVI3"/>
        <s v="PSSA3"/>
        <s v="PTPA4"/>
        <s v="QGEP3"/>
        <s v="RANI3"/>
        <s v="RANI4"/>
        <s v="RDTR3"/>
        <s v="RPAD3"/>
        <s v="RPAD5"/>
        <s v="RPAD6"/>
        <s v="SAPR3"/>
        <s v="SAPR4"/>
        <s v="SBSP3"/>
        <s v="SCAR3"/>
        <s v="SFSA4"/>
        <s v="SMTO3"/>
        <s v="SSBR3"/>
        <s v="SULA11"/>
        <s v="SUZB5"/>
        <s v="SUZB6"/>
        <s v="TAEE11"/>
        <s v="TBLE3"/>
        <s v="TERI3"/>
        <s v="TIMP3"/>
        <s v="TKNO4"/>
        <s v="TRPL3"/>
        <s v="TRPL4"/>
        <s v="UGPA3"/>
        <s v="UNIP6"/>
        <s v="VALE5"/>
        <s v="VIGR3"/>
        <s v="VIVT3"/>
        <s v="VIVT4"/>
        <s v="BRIN3"/>
        <s v="TRPN3"/>
        <s v="BVMF3"/>
        <s v="CIEL3"/>
        <s v="CTIP3"/>
        <m u="1"/>
        <s v="TIBR5" u="1"/>
        <s v="RNAR3" u="1"/>
        <s v="BBRK3" u="1"/>
        <s v="RSID3" u="1"/>
        <s v="UNIP5" u="1"/>
        <s v="NUTR3M" u="1"/>
        <s v="TIBR6" u="1"/>
      </sharedItems>
    </cacheField>
    <cacheField name="Exercício" numFmtId="0">
      <sharedItems containsSemiMixedTypes="0" containsString="0" containsNumber="1" containsInteger="1" minValue="2004" maxValue="2012" count="9">
        <n v="2012"/>
        <n v="2011"/>
        <n v="2010"/>
        <n v="2009"/>
        <n v="2008"/>
        <n v="2006" u="1"/>
        <n v="2004" u="1"/>
        <n v="2007" u="1"/>
        <n v="2005" u="1"/>
      </sharedItems>
    </cacheField>
    <cacheField name="Lucro Líquido" numFmtId="164">
      <sharedItems containsString="0" containsBlank="1" containsNumber="1" minValue="-6878916000" maxValue="46307964102"/>
    </cacheField>
    <cacheField name="Total Ações" numFmtId="166">
      <sharedItems containsSemiMixedTypes="0" containsString="0" containsNumber="1" containsInteger="1" minValue="2857301" maxValue="13044496930"/>
    </cacheField>
    <cacheField name="Lucro por ação" numFmtId="168">
      <sharedItems containsSemiMixedTypes="0" containsString="0" containsNumber="1" minValue="-6.6983599058695811" maxValue="17.53690548444203"/>
    </cacheField>
    <cacheField name="Dividendo / Ação" numFmtId="168">
      <sharedItems containsString="0" containsBlank="1" containsNumber="1" minValue="0" maxValue="9.5598858660000001"/>
    </cacheField>
    <cacheField name="Payout" numFmtId="10">
      <sharedItems containsMixedTypes="1" containsNumber="1" minValue="8.6546948480594434E-6" maxValue="19.095577865856068"/>
    </cacheField>
    <cacheField name="Cotação" numFmtId="164">
      <sharedItems containsSemiMixedTypes="0" containsString="0" containsNumber="1" minValue="0.14000000000000001" maxValue="158.99"/>
    </cacheField>
    <cacheField name="Yield" numFmtId="10">
      <sharedItems containsMixedTypes="1" containsNumber="1" minValue="3.2085561497326203E-7" maxValue="1.0346196824675324"/>
    </cacheField>
    <cacheField name="Cotação 1" numFmtId="164">
      <sharedItems containsSemiMixedTypes="0" containsString="0" containsNumber="1" minValue="0" maxValue="62.04"/>
    </cacheField>
    <cacheField name="Cotação 2" numFmtId="164">
      <sharedItems containsSemiMixedTypes="0" containsString="0" containsNumber="1" minValue="0" maxValue="158.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8">
  <r>
    <x v="0"/>
    <x v="0"/>
    <n v="226618835.09"/>
    <n v="147232649"/>
    <n v="1.5391887372073296"/>
    <n v="0.62"/>
    <n v="0.40280960028652135"/>
    <n v="12.25"/>
    <n v="5.061224489795918E-2"/>
    <n v="12.25"/>
    <n v="0"/>
  </r>
  <r>
    <x v="0"/>
    <x v="1"/>
    <n v="259319392"/>
    <n v="147232649"/>
    <n v="1.7612899975738399"/>
    <n v="0.6"/>
    <n v="0.34065940352042778"/>
    <n v="12.25"/>
    <n v="4.8979591836734691E-2"/>
    <n v="12.25"/>
    <n v="0"/>
  </r>
  <r>
    <x v="0"/>
    <x v="2"/>
    <n v="221437904"/>
    <n v="147232649"/>
    <n v="1.5039999993479707"/>
    <n v="0.54"/>
    <n v="0.35904255334714513"/>
    <n v="12.25"/>
    <n v="4.4081632653061226E-2"/>
    <n v="12.25"/>
    <n v="0"/>
  </r>
  <r>
    <x v="0"/>
    <x v="3"/>
    <n v="165523361"/>
    <n v="147232649"/>
    <n v="1.1242300001000458"/>
    <n v="0.51"/>
    <n v="0.45364382729033637"/>
    <n v="12.25"/>
    <n v="4.1632653061224489E-2"/>
    <n v="12.25"/>
    <n v="0"/>
  </r>
  <r>
    <x v="1"/>
    <x v="0"/>
    <n v="-30675397.18"/>
    <n v="95061053"/>
    <n v="-0.32269153572283699"/>
    <n v="0"/>
    <s v=""/>
    <n v="9.25"/>
    <s v=""/>
    <n v="9.25"/>
    <n v="0"/>
  </r>
  <r>
    <x v="1"/>
    <x v="1"/>
    <n v="436885000"/>
    <n v="95061053"/>
    <n v="4.5958358992720187"/>
    <n v="3.2228539679999999"/>
    <n v="0.70125523161314363"/>
    <n v="9.25"/>
    <n v="0.34841664518918919"/>
    <n v="9.25"/>
    <n v="0"/>
  </r>
  <r>
    <x v="1"/>
    <x v="2"/>
    <n v="376137000"/>
    <n v="95061053"/>
    <n v="3.9567939564061003"/>
    <n v="3.5129712419999999"/>
    <n v="0.8878327455773769"/>
    <n v="9.25"/>
    <n v="0.37978067481081079"/>
    <n v="9.25"/>
    <n v="0"/>
  </r>
  <r>
    <x v="1"/>
    <x v="3"/>
    <n v="335010000"/>
    <n v="95061053"/>
    <n v="3.5241562072744976"/>
    <n v="3.1989132250000001"/>
    <n v="0.90771039558259736"/>
    <n v="9.25"/>
    <n v="0.34582845675675677"/>
    <n v="9.25"/>
    <n v="0"/>
  </r>
  <r>
    <x v="2"/>
    <x v="0"/>
    <n v="127417790.75"/>
    <n v="159025920"/>
    <n v="0.80123913604775876"/>
    <n v="0.346085953"/>
    <n v="0.43193840319274063"/>
    <n v="18.2"/>
    <n v="1.9015711703296703E-2"/>
    <n v="0"/>
    <n v="18.2"/>
  </r>
  <r>
    <x v="2"/>
    <x v="1"/>
    <n v="101417617.86"/>
    <n v="159025920"/>
    <n v="0.63774268911634024"/>
    <n v="0.18179478700000001"/>
    <n v="0.28505977426710427"/>
    <n v="18.2"/>
    <n v="9.988724560439562E-3"/>
    <n v="0"/>
    <n v="18.2"/>
  </r>
  <r>
    <x v="2"/>
    <x v="2"/>
    <n v="54564689.799999997"/>
    <n v="159025920"/>
    <n v="0.34311821494257033"/>
    <n v="9.2918793E-2"/>
    <n v="0.27080693753187179"/>
    <n v="18.2"/>
    <n v="5.1054281868131868E-3"/>
    <n v="0"/>
    <n v="18.2"/>
  </r>
  <r>
    <x v="2"/>
    <x v="3"/>
    <n v="47715454.25"/>
    <n v="159025920"/>
    <n v="0.30004828300946162"/>
    <n v="8.036008E-2"/>
    <n v="0.26782382886512285"/>
    <n v="18.2"/>
    <n v="4.4153890109890114E-3"/>
    <n v="0"/>
    <n v="18.2"/>
  </r>
  <r>
    <x v="3"/>
    <x v="0"/>
    <n v="-2048000"/>
    <n v="5996334"/>
    <n v="-0.34154201550480678"/>
    <n v="1"/>
    <s v=""/>
    <n v="5.18"/>
    <n v="0.19305019305019305"/>
    <n v="0"/>
    <n v="5.18"/>
  </r>
  <r>
    <x v="3"/>
    <x v="1"/>
    <n v="-2767000"/>
    <n v="5996334"/>
    <n v="-0.4614486117684572"/>
    <n v="1"/>
    <s v=""/>
    <n v="5.18"/>
    <n v="0.19305019305019305"/>
    <n v="0"/>
    <n v="5.18"/>
  </r>
  <r>
    <x v="3"/>
    <x v="2"/>
    <n v="47518888.590000004"/>
    <n v="5996334"/>
    <n v="7.9246567302621909"/>
    <n v="1.5139"/>
    <n v="0.19103666588090965"/>
    <n v="5.18"/>
    <n v="0.29225868725868726"/>
    <n v="0"/>
    <n v="5.18"/>
  </r>
  <r>
    <x v="4"/>
    <x v="0"/>
    <n v="165948458.28999999"/>
    <n v="2964596762"/>
    <n v="5.5976738697524085E-2"/>
    <n v="2.6766000000000002E-2"/>
    <n v="0.47816290521376681"/>
    <n v="0.32"/>
    <n v="8.3643750000000003E-2"/>
    <n v="0.32"/>
    <n v="0"/>
  </r>
  <r>
    <x v="4"/>
    <x v="1"/>
    <n v="78567508.840000004"/>
    <n v="2964596762"/>
    <n v="2.6501920884173184E-2"/>
    <n v="2.648E-2"/>
    <n v="0.99917285678011836"/>
    <n v="0.32"/>
    <n v="8.2750000000000004E-2"/>
    <n v="0.32"/>
    <n v="0"/>
  </r>
  <r>
    <x v="4"/>
    <x v="2"/>
    <n v="142163159.71000001"/>
    <n v="2964596762"/>
    <n v="4.7953624429547294E-2"/>
    <n v="3.7429999999999998E-2"/>
    <n v="0.78054579701251903"/>
    <n v="0.32"/>
    <n v="0.11696875"/>
    <n v="0.32"/>
    <n v="0"/>
  </r>
  <r>
    <x v="5"/>
    <x v="0"/>
    <n v="12309870442.799999"/>
    <n v="2865417020"/>
    <n v="4.2960135843682536"/>
    <n v="1.722"/>
    <n v="0.40083672134226433"/>
    <n v="23.99"/>
    <n v="7.1779908295122971E-2"/>
    <n v="23.99"/>
    <n v="0"/>
  </r>
  <r>
    <x v="5"/>
    <x v="1"/>
    <n v="12247330314.43"/>
    <n v="2865417020"/>
    <n v="4.2741877461277875"/>
    <n v="1.7096750979999999"/>
    <n v="0.39999999989445595"/>
    <n v="23.99"/>
    <n v="7.1266156648603585E-2"/>
    <n v="23.99"/>
    <n v="0"/>
  </r>
  <r>
    <x v="5"/>
    <x v="2"/>
    <n v="11758093384.549999"/>
    <n v="2865417020"/>
    <n v="4.1034492719492537"/>
    <n v="1.6421960419999999"/>
    <n v="0.40019893829951275"/>
    <n v="23.99"/>
    <n v="6.845335731554815E-2"/>
    <n v="23.99"/>
    <n v="0"/>
  </r>
  <r>
    <x v="5"/>
    <x v="3"/>
    <n v="10147521914.51"/>
    <n v="2865417020"/>
    <n v="3.5413769945814031"/>
    <n v="1.4165507980000001"/>
    <n v="0.4000000000472807"/>
    <n v="23.99"/>
    <n v="5.9047553063776577E-2"/>
    <n v="23.99"/>
    <n v="0"/>
  </r>
  <r>
    <x v="6"/>
    <x v="0"/>
    <n v="11381244459.27"/>
    <n v="4207274039"/>
    <n v="2.705135047959732"/>
    <n v="0.97174542699999999"/>
    <n v="0.35922251930930776"/>
    <n v="31.1"/>
    <n v="3.1245833665594854E-2"/>
    <n v="31.1"/>
    <n v="0"/>
  </r>
  <r>
    <x v="6"/>
    <x v="1"/>
    <n v="11037515599"/>
    <n v="4207274039"/>
    <n v="2.6234363382765142"/>
    <n v="0.933388"/>
    <n v="0.35578831717075171"/>
    <n v="31.1"/>
    <n v="3.0012475884244372E-2"/>
    <n v="31.1"/>
    <n v="0"/>
  </r>
  <r>
    <x v="6"/>
    <x v="2"/>
    <n v="10159097403"/>
    <n v="4207274039"/>
    <n v="2.4146507474503967"/>
    <n v="0.87638400000000005"/>
    <n v="0.36294441377303294"/>
    <n v="31.1"/>
    <n v="2.8179549839228296E-2"/>
    <n v="31.1"/>
    <n v="0"/>
  </r>
  <r>
    <x v="6"/>
    <x v="3"/>
    <n v="8134916341"/>
    <n v="4207274039"/>
    <n v="1.933536124719258"/>
    <n v="0.834144"/>
    <n v="0.43140854175719862"/>
    <n v="31.1"/>
    <n v="2.6821350482315112E-2"/>
    <n v="31.1"/>
    <n v="0"/>
  </r>
  <r>
    <x v="7"/>
    <x v="0"/>
    <n v="11381244459.27"/>
    <n v="4207274039"/>
    <n v="2.705135047959732"/>
    <n v="1.0689199700000001"/>
    <n v="0.39514477135113873"/>
    <n v="28.71"/>
    <n v="3.7231625566004879E-2"/>
    <n v="28.71"/>
    <n v="0"/>
  </r>
  <r>
    <x v="7"/>
    <x v="1"/>
    <n v="11037515599"/>
    <n v="4207274039"/>
    <n v="2.6234363382765142"/>
    <n v="1.0267269999999999"/>
    <n v="0.3913672251237153"/>
    <n v="28.71"/>
    <n v="3.576199930337861E-2"/>
    <n v="28.71"/>
    <n v="0"/>
  </r>
  <r>
    <x v="7"/>
    <x v="2"/>
    <n v="10159097403"/>
    <n v="4207274039"/>
    <n v="2.4146507474503967"/>
    <n v="0.96402200000000005"/>
    <n v="0.39923868949490948"/>
    <n v="28.71"/>
    <n v="3.3577917102055037E-2"/>
    <n v="28.71"/>
    <n v="0"/>
  </r>
  <r>
    <x v="7"/>
    <x v="3"/>
    <n v="8134916341"/>
    <n v="4207274039"/>
    <n v="1.933536124719258"/>
    <n v="0.91755799999999998"/>
    <n v="0.47454918905806631"/>
    <n v="28.71"/>
    <n v="3.1959526297457332E-2"/>
    <n v="28.71"/>
    <n v="0"/>
  </r>
  <r>
    <x v="8"/>
    <x v="0"/>
    <n v="2000000000"/>
    <n v="2000000000"/>
    <n v="1"/>
    <n v="0.25"/>
    <n v="0.25"/>
    <n v="22.92"/>
    <n v="1.0907504363001745E-2"/>
    <n v="0"/>
    <n v="22.92"/>
  </r>
  <r>
    <x v="9"/>
    <x v="0"/>
    <n v="81395000"/>
    <n v="1579564303"/>
    <n v="5.153003258266213E-2"/>
    <n v="2.0200094799999999E-2"/>
    <n v="0.39200624931870415"/>
    <n v="0.49"/>
    <n v="4.1224683265306122E-2"/>
    <n v="0.49"/>
    <n v="0"/>
  </r>
  <r>
    <x v="9"/>
    <x v="1"/>
    <n v="87892000"/>
    <n v="1579564303"/>
    <n v="5.5643192134103327E-2"/>
    <n v="3.1132696000000001E-2"/>
    <n v="0.55950593066207266"/>
    <n v="0.49"/>
    <n v="6.353611428571429E-2"/>
    <n v="0.49"/>
    <n v="0"/>
  </r>
  <r>
    <x v="9"/>
    <x v="2"/>
    <n v="167023000"/>
    <n v="1579564303"/>
    <n v="0.1057399180791692"/>
    <n v="2.6446688999999999E-2"/>
    <n v="0.25011073850273774"/>
    <n v="0.49"/>
    <n v="5.397283469387755E-2"/>
    <n v="0.49"/>
    <n v="0"/>
  </r>
  <r>
    <x v="9"/>
    <x v="3"/>
    <n v="132496000"/>
    <n v="1579564303"/>
    <n v="8.3881358769855668E-2"/>
    <n v="2.117499288E-2"/>
    <n v="0.2524397934241574"/>
    <n v="0.49"/>
    <n v="4.3214271183673471E-2"/>
    <n v="0.49"/>
    <n v="0"/>
  </r>
  <r>
    <x v="10"/>
    <x v="0"/>
    <n v="81395000"/>
    <n v="1579564303"/>
    <n v="5.153003258266213E-2"/>
    <n v="2.0200094799999999E-2"/>
    <n v="0.39200624931870415"/>
    <n v="0.46"/>
    <n v="4.3913249565217388E-2"/>
    <n v="0.46"/>
    <n v="0"/>
  </r>
  <r>
    <x v="10"/>
    <x v="1"/>
    <n v="87892000"/>
    <n v="1579564303"/>
    <n v="5.5643192134103327E-2"/>
    <n v="3.1132696000000001E-2"/>
    <n v="0.55950593066207266"/>
    <n v="0.46"/>
    <n v="6.7679773913043473E-2"/>
    <n v="0.46"/>
    <n v="0"/>
  </r>
  <r>
    <x v="10"/>
    <x v="2"/>
    <n v="167023000"/>
    <n v="1579564303"/>
    <n v="0.1057399180791692"/>
    <n v="2.6446688999999999E-2"/>
    <n v="0.25011073850273774"/>
    <n v="0.46"/>
    <n v="5.7492802173913039E-2"/>
    <n v="0.46"/>
    <n v="0"/>
  </r>
  <r>
    <x v="10"/>
    <x v="3"/>
    <n v="132496000"/>
    <n v="1579564303"/>
    <n v="8.3881358769855668E-2"/>
    <n v="2.117499288E-2"/>
    <n v="0.2524397934241574"/>
    <n v="0.46"/>
    <n v="4.6032593217391303E-2"/>
    <n v="0.46"/>
    <n v="0"/>
  </r>
  <r>
    <x v="11"/>
    <x v="0"/>
    <n v="87990976.469999999"/>
    <n v="10541442"/>
    <n v="8.3471479964505804"/>
    <n v="4.946395323"/>
    <n v="0.5925850751781726"/>
    <n v="48.5"/>
    <n v="0.10198753243298969"/>
    <n v="48.5"/>
    <n v="0"/>
  </r>
  <r>
    <x v="11"/>
    <x v="1"/>
    <n v="90962523.890000001"/>
    <n v="10541442"/>
    <n v="8.6290399254675023"/>
    <n v="5.5438895290000003"/>
    <n v="0.64246886987252461"/>
    <n v="48.5"/>
    <n v="0.11430700059793815"/>
    <n v="48.5"/>
    <n v="0"/>
  </r>
  <r>
    <x v="11"/>
    <x v="2"/>
    <n v="54465018.079999998"/>
    <n v="10541442"/>
    <n v="5.1667521464330965"/>
    <n v="2.2723217359999999"/>
    <n v="0.43979693076020943"/>
    <n v="48.5"/>
    <n v="4.6851994556701027E-2"/>
    <n v="48.5"/>
    <n v="0"/>
  </r>
  <r>
    <x v="11"/>
    <x v="3"/>
    <n v="39114199.380000003"/>
    <n v="10541442"/>
    <n v="3.7105169653259966"/>
    <n v="1.979881029"/>
    <n v="0.53358630279865937"/>
    <n v="48.5"/>
    <n v="4.0822289257731958E-2"/>
    <n v="48.5"/>
    <n v="0"/>
  </r>
  <r>
    <x v="12"/>
    <x v="0"/>
    <n v="87990976.469999999"/>
    <n v="10541442"/>
    <n v="8.3471479964505804"/>
    <n v="5.4410348859999997"/>
    <n v="0.65184358637389272"/>
    <n v="47.66"/>
    <n v="0.11416355195132187"/>
    <n v="47.66"/>
    <n v="0"/>
  </r>
  <r>
    <x v="12"/>
    <x v="1"/>
    <n v="90962523.890000001"/>
    <n v="10541442"/>
    <n v="8.6290399254675023"/>
    <n v="6.0982784810000004"/>
    <n v="0.70671575675547815"/>
    <n v="47.66"/>
    <n v="0.12795380782626942"/>
    <n v="47.66"/>
    <n v="0"/>
  </r>
  <r>
    <x v="12"/>
    <x v="2"/>
    <n v="54465018.079999998"/>
    <n v="10541442"/>
    <n v="5.1667521464330965"/>
    <n v="2.4995539089999999"/>
    <n v="0.48377662372010322"/>
    <n v="47.66"/>
    <n v="5.2445528934116657E-2"/>
    <n v="47.66"/>
    <n v="0"/>
  </r>
  <r>
    <x v="12"/>
    <x v="3"/>
    <n v="39114199.380000003"/>
    <n v="10541442"/>
    <n v="3.7105169653259966"/>
    <n v="2.1790691309999999"/>
    <n v="0.58726833790626598"/>
    <n v="47.66"/>
    <n v="4.5721131577843056E-2"/>
    <n v="47.66"/>
    <n v="0"/>
  </r>
  <r>
    <x v="13"/>
    <x v="0"/>
    <n v="108819511.64"/>
    <n v="252903569"/>
    <n v="0.43028064835257424"/>
    <n v="0.48572491200000001"/>
    <n v="1.1288560474650824"/>
    <n v="9.65"/>
    <n v="5.0334187772020728E-2"/>
    <n v="9.65"/>
    <n v="0"/>
  </r>
  <r>
    <x v="13"/>
    <x v="1"/>
    <n v="232542541"/>
    <n v="252903569"/>
    <n v="0.91949094241528873"/>
    <n v="0.46371743599999998"/>
    <n v="0.50431974325045792"/>
    <n v="9.65"/>
    <n v="4.8053620310880826E-2"/>
    <n v="9.65"/>
    <n v="0"/>
  </r>
  <r>
    <x v="13"/>
    <x v="2"/>
    <n v="348395895.98000002"/>
    <n v="252903569"/>
    <n v="1.3775839437837274"/>
    <n v="0.60299663000000003"/>
    <n v="0.43772042547460682"/>
    <n v="9.65"/>
    <n v="6.2486697409326428E-2"/>
    <n v="9.65"/>
    <n v="0"/>
  </r>
  <r>
    <x v="14"/>
    <x v="0"/>
    <n v="108819511.64"/>
    <n v="252903569"/>
    <n v="0.43028064835257424"/>
    <n v="0.48572491200000001"/>
    <n v="1.1288560474650824"/>
    <n v="7.4"/>
    <n v="6.5638501621621617E-2"/>
    <n v="7.4"/>
    <n v="0"/>
  </r>
  <r>
    <x v="14"/>
    <x v="1"/>
    <n v="232542541"/>
    <n v="252903569"/>
    <n v="0.91949094241528873"/>
    <n v="0.46371743599999998"/>
    <n v="0.50431974325045792"/>
    <n v="7.4"/>
    <n v="6.2664518378378373E-2"/>
    <n v="7.4"/>
    <n v="0"/>
  </r>
  <r>
    <x v="14"/>
    <x v="2"/>
    <n v="348395895.98000002"/>
    <n v="252903569"/>
    <n v="1.3775839437837274"/>
    <n v="0.60299663000000003"/>
    <n v="0.43772042547460682"/>
    <n v="7.4"/>
    <n v="8.1486031081081087E-2"/>
    <n v="7.4"/>
    <n v="0"/>
  </r>
  <r>
    <x v="15"/>
    <x v="0"/>
    <n v="5431000"/>
    <n v="182520000"/>
    <n v="2.9755643217181677E-2"/>
    <n v="8.9999999999999993E-3"/>
    <n v="0.30246363468974408"/>
    <n v="1.1000000000000001"/>
    <n v="8.1818181818181807E-3"/>
    <n v="1.1000000000000001"/>
    <n v="0"/>
  </r>
  <r>
    <x v="15"/>
    <x v="1"/>
    <n v="5361000"/>
    <n v="182520000"/>
    <n v="2.9372123602892833E-2"/>
    <n v="8.9999999999999993E-3"/>
    <n v="0.30641298265249017"/>
    <n v="1.1000000000000001"/>
    <n v="8.1818181818181807E-3"/>
    <n v="1.1000000000000001"/>
    <n v="0"/>
  </r>
  <r>
    <x v="15"/>
    <x v="2"/>
    <n v="2644000"/>
    <n v="182520000"/>
    <n v="1.4486083716852947E-2"/>
    <n v="3.9100000000000003E-3"/>
    <n v="0.26991422087745842"/>
    <n v="1.1000000000000001"/>
    <n v="3.5545454545454543E-3"/>
    <n v="1.1000000000000001"/>
    <n v="0"/>
  </r>
  <r>
    <x v="16"/>
    <x v="0"/>
    <n v="5431000"/>
    <n v="182520000"/>
    <n v="2.9755643217181677E-2"/>
    <n v="1.2352500000000001E-2"/>
    <n v="0.41513133861167378"/>
    <n v="0.26"/>
    <n v="4.7509615384615386E-2"/>
    <n v="0.26"/>
    <n v="0"/>
  </r>
  <r>
    <x v="16"/>
    <x v="1"/>
    <n v="5361000"/>
    <n v="182520000"/>
    <n v="2.9372123602892833E-2"/>
    <n v="1.1599999999999999E-2"/>
    <n v="0.39493228875209846"/>
    <n v="0.26"/>
    <n v="4.4615384615384612E-2"/>
    <n v="0.26"/>
    <n v="0"/>
  </r>
  <r>
    <x v="16"/>
    <x v="2"/>
    <n v="2644000"/>
    <n v="182520000"/>
    <n v="1.4486083716852947E-2"/>
    <n v="9.8600000000000007E-3"/>
    <n v="0.68065325264750387"/>
    <n v="0.26"/>
    <n v="3.7923076923076927E-2"/>
    <n v="0.26"/>
    <n v="0"/>
  </r>
  <r>
    <x v="17"/>
    <x v="0"/>
    <n v="508363303.81999999"/>
    <n v="87001901"/>
    <n v="5.8431286900271298"/>
    <n v="2.09879358938"/>
    <n v="0.35919003340832723"/>
    <n v="28.74"/>
    <n v="7.3026916819067506E-2"/>
    <n v="28.74"/>
    <n v="0"/>
  </r>
  <r>
    <x v="17"/>
    <x v="1"/>
    <n v="314799260.60000002"/>
    <n v="87001901"/>
    <n v="3.6183032437417664"/>
    <n v="1.8628371749999999"/>
    <n v="0.51483721775447411"/>
    <n v="28.74"/>
    <n v="6.4816881524008357E-2"/>
    <n v="28.74"/>
    <n v="0"/>
  </r>
  <r>
    <x v="17"/>
    <x v="2"/>
    <n v="313589945.75999999"/>
    <n v="87001901"/>
    <n v="3.6044033768871326"/>
    <n v="2.2732746009999998"/>
    <n v="0.63069372744935825"/>
    <n v="28.74"/>
    <n v="7.9097933228949202E-2"/>
    <n v="28.74"/>
    <n v="0"/>
  </r>
  <r>
    <x v="17"/>
    <x v="3"/>
    <n v="459012514.60000002"/>
    <n v="87001901"/>
    <n v="5.2758906337000617"/>
    <n v="2.646819604"/>
    <n v="0.50168204532013683"/>
    <n v="28.74"/>
    <n v="9.2095323729993045E-2"/>
    <n v="28.74"/>
    <n v="0"/>
  </r>
  <r>
    <x v="18"/>
    <x v="0"/>
    <n v="508363303.81999999"/>
    <n v="87001901"/>
    <n v="5.8431286900271298"/>
    <n v="2.308672948101"/>
    <n v="0.3951090367120223"/>
    <n v="25"/>
    <n v="9.2346917924039998E-2"/>
    <n v="25"/>
    <n v="0"/>
  </r>
  <r>
    <x v="18"/>
    <x v="1"/>
    <n v="314799260.60000002"/>
    <n v="87001901"/>
    <n v="3.6183032437417664"/>
    <n v="2.0491208919999999"/>
    <n v="0.56632093939173522"/>
    <n v="25"/>
    <n v="8.1964835680000001E-2"/>
    <n v="25"/>
    <n v="0"/>
  </r>
  <r>
    <x v="18"/>
    <x v="2"/>
    <n v="313589945.75999999"/>
    <n v="87001901"/>
    <n v="3.6044033768871326"/>
    <n v="2.5006020599999998"/>
    <n v="0.69376309988911189"/>
    <n v="25"/>
    <n v="0.10002408239999999"/>
    <n v="25"/>
    <n v="0"/>
  </r>
  <r>
    <x v="18"/>
    <x v="3"/>
    <n v="459012514.60000002"/>
    <n v="87001901"/>
    <n v="5.2758906337000617"/>
    <n v="2.911501565"/>
    <n v="0.55185024996587539"/>
    <n v="25"/>
    <n v="0.1164600626"/>
    <n v="25"/>
    <n v="0"/>
  </r>
  <r>
    <x v="19"/>
    <x v="0"/>
    <n v="476737173.38"/>
    <n v="349547945"/>
    <n v="1.3638677617744255"/>
    <n v="0.59109131800000003"/>
    <n v="0.43339342315047885"/>
    <n v="19.510000000000002"/>
    <n v="3.0296838441824705E-2"/>
    <n v="0"/>
    <n v="19.510000000000002"/>
  </r>
  <r>
    <x v="19"/>
    <x v="1"/>
    <n v="2023882601.55"/>
    <n v="349547945"/>
    <n v="5.79"/>
    <n v="1.7780234450000001"/>
    <n v="0.30708522366148533"/>
    <n v="19.510000000000002"/>
    <n v="9.1133954126089184E-2"/>
    <n v="0"/>
    <n v="19.510000000000002"/>
  </r>
  <r>
    <x v="19"/>
    <x v="2"/>
    <n v="1758226163.3499999"/>
    <n v="349547945"/>
    <n v="5.0299999999999994"/>
    <n v="1.5299646339999999"/>
    <n v="0.30416791928429426"/>
    <n v="19.510000000000002"/>
    <n v="7.8419509687339822E-2"/>
    <n v="0"/>
    <n v="19.510000000000002"/>
  </r>
  <r>
    <x v="19"/>
    <x v="3"/>
    <n v="961256848.75"/>
    <n v="349547945"/>
    <n v="2.75"/>
    <n v="0.86687395199999995"/>
    <n v="0.31522689163636364"/>
    <n v="19.510000000000002"/>
    <n v="4.4432288672475645E-2"/>
    <n v="0"/>
    <n v="19.510000000000002"/>
  </r>
  <r>
    <x v="20"/>
    <x v="0"/>
    <n v="476737173.38"/>
    <n v="349547945"/>
    <n v="1.3638677617744255"/>
    <n v="0.65020045000000004"/>
    <n v="0.47673276561216849"/>
    <n v="23.58"/>
    <n v="2.7574234520780325E-2"/>
    <n v="0"/>
    <n v="23.58"/>
  </r>
  <r>
    <x v="20"/>
    <x v="1"/>
    <n v="2023882601.55"/>
    <n v="349547945"/>
    <n v="5.79"/>
    <n v="1.955825792"/>
    <n v="0.33779374645941279"/>
    <n v="23.58"/>
    <n v="8.2944265988125529E-2"/>
    <n v="0"/>
    <n v="23.58"/>
  </r>
  <r>
    <x v="20"/>
    <x v="2"/>
    <n v="1758226163.3499999"/>
    <n v="349547945"/>
    <n v="5.0299999999999994"/>
    <n v="1.6829611"/>
    <n v="0.33458471172962229"/>
    <n v="23.58"/>
    <n v="7.1372396098388469E-2"/>
    <n v="0"/>
    <n v="23.58"/>
  </r>
  <r>
    <x v="20"/>
    <x v="3"/>
    <n v="961256848.75"/>
    <n v="349547945"/>
    <n v="2.75"/>
    <n v="0.953561349"/>
    <n v="0.34674958145454543"/>
    <n v="23.58"/>
    <n v="4.0439412595419853E-2"/>
    <n v="0"/>
    <n v="23.58"/>
  </r>
  <r>
    <x v="21"/>
    <x v="0"/>
    <n v="813227000"/>
    <n v="872473246"/>
    <n v="0.93209391087735427"/>
    <n v="0.32"/>
    <n v="0.34331304632040011"/>
    <n v="47.25"/>
    <n v="6.7724867724867728E-3"/>
    <n v="0"/>
    <n v="47.25"/>
  </r>
  <r>
    <x v="21"/>
    <x v="1"/>
    <n v="1367409000"/>
    <n v="872473246"/>
    <n v="1.5672790039913729"/>
    <n v="0.72453109900000001"/>
    <n v="0.46228597279415107"/>
    <n v="47.25"/>
    <n v="1.5333991513227514E-2"/>
    <n v="0"/>
    <n v="47.25"/>
  </r>
  <r>
    <x v="21"/>
    <x v="2"/>
    <n v="804106000"/>
    <n v="872473246"/>
    <n v="0.92163972211934164"/>
    <n v="0.30086882500000001"/>
    <n v="0.32644949840935888"/>
    <n v="47.25"/>
    <n v="6.3675941798941801E-3"/>
    <n v="0"/>
    <n v="47.25"/>
  </r>
  <r>
    <x v="22"/>
    <x v="0"/>
    <n v="63154000"/>
    <n v="73646388"/>
    <n v="0.85753017513907126"/>
    <n v="0.24782000000000001"/>
    <n v="0.28899274589353013"/>
    <n v="3.82"/>
    <n v="6.4874345549738227E-2"/>
    <n v="3.82"/>
    <n v="0"/>
  </r>
  <r>
    <x v="22"/>
    <x v="1"/>
    <n v="56638000"/>
    <n v="73646388"/>
    <n v="0.76905333089791184"/>
    <n v="0.22899"/>
    <n v="0.29775568325364593"/>
    <n v="3.82"/>
    <n v="5.9945026178010473E-2"/>
    <n v="3.82"/>
    <n v="0"/>
  </r>
  <r>
    <x v="22"/>
    <x v="2"/>
    <n v="50724000"/>
    <n v="73646388"/>
    <n v="0.6887506825181976"/>
    <n v="0.22311"/>
    <n v="0.32393434324343506"/>
    <n v="3.82"/>
    <n v="5.8405759162303665E-2"/>
    <n v="3.82"/>
    <n v="0"/>
  </r>
  <r>
    <x v="22"/>
    <x v="3"/>
    <n v="46296000"/>
    <n v="73646388"/>
    <n v="0.62862553422171907"/>
    <n v="0.19269"/>
    <n v="0.30652588784603418"/>
    <n v="3.82"/>
    <n v="5.0442408376963351E-2"/>
    <n v="3.82"/>
    <n v="0"/>
  </r>
  <r>
    <x v="23"/>
    <x v="0"/>
    <n v="63154000"/>
    <n v="73646388"/>
    <n v="0.85753017513907126"/>
    <n v="3.3640000000000003E-2"/>
    <n v="3.9228940246381863E-2"/>
    <n v="4"/>
    <n v="8.4100000000000008E-3"/>
    <n v="4"/>
    <n v="0"/>
  </r>
  <r>
    <x v="23"/>
    <x v="1"/>
    <n v="56638000"/>
    <n v="73646388"/>
    <n v="0.76905333089791184"/>
    <n v="1.0189999999999999E-2"/>
    <n v="1.3250056388290545E-2"/>
    <n v="4"/>
    <n v="2.5474999999999999E-3"/>
    <n v="4"/>
    <n v="0"/>
  </r>
  <r>
    <x v="23"/>
    <x v="2"/>
    <n v="50724000"/>
    <n v="73646388"/>
    <n v="0.6887506825181976"/>
    <n v="3.8589999999999999E-2"/>
    <n v="5.6028982590489711E-2"/>
    <n v="4"/>
    <n v="9.6474999999999998E-3"/>
    <n v="4"/>
    <n v="0"/>
  </r>
  <r>
    <x v="23"/>
    <x v="3"/>
    <n v="46296000"/>
    <n v="73646388"/>
    <n v="0.62862553422171907"/>
    <n v="6.8790000000000004E-2"/>
    <n v="0.10942921700622084"/>
    <n v="4"/>
    <n v="1.7197500000000001E-2"/>
    <n v="4"/>
    <n v="0"/>
  </r>
  <r>
    <x v="24"/>
    <x v="0"/>
    <n v="63154000"/>
    <n v="73646388"/>
    <n v="0.85753017513907126"/>
    <n v="3.058E-2"/>
    <n v="3.5660552697216331E-2"/>
    <n v="4.2"/>
    <n v="7.2809523809523801E-3"/>
    <n v="4.2"/>
    <n v="0"/>
  </r>
  <r>
    <x v="24"/>
    <x v="1"/>
    <n v="56638000"/>
    <n v="73646388"/>
    <n v="0.76905333089791184"/>
    <n v="2.5999999999999999E-3"/>
    <n v="3.380779843921042E-3"/>
    <n v="4.2"/>
    <n v="6.19047619047619E-4"/>
    <n v="4.2"/>
    <n v="0"/>
  </r>
  <r>
    <x v="24"/>
    <x v="2"/>
    <n v="50724000"/>
    <n v="73646388"/>
    <n v="0.6887506825181976"/>
    <n v="3.508E-2"/>
    <n v="5.0932798892831796E-2"/>
    <n v="4.2"/>
    <n v="8.3523809523809514E-3"/>
    <n v="4.2"/>
    <n v="0"/>
  </r>
  <r>
    <x v="24"/>
    <x v="3"/>
    <n v="46296000"/>
    <n v="73646388"/>
    <n v="0.62862553422171907"/>
    <n v="6.2530000000000002E-2"/>
    <n v="9.9470983273716951E-2"/>
    <n v="4.2"/>
    <n v="1.4888095238095238E-2"/>
    <n v="4.2"/>
    <n v="0"/>
  </r>
  <r>
    <x v="25"/>
    <x v="0"/>
    <n v="63154000"/>
    <n v="73646388"/>
    <n v="0.85753017513907126"/>
    <n v="0.20652000000000001"/>
    <n v="0.24083117537701496"/>
    <n v="3.27"/>
    <n v="6.3155963302752291E-2"/>
    <n v="3.27"/>
    <n v="0"/>
  </r>
  <r>
    <x v="25"/>
    <x v="1"/>
    <n v="56638000"/>
    <n v="73646388"/>
    <n v="0.76905333089791184"/>
    <n v="0.19086"/>
    <n v="0.24817524654260389"/>
    <n v="3.27"/>
    <n v="5.8366972477064218E-2"/>
    <n v="3.27"/>
    <n v="0"/>
  </r>
  <r>
    <x v="25"/>
    <x v="2"/>
    <n v="50724000"/>
    <n v="73646388"/>
    <n v="0.6887506825181976"/>
    <n v="0.18592"/>
    <n v="0.26993802651525906"/>
    <n v="3.27"/>
    <n v="5.6856269113149845E-2"/>
    <n v="3.27"/>
    <n v="0"/>
  </r>
  <r>
    <x v="25"/>
    <x v="3"/>
    <n v="46296000"/>
    <n v="73646388"/>
    <n v="0.62862553422171907"/>
    <n v="0.16084999999999999"/>
    <n v="0.25587570221617417"/>
    <n v="3.27"/>
    <n v="4.9189602446483176E-2"/>
    <n v="3.27"/>
    <n v="0"/>
  </r>
  <r>
    <x v="26"/>
    <x v="0"/>
    <n v="63154000"/>
    <n v="73646388"/>
    <n v="0.85753017513907126"/>
    <n v="0.49564999999999998"/>
    <n v="0.57799715318427969"/>
    <n v="5.96"/>
    <n v="8.3162751677852351E-2"/>
    <n v="5.96"/>
    <n v="0"/>
  </r>
  <r>
    <x v="26"/>
    <x v="1"/>
    <n v="56638000"/>
    <n v="73646388"/>
    <n v="0.76905333089791184"/>
    <n v="0.45779999999999998"/>
    <n v="0.59527731251809735"/>
    <n v="5.96"/>
    <n v="7.6812080536912755E-2"/>
    <n v="5.96"/>
    <n v="0"/>
  </r>
  <r>
    <x v="26"/>
    <x v="2"/>
    <n v="50724000"/>
    <n v="73646388"/>
    <n v="0.6887506825181976"/>
    <n v="0.44624000000000003"/>
    <n v="0.64789772457061756"/>
    <n v="5.96"/>
    <n v="7.4872483221476521E-2"/>
    <n v="5.96"/>
    <n v="0"/>
  </r>
  <r>
    <x v="26"/>
    <x v="3"/>
    <n v="46296000"/>
    <n v="73646388"/>
    <n v="0.62862553422171907"/>
    <n v="0.38367000000000001"/>
    <n v="0.61033155529548988"/>
    <n v="5.96"/>
    <n v="6.43741610738255E-2"/>
    <n v="5.96"/>
    <n v="0"/>
  </r>
  <r>
    <x v="27"/>
    <x v="0"/>
    <n v="63154000"/>
    <n v="73646388"/>
    <n v="0.85753017513907126"/>
    <n v="0.28913"/>
    <n v="0.33716597780726482"/>
    <n v="3.6"/>
    <n v="8.0313888888888893E-2"/>
    <n v="3.6"/>
    <n v="0"/>
  </r>
  <r>
    <x v="27"/>
    <x v="1"/>
    <n v="56638000"/>
    <n v="73646388"/>
    <n v="0.76905333089791184"/>
    <n v="0.26712000000000002"/>
    <n v="0.34733611996468805"/>
    <n v="3.6"/>
    <n v="7.4200000000000002E-2"/>
    <n v="3.6"/>
    <n v="0"/>
  </r>
  <r>
    <x v="27"/>
    <x v="2"/>
    <n v="50724000"/>
    <n v="73646388"/>
    <n v="0.6887506825181976"/>
    <n v="0.26029999999999998"/>
    <n v="0.37793065997161107"/>
    <n v="3.6"/>
    <n v="7.2305555555555553E-2"/>
    <n v="3.6"/>
    <n v="0"/>
  </r>
  <r>
    <x v="27"/>
    <x v="3"/>
    <n v="46296000"/>
    <n v="73646388"/>
    <n v="0.62862553422171907"/>
    <n v="0.22452"/>
    <n v="0.35716016575427684"/>
    <n v="3.6"/>
    <n v="6.2366666666666667E-2"/>
    <n v="3.6"/>
    <n v="0"/>
  </r>
  <r>
    <x v="28"/>
    <x v="0"/>
    <n v="63154000"/>
    <n v="73646388"/>
    <n v="0.85753017513907126"/>
    <n v="0.20652000000000001"/>
    <n v="0.24083117537701496"/>
    <n v="3.8"/>
    <n v="5.4347368421052637E-2"/>
    <n v="3.8"/>
    <n v="0"/>
  </r>
  <r>
    <x v="28"/>
    <x v="1"/>
    <n v="56638000"/>
    <n v="73646388"/>
    <n v="0.76905333089791184"/>
    <n v="0.19086"/>
    <n v="0.24817524654260389"/>
    <n v="3.8"/>
    <n v="5.0226315789473688E-2"/>
    <n v="3.8"/>
    <n v="0"/>
  </r>
  <r>
    <x v="28"/>
    <x v="2"/>
    <n v="50724000"/>
    <n v="73646388"/>
    <n v="0.6887506825181976"/>
    <n v="0.18592"/>
    <n v="0.26993802651525906"/>
    <n v="3.8"/>
    <n v="4.8926315789473686E-2"/>
    <n v="3.8"/>
    <n v="0"/>
  </r>
  <r>
    <x v="28"/>
    <x v="3"/>
    <n v="46296000"/>
    <n v="73646388"/>
    <n v="0.62862553422171907"/>
    <n v="0.16084999999999999"/>
    <n v="0.25587570221617417"/>
    <n v="3.8"/>
    <n v="4.2328947368421049E-2"/>
    <n v="3.8"/>
    <n v="0"/>
  </r>
  <r>
    <x v="29"/>
    <x v="0"/>
    <n v="66187000"/>
    <n v="90224492"/>
    <n v="0.73358129852368692"/>
    <n v="7.9699999999999993E-2"/>
    <n v="0.10864508154773594"/>
    <n v="6.61"/>
    <n v="1.2057488653555219E-2"/>
    <n v="6.61"/>
    <n v="0"/>
  </r>
  <r>
    <x v="29"/>
    <x v="1"/>
    <n v="67513447"/>
    <n v="90224492"/>
    <n v="0.74828292743393887"/>
    <n v="9.9199999999999997E-2"/>
    <n v="0.13257017681825667"/>
    <n v="6.61"/>
    <n v="1.5007564296520422E-2"/>
    <n v="6.61"/>
    <n v="0"/>
  </r>
  <r>
    <x v="29"/>
    <x v="2"/>
    <n v="82086317"/>
    <n v="90224492"/>
    <n v="0.90980082215370084"/>
    <n v="0.1905"/>
    <n v="0.20938648917577821"/>
    <n v="6.61"/>
    <n v="2.8819969742813919E-2"/>
    <n v="6.61"/>
    <n v="0"/>
  </r>
  <r>
    <x v="29"/>
    <x v="3"/>
    <n v="76789552"/>
    <n v="90224492"/>
    <n v="0.85109431261746538"/>
    <n v="0.1767"/>
    <n v="0.20761506378367722"/>
    <n v="6.61"/>
    <n v="2.6732223903177001E-2"/>
    <n v="6.61"/>
    <n v="0"/>
  </r>
  <r>
    <x v="30"/>
    <x v="0"/>
    <n v="66187000"/>
    <n v="90224492"/>
    <n v="0.73358129852368692"/>
    <n v="0.39119999999999999"/>
    <n v="0.53327422712012928"/>
    <n v="5.69"/>
    <n v="6.8752196836555354E-2"/>
    <n v="5.69"/>
    <n v="0"/>
  </r>
  <r>
    <x v="30"/>
    <x v="1"/>
    <n v="67513447"/>
    <n v="90224492"/>
    <n v="0.74828292743393887"/>
    <n v="0.37240000000000001"/>
    <n v="0.49767272023305226"/>
    <n v="5.69"/>
    <n v="6.5448154657293492E-2"/>
    <n v="5.69"/>
    <n v="0"/>
  </r>
  <r>
    <x v="30"/>
    <x v="2"/>
    <n v="82086317"/>
    <n v="90224492"/>
    <n v="0.90980082215370084"/>
    <n v="0.34889999999999999"/>
    <n v="0.3834905305691812"/>
    <n v="5.69"/>
    <n v="6.1318101933216164E-2"/>
    <n v="5.69"/>
    <n v="0"/>
  </r>
  <r>
    <x v="30"/>
    <x v="3"/>
    <n v="76789552"/>
    <n v="90224492"/>
    <n v="0.85109431261746538"/>
    <n v="0.3286"/>
    <n v="0.38609117124683834"/>
    <n v="5.69"/>
    <n v="5.7750439367311071E-2"/>
    <n v="5.69"/>
    <n v="0"/>
  </r>
  <r>
    <x v="31"/>
    <x v="0"/>
    <n v="-731143033.12"/>
    <n v="797265348"/>
    <n v="-0.91706360367238737"/>
    <n v="0"/>
    <s v=""/>
    <n v="16.3"/>
    <s v=""/>
    <n v="0"/>
    <n v="16.3"/>
  </r>
  <r>
    <x v="31"/>
    <x v="1"/>
    <n v="-525142000"/>
    <n v="797265348"/>
    <n v="-0.65867907255389713"/>
    <n v="0"/>
    <s v=""/>
    <n v="16.3"/>
    <s v=""/>
    <n v="0"/>
    <n v="16.3"/>
  </r>
  <r>
    <x v="31"/>
    <x v="2"/>
    <n v="1895309000"/>
    <n v="797265348"/>
    <n v="2.3772624820011616"/>
    <n v="0.83324714"/>
    <n v="0.35050699967240423"/>
    <n v="16.3"/>
    <n v="5.1119456441717788E-2"/>
    <n v="0"/>
    <n v="16.3"/>
  </r>
  <r>
    <x v="31"/>
    <x v="3"/>
    <n v="398491000"/>
    <n v="797265348"/>
    <n v="0.49982230006564893"/>
    <n v="0"/>
    <s v=""/>
    <n v="16.3"/>
    <s v=""/>
    <n v="0"/>
    <n v="16.3"/>
  </r>
  <r>
    <x v="32"/>
    <x v="0"/>
    <n v="-731143033.12"/>
    <n v="797265348"/>
    <n v="-0.91706360367238737"/>
    <n v="0"/>
    <s v=""/>
    <n v="20.38"/>
    <s v=""/>
    <n v="0"/>
    <n v="20.38"/>
  </r>
  <r>
    <x v="32"/>
    <x v="1"/>
    <n v="-525142000"/>
    <n v="797265348"/>
    <n v="-0.65867907255389713"/>
    <n v="0"/>
    <s v=""/>
    <n v="20.38"/>
    <s v=""/>
    <n v="0"/>
    <n v="20.38"/>
  </r>
  <r>
    <x v="32"/>
    <x v="2"/>
    <n v="1895309000"/>
    <n v="797265348"/>
    <n v="2.3772624820011616"/>
    <n v="0.83324714"/>
    <n v="0.35050699967240423"/>
    <n v="20.38"/>
    <n v="4.0885531894013741E-2"/>
    <n v="0"/>
    <n v="20.38"/>
  </r>
  <r>
    <x v="32"/>
    <x v="3"/>
    <n v="398491000"/>
    <n v="797265348"/>
    <n v="0.49982230006564893"/>
    <n v="0"/>
    <s v=""/>
    <n v="20.38"/>
    <s v=""/>
    <n v="0"/>
    <n v="20.38"/>
  </r>
  <r>
    <x v="33"/>
    <x v="0"/>
    <n v="-731143033.12"/>
    <n v="797265348"/>
    <n v="-0.91706360367238737"/>
    <n v="0"/>
    <s v=""/>
    <n v="10.1"/>
    <s v=""/>
    <n v="0"/>
    <n v="10.1"/>
  </r>
  <r>
    <x v="33"/>
    <x v="1"/>
    <n v="-525142000"/>
    <n v="797265348"/>
    <n v="-0.65867907255389713"/>
    <n v="0"/>
    <s v=""/>
    <n v="10.1"/>
    <s v=""/>
    <n v="0"/>
    <n v="10.1"/>
  </r>
  <r>
    <x v="33"/>
    <x v="2"/>
    <n v="1895309000"/>
    <n v="797265348"/>
    <n v="2.3772624820011616"/>
    <n v="0.60198830400000003"/>
    <n v="0.25322752895727813"/>
    <n v="10.1"/>
    <n v="5.9602802376237628E-2"/>
    <n v="0"/>
    <n v="10.1"/>
  </r>
  <r>
    <x v="33"/>
    <x v="3"/>
    <n v="398491000"/>
    <n v="797265348"/>
    <n v="0.49982230006564893"/>
    <n v="0"/>
    <s v=""/>
    <n v="10.1"/>
    <s v=""/>
    <n v="0"/>
    <n v="10.1"/>
  </r>
  <r>
    <x v="34"/>
    <x v="0"/>
    <n v="1741995406.21"/>
    <n v="457066306"/>
    <n v="3.8112531668654657"/>
    <n v="0.47533848406620999"/>
    <n v="0.12471973475778002"/>
    <n v="16.920000000000002"/>
    <n v="2.809329102046158E-2"/>
    <n v="0"/>
    <n v="16.920000000000002"/>
  </r>
  <r>
    <x v="34"/>
    <x v="1"/>
    <n v="478868368.80000001"/>
    <n v="457066306"/>
    <n v="1.0477000000083139"/>
    <n v="0.15065705026321699"/>
    <n v="0.14379789086763528"/>
    <n v="16.920000000000002"/>
    <n v="8.9040809848236983E-3"/>
    <n v="0"/>
    <n v="16.920000000000002"/>
  </r>
  <r>
    <x v="34"/>
    <x v="2"/>
    <n v="562602916.05999994"/>
    <n v="457066306"/>
    <n v="1.2309000000100641"/>
    <n v="0.16521896199328401"/>
    <n v="0.13422614509052982"/>
    <n v="16.920000000000002"/>
    <n v="9.7647140657969259E-3"/>
    <n v="0"/>
    <n v="16.920000000000002"/>
  </r>
  <r>
    <x v="34"/>
    <x v="3"/>
    <n v="2228426774.9000001"/>
    <n v="457066306"/>
    <n v="4.875499999993437"/>
    <n v="0.24224801190112999"/>
    <n v="4.968680379478127E-2"/>
    <n v="16.920000000000002"/>
    <n v="1.4317258386591605E-2"/>
    <n v="0"/>
    <n v="16.920000000000002"/>
  </r>
  <r>
    <x v="35"/>
    <x v="0"/>
    <n v="1216399447.4000001"/>
    <n v="312653445"/>
    <n v="3.8905678694824557"/>
    <n v="0.51"/>
    <n v="0.13108626223961567"/>
    <n v="17.93"/>
    <n v="2.8443948689347465E-2"/>
    <n v="0"/>
    <n v="17.93"/>
  </r>
  <r>
    <x v="35"/>
    <x v="1"/>
    <n v="335408130.56999999"/>
    <n v="312653445"/>
    <n v="1.072779257461884"/>
    <n v="0.19"/>
    <n v="0.17711006125297937"/>
    <n v="17.93"/>
    <n v="1.0596765197992191E-2"/>
    <n v="0"/>
    <n v="17.93"/>
  </r>
  <r>
    <x v="35"/>
    <x v="2"/>
    <n v="813367859.21000004"/>
    <n v="312653445"/>
    <n v="2.6014997506584328"/>
    <n v="0.11"/>
    <n v="4.2283302149907678E-2"/>
    <n v="17.93"/>
    <n v="6.1349693251533744E-3"/>
    <n v="0"/>
    <n v="17.93"/>
  </r>
  <r>
    <x v="36"/>
    <x v="0"/>
    <n v="818590368.54999995"/>
    <n v="408974477"/>
    <n v="2.0015683486038176"/>
    <n v="0.79800700000000002"/>
    <n v="0.39869085687563216"/>
    <n v="12.58"/>
    <n v="6.3434578696343405E-2"/>
    <n v="12.58"/>
    <n v="0"/>
  </r>
  <r>
    <x v="36"/>
    <x v="1"/>
    <n v="904348943.24000001"/>
    <n v="408974477"/>
    <n v="2.2112601008106432"/>
    <n v="0.840279"/>
    <n v="0.38000007312208794"/>
    <n v="12.58"/>
    <n v="6.679483306836248E-2"/>
    <n v="12.58"/>
    <n v="0"/>
  </r>
  <r>
    <x v="37"/>
    <x v="0"/>
    <n v="818590368.54999995"/>
    <n v="408974477"/>
    <n v="2.0015683486038176"/>
    <n v="0.82645999999999997"/>
    <n v="0.41290620956136337"/>
    <n v="15.72"/>
    <n v="5.2573791348600504E-2"/>
    <n v="15.72"/>
    <n v="0"/>
  </r>
  <r>
    <x v="37"/>
    <x v="1"/>
    <n v="904348943.24000001"/>
    <n v="408974477"/>
    <n v="2.2112601008106432"/>
    <n v="0.82327300000000003"/>
    <n v="0.37230943555585794"/>
    <n v="15.72"/>
    <n v="5.2371055979643769E-2"/>
    <n v="15.72"/>
    <n v="0"/>
  </r>
  <r>
    <x v="38"/>
    <x v="0"/>
    <n v="818590368.54999995"/>
    <n v="408974477"/>
    <n v="2.0015683486038176"/>
    <n v="0.79800700000000002"/>
    <n v="0.39869085687563216"/>
    <n v="12.63"/>
    <n v="6.3183452098178938E-2"/>
    <n v="12.63"/>
    <n v="0"/>
  </r>
  <r>
    <x v="38"/>
    <x v="1"/>
    <n v="904348943.24000001"/>
    <n v="408974477"/>
    <n v="2.2112601008106432"/>
    <n v="0.84058699999999997"/>
    <n v="0.3801393602190184"/>
    <n v="12.63"/>
    <n v="6.6554790182106097E-2"/>
    <n v="12.63"/>
    <n v="0"/>
  </r>
  <r>
    <x v="39"/>
    <x v="0"/>
    <n v="215388793.88999999"/>
    <n v="36304650"/>
    <n v="5.9328156004809296"/>
    <n v="1.375"/>
    <n v="0.23176179618468826"/>
    <n v="29.02"/>
    <n v="4.7381116471399039E-2"/>
    <n v="29.02"/>
    <n v="0"/>
  </r>
  <r>
    <x v="39"/>
    <x v="1"/>
    <n v="96039575.989999995"/>
    <n v="36304650"/>
    <n v="2.6453794759073559"/>
    <n v="0.59060447900000002"/>
    <n v="0.22325888757318069"/>
    <n v="29.02"/>
    <n v="2.0351636078566507E-2"/>
    <n v="29.02"/>
    <n v="0"/>
  </r>
  <r>
    <x v="39"/>
    <x v="2"/>
    <n v="196040834.49000001"/>
    <n v="36304650"/>
    <n v="5.3998822324412989"/>
    <n v="0.52209249599999996"/>
    <n v="9.6685904159795125E-2"/>
    <n v="29.02"/>
    <n v="1.7990782081323223E-2"/>
    <n v="29.02"/>
    <n v="0"/>
  </r>
  <r>
    <x v="39"/>
    <x v="3"/>
    <n v="190454809.5"/>
    <n v="36304650"/>
    <n v="5.2460169565055716"/>
    <n v="0.18859646699999999"/>
    <n v="3.5950411247932017E-2"/>
    <n v="29.02"/>
    <n v="6.4988444865609922E-3"/>
    <n v="29.02"/>
    <n v="0"/>
  </r>
  <r>
    <x v="40"/>
    <x v="0"/>
    <n v="215388793.88999999"/>
    <n v="36304650"/>
    <n v="5.9328156004809296"/>
    <n v="1.5129999999999999"/>
    <n v="0.2550222528199515"/>
    <n v="29.99"/>
    <n v="5.0450150050016671E-2"/>
    <n v="29.99"/>
    <n v="0"/>
  </r>
  <r>
    <x v="40"/>
    <x v="1"/>
    <n v="96039575.989999995"/>
    <n v="36304650"/>
    <n v="2.6453794759073559"/>
    <n v="0.649664927"/>
    <n v="0.24558477636830051"/>
    <n v="29.99"/>
    <n v="2.1662718472824277E-2"/>
    <n v="29.99"/>
    <n v="0"/>
  </r>
  <r>
    <x v="40"/>
    <x v="2"/>
    <n v="196040834.49000001"/>
    <n v="36304650"/>
    <n v="5.3998822324412989"/>
    <n v="1.954906128"/>
    <n v="0.3620275487223325"/>
    <n v="29.99"/>
    <n v="6.5185266022007332E-2"/>
    <n v="29.99"/>
    <n v="0"/>
  </r>
  <r>
    <x v="40"/>
    <x v="3"/>
    <n v="190454809.5"/>
    <n v="36304650"/>
    <n v="5.2460169565055716"/>
    <n v="1.4895923250000001"/>
    <n v="0.28394729512888067"/>
    <n v="29.99"/>
    <n v="4.9669634044681568E-2"/>
    <n v="29.99"/>
    <n v="0"/>
  </r>
  <r>
    <x v="41"/>
    <x v="0"/>
    <n v="21418024.760000002"/>
    <n v="715094432"/>
    <n v="2.995132363161793E-2"/>
    <n v="7.6962999999999997E-3"/>
    <n v="0.25696026308084252"/>
    <n v="4.12"/>
    <n v="1.8680339805825241E-3"/>
    <n v="4.12"/>
    <n v="0"/>
  </r>
  <r>
    <x v="41"/>
    <x v="1"/>
    <n v="7903625"/>
    <n v="715094432"/>
    <n v="1.1052561237115044E-2"/>
    <n v="3.2377399999999998E-3"/>
    <n v="0.29294024530056523"/>
    <n v="4.12"/>
    <n v="7.8585922330097078E-4"/>
    <n v="4.12"/>
    <n v="0"/>
  </r>
  <r>
    <x v="41"/>
    <x v="2"/>
    <n v="-11477601"/>
    <n v="715094432"/>
    <n v="-1.6050468981976356E-2"/>
    <n v="0"/>
    <s v=""/>
    <n v="4.12"/>
    <s v=""/>
    <n v="4.12"/>
    <n v="0"/>
  </r>
  <r>
    <x v="41"/>
    <x v="3"/>
    <n v="32515448"/>
    <n v="715094432"/>
    <n v="4.5470145682801236E-2"/>
    <n v="1.1338000000000001E-2"/>
    <n v="0.24935042168313351"/>
    <n v="4.12"/>
    <n v="2.7519417475728157E-3"/>
    <n v="4.12"/>
    <n v="0"/>
  </r>
  <r>
    <x v="42"/>
    <x v="0"/>
    <n v="153035960.99000001"/>
    <n v="83000000"/>
    <n v="1.8438067589156628"/>
    <n v="0.87951522900000001"/>
    <n v="0.47701052442027075"/>
    <n v="21"/>
    <n v="4.188167757142857E-2"/>
    <n v="0"/>
    <n v="21"/>
  </r>
  <r>
    <x v="42"/>
    <x v="1"/>
    <n v="113733898.18000001"/>
    <n v="83000000"/>
    <n v="1.3702879298795181"/>
    <n v="0"/>
    <s v=""/>
    <n v="21"/>
    <s v=""/>
    <n v="0"/>
    <n v="21"/>
  </r>
  <r>
    <x v="42"/>
    <x v="2"/>
    <n v="93892304.709999993"/>
    <n v="83000000"/>
    <n v="1.1312325868674697"/>
    <n v="0"/>
    <s v=""/>
    <n v="21"/>
    <s v=""/>
    <n v="0"/>
    <n v="21"/>
  </r>
  <r>
    <x v="43"/>
    <x v="0"/>
    <n v="55498182.030000001"/>
    <n v="9183458"/>
    <n v="6.0432771653118031"/>
    <n v="2.4664000000000001"/>
    <n v="0.40812293272879302"/>
    <n v="16.510000000000002"/>
    <n v="0.14938824954572985"/>
    <n v="16.510000000000002"/>
    <n v="0"/>
  </r>
  <r>
    <x v="43"/>
    <x v="1"/>
    <n v="26190000"/>
    <n v="9183458"/>
    <n v="2.8518669111352173"/>
    <n v="0"/>
    <s v=""/>
    <n v="16.510000000000002"/>
    <s v=""/>
    <n v="16.510000000000002"/>
    <n v="0"/>
  </r>
  <r>
    <x v="43"/>
    <x v="2"/>
    <n v="2049000"/>
    <n v="9183458"/>
    <n v="0.22311856819076212"/>
    <n v="0"/>
    <s v=""/>
    <n v="16.510000000000002"/>
    <s v=""/>
    <n v="16.510000000000002"/>
    <n v="0"/>
  </r>
  <r>
    <x v="43"/>
    <x v="3"/>
    <n v="48919970.259999998"/>
    <n v="9183458"/>
    <n v="5.3269661885533743"/>
    <n v="2.8779460000000001"/>
    <n v="0.540259858638516"/>
    <n v="16.510000000000002"/>
    <n v="0.1743153240460327"/>
    <n v="16.510000000000002"/>
    <n v="0"/>
  </r>
  <r>
    <x v="44"/>
    <x v="0"/>
    <n v="55498182.030000001"/>
    <n v="9183458"/>
    <n v="6.0432771653118031"/>
    <n v="4.5993199999999996"/>
    <n v="0.76106388540309444"/>
    <n v="25.02"/>
    <n v="0.18382573940847322"/>
    <n v="25.02"/>
    <n v="0"/>
  </r>
  <r>
    <x v="44"/>
    <x v="1"/>
    <n v="26190000"/>
    <n v="9183458"/>
    <n v="2.8518669111352173"/>
    <n v="0"/>
    <s v=""/>
    <n v="25.02"/>
    <s v=""/>
    <n v="25.02"/>
    <n v="0"/>
  </r>
  <r>
    <x v="44"/>
    <x v="2"/>
    <n v="2049000"/>
    <n v="9183458"/>
    <n v="0.22311856819076212"/>
    <n v="0"/>
    <s v=""/>
    <n v="25.02"/>
    <s v=""/>
    <n v="25.02"/>
    <n v="0"/>
  </r>
  <r>
    <x v="44"/>
    <x v="3"/>
    <n v="48919970.259999998"/>
    <n v="9183458"/>
    <n v="5.3269661885533743"/>
    <n v="0"/>
    <s v=""/>
    <n v="25.02"/>
    <s v=""/>
    <n v="25.02"/>
    <n v="0"/>
  </r>
  <r>
    <x v="45"/>
    <x v="0"/>
    <n v="55498182.030000001"/>
    <n v="9183458"/>
    <n v="6.0432771653118031"/>
    <n v="3.7692600000000001"/>
    <n v="0.62371125746729261"/>
    <n v="17.079999999999998"/>
    <n v="0.22068266978922718"/>
    <n v="17.079999999999998"/>
    <n v="0"/>
  </r>
  <r>
    <x v="45"/>
    <x v="1"/>
    <n v="26190000"/>
    <n v="9183458"/>
    <n v="2.8518669111352173"/>
    <n v="0"/>
    <s v=""/>
    <n v="17.079999999999998"/>
    <s v=""/>
    <n v="17.079999999999998"/>
    <n v="0"/>
  </r>
  <r>
    <x v="45"/>
    <x v="2"/>
    <n v="2049000"/>
    <n v="9183458"/>
    <n v="0.22311856819076212"/>
    <n v="0"/>
    <s v=""/>
    <n v="17.079999999999998"/>
    <s v=""/>
    <n v="17.079999999999998"/>
    <n v="0"/>
  </r>
  <r>
    <x v="45"/>
    <x v="3"/>
    <n v="48919970.259999998"/>
    <n v="9183458"/>
    <n v="5.3269661885533743"/>
    <n v="4.3982070000000002"/>
    <n v="0.82564950561370198"/>
    <n v="17.079999999999998"/>
    <n v="0.25750626463700238"/>
    <n v="17.079999999999998"/>
    <n v="0"/>
  </r>
  <r>
    <x v="46"/>
    <x v="0"/>
    <n v="805497405.55999994"/>
    <n v="188177338"/>
    <n v="4.2805229052607805"/>
    <n v="2.3192654978"/>
    <n v="0.54181826592952298"/>
    <n v="32"/>
    <n v="7.2477046806250001E-2"/>
    <n v="32"/>
    <n v="0"/>
  </r>
  <r>
    <x v="46"/>
    <x v="1"/>
    <n v="750490000"/>
    <n v="188177338"/>
    <n v="3.988206061242082"/>
    <n v="4.4176596381"/>
    <n v="1.1076808896690182"/>
    <n v="32"/>
    <n v="0.138051863690625"/>
    <n v="32"/>
    <n v="0"/>
  </r>
  <r>
    <x v="46"/>
    <x v="2"/>
    <n v="945719000"/>
    <n v="188177338"/>
    <n v="5.0256795534008454"/>
    <n v="3.6718683019"/>
    <n v="0.73062125487393448"/>
    <n v="32"/>
    <n v="0.114745884434375"/>
    <n v="32"/>
    <n v="0"/>
  </r>
  <r>
    <x v="46"/>
    <x v="3"/>
    <n v="887625000"/>
    <n v="188177338"/>
    <n v="4.7169601261975549"/>
    <n v="3.24332932"/>
    <n v="0.68758887784250122"/>
    <n v="32"/>
    <n v="0.10135404125"/>
    <n v="32"/>
    <n v="0"/>
  </r>
  <r>
    <x v="47"/>
    <x v="0"/>
    <n v="805497405.55999994"/>
    <n v="188177338"/>
    <n v="4.2805229052607805"/>
    <n v="2.3192654978"/>
    <n v="0.54181826592952298"/>
    <n v="32.01"/>
    <n v="7.2454404804748518E-2"/>
    <n v="32.01"/>
    <n v="0"/>
  </r>
  <r>
    <x v="47"/>
    <x v="1"/>
    <n v="750490000"/>
    <n v="188177338"/>
    <n v="3.988206061242082"/>
    <n v="4.4176596381"/>
    <n v="1.1076808896690182"/>
    <n v="32.01"/>
    <n v="0.13800873596063731"/>
    <n v="32.01"/>
    <n v="0"/>
  </r>
  <r>
    <x v="47"/>
    <x v="2"/>
    <n v="945719000"/>
    <n v="188177338"/>
    <n v="5.0256795534008454"/>
    <n v="3.6718683019"/>
    <n v="0.73062125487393448"/>
    <n v="32.01"/>
    <n v="0.11471003754764136"/>
    <n v="32.01"/>
    <n v="0"/>
  </r>
  <r>
    <x v="47"/>
    <x v="3"/>
    <n v="887625000"/>
    <n v="188177338"/>
    <n v="4.7169601261975549"/>
    <n v="3.24332932"/>
    <n v="0.68758887784250122"/>
    <n v="32.01"/>
    <n v="0.10132237800687285"/>
    <n v="32.01"/>
    <n v="0"/>
  </r>
  <r>
    <x v="48"/>
    <x v="0"/>
    <n v="15128479.970000001"/>
    <n v="74612388"/>
    <n v="0.20276096738788202"/>
    <n v="0.20233950000000001"/>
    <n v="0.99792135836935647"/>
    <n v="18"/>
    <n v="1.1241083333333334E-2"/>
    <n v="18"/>
    <n v="0"/>
  </r>
  <r>
    <x v="48"/>
    <x v="1"/>
    <n v="283416000"/>
    <n v="74612388"/>
    <n v="3.7985113142337705"/>
    <n v="3.2507519999999999"/>
    <n v="0.85579631889440255"/>
    <n v="18"/>
    <n v="0.18059733333333333"/>
    <n v="18"/>
    <n v="0"/>
  </r>
  <r>
    <x v="48"/>
    <x v="2"/>
    <n v="448291000"/>
    <n v="74612388"/>
    <n v="6.0082650082182063"/>
    <n v="3.3315596300000001"/>
    <n v="0.55449611916968322"/>
    <n v="18"/>
    <n v="0.18508664611111111"/>
    <n v="18"/>
    <n v="0"/>
  </r>
  <r>
    <x v="48"/>
    <x v="2"/>
    <n v="586949000"/>
    <n v="74612388"/>
    <n v="7.866642734983901"/>
    <n v="4.429843"/>
    <n v="0.56311734868801888"/>
    <n v="18"/>
    <n v="0.24610238888888888"/>
    <n v="18"/>
    <n v="0"/>
  </r>
  <r>
    <x v="49"/>
    <x v="0"/>
    <n v="15128479.970000001"/>
    <n v="74612388"/>
    <n v="0.20276096738788202"/>
    <n v="0.22263450000000001"/>
    <n v="1.0980145876602565"/>
    <n v="21.51"/>
    <n v="1.0350278940027893E-2"/>
    <n v="21.51"/>
    <n v="0"/>
  </r>
  <r>
    <x v="49"/>
    <x v="1"/>
    <n v="283416000"/>
    <n v="74612388"/>
    <n v="3.7985113142337705"/>
    <n v="3.5758272"/>
    <n v="0.94137595078384284"/>
    <n v="21.51"/>
    <n v="0.1662402231520223"/>
    <n v="21.51"/>
    <n v="0"/>
  </r>
  <r>
    <x v="49"/>
    <x v="2"/>
    <n v="448291000"/>
    <n v="74612388"/>
    <n v="6.0082650082182063"/>
    <n v="3.6647560000000001"/>
    <n v="0.60995245632262973"/>
    <n v="21.51"/>
    <n v="0.17037452347745233"/>
    <n v="21.51"/>
    <n v="0"/>
  </r>
  <r>
    <x v="49"/>
    <x v="2"/>
    <n v="586949000"/>
    <n v="74612388"/>
    <n v="7.866642734983901"/>
    <n v="4.8728273"/>
    <n v="0.6194290835568208"/>
    <n v="21.51"/>
    <n v="0.22653776383077637"/>
    <n v="21.51"/>
    <n v="0"/>
  </r>
  <r>
    <x v="50"/>
    <x v="0"/>
    <n v="147982000"/>
    <n v="327502673"/>
    <n v="0.4518497471927504"/>
    <n v="1.1599999999999999"/>
    <n v="2.5672250725088186"/>
    <n v="19.989999999999998"/>
    <n v="5.8029014507253625E-2"/>
    <n v="19.989999999999998"/>
    <n v="0"/>
  </r>
  <r>
    <x v="50"/>
    <x v="1"/>
    <n v="108581000"/>
    <n v="327502673"/>
    <n v="0.33154233217510259"/>
    <n v="1.6978355000000001"/>
    <n v="5.121021767752107"/>
    <n v="19.989999999999998"/>
    <n v="8.4934242121060544E-2"/>
    <n v="19.989999999999998"/>
    <n v="0"/>
  </r>
  <r>
    <x v="50"/>
    <x v="2"/>
    <n v="93042000"/>
    <n v="327502673"/>
    <n v="0.28409539118479193"/>
    <n v="0.70331069999999996"/>
    <n v="2.475614606301467"/>
    <n v="19.989999999999998"/>
    <n v="3.5183126563281639E-2"/>
    <n v="19.989999999999998"/>
    <n v="0"/>
  </r>
  <r>
    <x v="51"/>
    <x v="0"/>
    <n v="147982000"/>
    <n v="327502673"/>
    <n v="0.4518497471927504"/>
    <n v="1.82"/>
    <n v="4.027887613763836"/>
    <n v="23.25"/>
    <n v="7.8279569892473116E-2"/>
    <n v="23.25"/>
    <n v="0"/>
  </r>
  <r>
    <x v="51"/>
    <x v="1"/>
    <n v="108581000"/>
    <n v="327502673"/>
    <n v="0.33154233217510259"/>
    <n v="1.8245449413999999"/>
    <n v="5.5032035560284793"/>
    <n v="23.25"/>
    <n v="7.8475051243010754E-2"/>
    <n v="23.25"/>
    <n v="0"/>
  </r>
  <r>
    <x v="51"/>
    <x v="2"/>
    <n v="93042000"/>
    <n v="327502673"/>
    <n v="0.28409539118479193"/>
    <n v="1.8245449413999999"/>
    <n v="6.4222968693399576"/>
    <n v="23.25"/>
    <n v="7.8475051243010754E-2"/>
    <n v="23.25"/>
    <n v="0"/>
  </r>
  <r>
    <x v="52"/>
    <x v="0"/>
    <n v="147982000"/>
    <n v="327502673"/>
    <n v="0.4518497471927504"/>
    <n v="1.1599999999999999"/>
    <n v="2.5672250725088186"/>
    <n v="22.42"/>
    <n v="5.1739518287243526E-2"/>
    <n v="22.42"/>
    <n v="0"/>
  </r>
  <r>
    <x v="52"/>
    <x v="1"/>
    <n v="108581000"/>
    <n v="327502673"/>
    <n v="0.33154233217510259"/>
    <n v="1.4108145000000001"/>
    <n v="4.2553072808056518"/>
    <n v="22.42"/>
    <n v="6.2926605709188219E-2"/>
    <n v="22.42"/>
    <n v="0"/>
  </r>
  <r>
    <x v="52"/>
    <x v="2"/>
    <n v="93042000"/>
    <n v="327502673"/>
    <n v="0.28409539118479193"/>
    <n v="0.70331069999999996"/>
    <n v="2.475614606301467"/>
    <n v="22.42"/>
    <n v="3.1369790365744867E-2"/>
    <n v="22.42"/>
    <n v="0"/>
  </r>
  <r>
    <x v="53"/>
    <x v="0"/>
    <n v="11833190.779999999"/>
    <n v="24948000"/>
    <n v="0.47431420474587138"/>
    <n v="5.0590000000000003E-2"/>
    <n v="0.10665925560273948"/>
    <n v="7.08"/>
    <n v="7.1454802259887009E-3"/>
    <n v="0"/>
    <n v="7.08"/>
  </r>
  <r>
    <x v="53"/>
    <x v="1"/>
    <n v="-9978849.7799999993"/>
    <n v="24948000"/>
    <n v="-0.39998596200096198"/>
    <n v="0"/>
    <s v=""/>
    <n v="7.08"/>
    <s v=""/>
    <n v="0"/>
    <n v="7.08"/>
  </r>
  <r>
    <x v="53"/>
    <x v="2"/>
    <n v="9148149.2799999993"/>
    <n v="24948000"/>
    <n v="0.36668868366201696"/>
    <n v="9.9110000000000004E-2"/>
    <n v="0.27028377044586227"/>
    <n v="7.08"/>
    <n v="1.399858757062147E-2"/>
    <n v="0"/>
    <n v="7.08"/>
  </r>
  <r>
    <x v="53"/>
    <x v="3"/>
    <n v="8891946.6600000001"/>
    <n v="24948000"/>
    <n v="0.35641921837421836"/>
    <n v="8.3030000000000007E-2"/>
    <n v="0.23295601280631167"/>
    <n v="7.08"/>
    <n v="1.1727401129943504E-2"/>
    <n v="0"/>
    <n v="7.08"/>
  </r>
  <r>
    <x v="54"/>
    <x v="0"/>
    <n v="11833190.779999999"/>
    <n v="24948000"/>
    <n v="0.47431420474587138"/>
    <n v="5.5649999999999998E-2"/>
    <n v="0.11732728947010183"/>
    <n v="15.09"/>
    <n v="3.687872763419483E-3"/>
    <n v="0"/>
    <n v="15.09"/>
  </r>
  <r>
    <x v="54"/>
    <x v="1"/>
    <n v="-9978849.7799999993"/>
    <n v="24948000"/>
    <n v="-0.39998596200096198"/>
    <n v="0"/>
    <s v=""/>
    <n v="15.09"/>
    <s v=""/>
    <n v="0"/>
    <n v="15.09"/>
  </r>
  <r>
    <x v="54"/>
    <x v="2"/>
    <n v="9148149.2799999993"/>
    <n v="24948000"/>
    <n v="0.36668868366201696"/>
    <n v="0.10902000000000001"/>
    <n v="0.29730942038147418"/>
    <n v="15.09"/>
    <n v="7.2246520874751493E-3"/>
    <n v="0"/>
    <n v="15.09"/>
  </r>
  <r>
    <x v="54"/>
    <x v="3"/>
    <n v="8891946.6600000001"/>
    <n v="24948000"/>
    <n v="0.35641921837421836"/>
    <n v="9.1329999999999995E-2"/>
    <n v="0.25624319703240322"/>
    <n v="15.09"/>
    <n v="6.0523525513585157E-3"/>
    <n v="0"/>
    <n v="15.09"/>
  </r>
  <r>
    <x v="55"/>
    <x v="0"/>
    <n v="-258366398.66"/>
    <n v="38571591"/>
    <n v="-6.6983599058695811"/>
    <n v="0"/>
    <s v=""/>
    <n v="16.98"/>
    <s v=""/>
    <n v="16.98"/>
    <n v="0"/>
  </r>
  <r>
    <x v="55"/>
    <x v="1"/>
    <n v="323886563.73000002"/>
    <n v="38571591"/>
    <n v="8.3970236988668692"/>
    <n v="2.2201449599999998"/>
    <n v="0.26439665286398989"/>
    <n v="16.98"/>
    <n v="0.13075058657243815"/>
    <n v="16.98"/>
    <n v="0"/>
  </r>
  <r>
    <x v="55"/>
    <x v="2"/>
    <n v="259841000"/>
    <n v="38571591"/>
    <n v="6.7365901499888867"/>
    <n v="2.09736089"/>
    <n v="0.31133865105382136"/>
    <n v="16.98"/>
    <n v="0.12351948704358068"/>
    <n v="16.98"/>
    <n v="0"/>
  </r>
  <r>
    <x v="55"/>
    <x v="3"/>
    <n v="120919000"/>
    <n v="38571591"/>
    <n v="3.1349238355244409"/>
    <n v="0.97620123000000003"/>
    <n v="0.31139551747249755"/>
    <n v="16.98"/>
    <n v="5.7491238515901058E-2"/>
    <n v="16.98"/>
    <n v="0"/>
  </r>
  <r>
    <x v="55"/>
    <x v="4"/>
    <n v="245522000"/>
    <n v="38571591"/>
    <n v="6.3653583799537854"/>
    <n v="1.9821435199999999"/>
    <n v="0.31139543159773997"/>
    <n v="16.98"/>
    <n v="0.116734011778563"/>
    <n v="16.98"/>
    <n v="0"/>
  </r>
  <r>
    <x v="56"/>
    <x v="0"/>
    <n v="4271685000"/>
    <n v="962672385"/>
    <n v="4.4373195560190499"/>
    <n v="1.4286055"/>
    <n v="0.32195235929360838"/>
    <n v="14.28"/>
    <n v="0.10004240196078432"/>
    <n v="14.28"/>
    <n v="0"/>
  </r>
  <r>
    <x v="56"/>
    <x v="1"/>
    <n v="2415450000"/>
    <n v="962672385"/>
    <n v="2.5091090568677732"/>
    <n v="1.9"/>
    <n v="0.75724089983232934"/>
    <n v="14.28"/>
    <n v="0.13305322128851541"/>
    <n v="14.28"/>
    <n v="0"/>
  </r>
  <r>
    <x v="56"/>
    <x v="2"/>
    <n v="2257976000"/>
    <n v="962672385"/>
    <n v="2.3455290036184011"/>
    <n v="1.75"/>
    <n v="0.74610034550854398"/>
    <n v="14.28"/>
    <n v="0.12254901960784315"/>
    <n v="14.28"/>
    <n v="0"/>
  </r>
  <r>
    <x v="56"/>
    <x v="3"/>
    <n v="1861403000"/>
    <n v="962672385"/>
    <n v="1.9335788883151561"/>
    <n v="1.5"/>
    <n v="0.77576353830954392"/>
    <n v="14.28"/>
    <n v="0.10504201680672269"/>
    <n v="14.28"/>
    <n v="0"/>
  </r>
  <r>
    <x v="57"/>
    <x v="0"/>
    <n v="4271685000"/>
    <n v="962672385"/>
    <n v="4.4373195560190499"/>
    <n v="1.4286055"/>
    <n v="0.32195235929360838"/>
    <n v="14.01"/>
    <n v="0.10197041399000714"/>
    <n v="14.01"/>
    <n v="0"/>
  </r>
  <r>
    <x v="57"/>
    <x v="1"/>
    <n v="2415450000"/>
    <n v="962672385"/>
    <n v="2.5091090568677732"/>
    <n v="1.9"/>
    <n v="0.75724089983232934"/>
    <n v="14.01"/>
    <n v="0.13561741613133477"/>
    <n v="14.01"/>
    <n v="0"/>
  </r>
  <r>
    <x v="57"/>
    <x v="2"/>
    <n v="2257976000"/>
    <n v="962672385"/>
    <n v="2.3455290036184011"/>
    <n v="1.75"/>
    <n v="0.74610034550854398"/>
    <n v="14.01"/>
    <n v="0.12491077801570308"/>
    <n v="14.01"/>
    <n v="0"/>
  </r>
  <r>
    <x v="57"/>
    <x v="3"/>
    <n v="1861403000"/>
    <n v="962672385"/>
    <n v="1.9335788883151561"/>
    <n v="1.5"/>
    <n v="0.77576353830954392"/>
    <n v="14.01"/>
    <n v="0.10706638115631692"/>
    <n v="14.01"/>
    <n v="0"/>
  </r>
  <r>
    <x v="58"/>
    <x v="0"/>
    <n v="400000153.68000001"/>
    <n v="77855299"/>
    <n v="5.1377383276120998"/>
    <n v="2.7486247275000002"/>
    <n v="0.53498729445364657"/>
    <n v="46"/>
    <n v="5.9752711467391306E-2"/>
    <n v="46"/>
    <n v="0"/>
  </r>
  <r>
    <x v="58"/>
    <x v="1"/>
    <n v="471181647.69999999"/>
    <n v="77855299"/>
    <n v="6.0520177014540781"/>
    <n v="3.5452297189999999"/>
    <n v="0.58579301877260059"/>
    <n v="46"/>
    <n v="7.70702112826087E-2"/>
    <n v="46"/>
    <n v="0"/>
  </r>
  <r>
    <x v="58"/>
    <x v="2"/>
    <n v="458054165.95999998"/>
    <n v="77855299"/>
    <n v="5.8834038510339548"/>
    <n v="4.272592929"/>
    <n v="0.72621105692908205"/>
    <n v="46"/>
    <n v="9.2882454978260864E-2"/>
    <n v="46"/>
    <n v="0"/>
  </r>
  <r>
    <x v="59"/>
    <x v="0"/>
    <n v="400000153.68000001"/>
    <n v="77855299"/>
    <n v="5.1377383276120998"/>
    <n v="2.7486247275000002"/>
    <n v="0.53498729445364657"/>
    <n v="43.19"/>
    <n v="6.3640303947673074E-2"/>
    <n v="43.19"/>
    <n v="0"/>
  </r>
  <r>
    <x v="59"/>
    <x v="1"/>
    <n v="471181647.69999999"/>
    <n v="77855299"/>
    <n v="6.0520177014540781"/>
    <n v="3.5452297189999999"/>
    <n v="0.58579301877260059"/>
    <n v="43.19"/>
    <n v="8.2084503797175273E-2"/>
    <n v="43.19"/>
    <n v="0"/>
  </r>
  <r>
    <x v="59"/>
    <x v="2"/>
    <n v="458054165.95999998"/>
    <n v="77855299"/>
    <n v="5.8834038510339548"/>
    <n v="4.272592929"/>
    <n v="0.72621105692908205"/>
    <n v="43.19"/>
    <n v="9.8925513521648537E-2"/>
    <n v="43.19"/>
    <n v="0"/>
  </r>
  <r>
    <x v="60"/>
    <x v="0"/>
    <n v="1225923257.8099999"/>
    <n v="962274260"/>
    <n v="1.2739852958448665"/>
    <n v="1.139118233"/>
    <n v="0.89413766133350314"/>
    <n v="18.16"/>
    <n v="6.2726774944933922E-2"/>
    <n v="18.16"/>
    <n v="0"/>
  </r>
  <r>
    <x v="60"/>
    <x v="1"/>
    <n v="1572292596.6700001"/>
    <n v="962274260"/>
    <n v="1.6339339645954991"/>
    <n v="1.5653283019999999"/>
    <n v="0.9580119735056225"/>
    <n v="18.16"/>
    <n v="8.619649240088105E-2"/>
    <n v="18.16"/>
    <n v="0"/>
  </r>
  <r>
    <x v="60"/>
    <x v="2"/>
    <n v="1595150826.9300001"/>
    <n v="962274260"/>
    <n v="1.6576883464907397"/>
    <n v="2.6197703689999998"/>
    <n v="1.580375692780823"/>
    <n v="18.16"/>
    <n v="0.14426048287444934"/>
    <n v="18.16"/>
    <n v="0"/>
  </r>
  <r>
    <x v="60"/>
    <x v="3"/>
    <n v="1649898817.26"/>
    <n v="962274260"/>
    <n v="1.7145827191304068"/>
    <n v="2.5560733889999998"/>
    <n v="1.4907845276175278"/>
    <n v="18.16"/>
    <n v="0.14075293992290747"/>
    <n v="18.16"/>
    <n v="0"/>
  </r>
  <r>
    <x v="61"/>
    <x v="0"/>
    <n v="700688167.34000003"/>
    <n v="273655375"/>
    <n v="2.5604765385660708"/>
    <n v="0.93527000000000005"/>
    <n v="0.36527184917061339"/>
    <n v="22.16"/>
    <n v="4.2205324909747294E-2"/>
    <n v="22.16"/>
    <n v="0"/>
  </r>
  <r>
    <x v="61"/>
    <x v="1"/>
    <n v="1203117000"/>
    <n v="273655375"/>
    <n v="4.396467637443628"/>
    <n v="1.4683299999999999"/>
    <n v="0.33397948559761848"/>
    <n v="22.16"/>
    <n v="6.6260379061371832E-2"/>
    <n v="22.16"/>
    <n v="0"/>
  </r>
  <r>
    <x v="61"/>
    <x v="2"/>
    <n v="1041534000"/>
    <n v="273655375"/>
    <n v="3.8060060029882474"/>
    <n v="0.98026999999999997"/>
    <n v="0.25755871095062666"/>
    <n v="22.16"/>
    <n v="4.4236010830324905E-2"/>
    <n v="22.16"/>
    <n v="0"/>
  </r>
  <r>
    <x v="61"/>
    <x v="3"/>
    <n v="900821000"/>
    <n v="273655375"/>
    <n v="3.2918081729620696"/>
    <n v="0.86965000000000003"/>
    <n v="0.26418611119051399"/>
    <n v="22.16"/>
    <n v="3.9244133574007224E-2"/>
    <n v="22.16"/>
    <n v="0"/>
  </r>
  <r>
    <x v="62"/>
    <x v="0"/>
    <n v="700688167.34000003"/>
    <n v="273655375"/>
    <n v="2.5604765385660708"/>
    <n v="2.5250699999999999"/>
    <n v="0.98617189494503266"/>
    <n v="30"/>
    <n v="8.4168999999999994E-2"/>
    <n v="30"/>
    <n v="0"/>
  </r>
  <r>
    <x v="62"/>
    <x v="1"/>
    <n v="1203117000"/>
    <n v="273655375"/>
    <n v="4.396467637443628"/>
    <n v="2.5250699999999999"/>
    <n v="0.57434063166861571"/>
    <n v="30"/>
    <n v="8.4168999999999994E-2"/>
    <n v="30"/>
    <n v="0"/>
  </r>
  <r>
    <x v="62"/>
    <x v="2"/>
    <n v="1041534000"/>
    <n v="273655375"/>
    <n v="3.8060060029882474"/>
    <n v="2.5250699999999999"/>
    <n v="0.66344351480724584"/>
    <n v="30"/>
    <n v="8.4168999999999994E-2"/>
    <n v="30"/>
    <n v="0"/>
  </r>
  <r>
    <x v="62"/>
    <x v="3"/>
    <n v="900821000"/>
    <n v="273655375"/>
    <n v="3.2918081729620696"/>
    <n v="1.6297900000000001"/>
    <n v="0.49510479176356903"/>
    <n v="30"/>
    <n v="5.4326333333333338E-2"/>
    <n v="30"/>
    <n v="0"/>
  </r>
  <r>
    <x v="63"/>
    <x v="0"/>
    <n v="700688167.34000003"/>
    <n v="273655375"/>
    <n v="2.5604765385660708"/>
    <n v="1.0288900000000001"/>
    <n v="0.40183535545152993"/>
    <n v="30.22"/>
    <n v="3.404665784248842E-2"/>
    <n v="30.22"/>
    <n v="0"/>
  </r>
  <r>
    <x v="63"/>
    <x v="1"/>
    <n v="1203117000"/>
    <n v="273655375"/>
    <n v="4.396467637443628"/>
    <n v="1.6154599999999999"/>
    <n v="0.3674449883905721"/>
    <n v="30.22"/>
    <n v="5.345665122435473E-2"/>
    <n v="30.22"/>
    <n v="0"/>
  </r>
  <r>
    <x v="63"/>
    <x v="2"/>
    <n v="1041534000"/>
    <n v="273655375"/>
    <n v="3.8060060029882474"/>
    <n v="1.0785400000000001"/>
    <n v="0.28337842850305417"/>
    <n v="30.22"/>
    <n v="3.5689609530112514E-2"/>
    <n v="30.22"/>
    <n v="0"/>
  </r>
  <r>
    <x v="63"/>
    <x v="3"/>
    <n v="900821000"/>
    <n v="273655375"/>
    <n v="3.2918081729620696"/>
    <n v="0.95679000000000003"/>
    <n v="0.29065788458112102"/>
    <n v="30.22"/>
    <n v="3.1660820648577101E-2"/>
    <n v="30.22"/>
    <n v="0"/>
  </r>
  <r>
    <x v="64"/>
    <x v="0"/>
    <n v="94365000"/>
    <n v="105765903"/>
    <n v="0.8922062528979684"/>
    <n v="0.23760000000000001"/>
    <n v="0.2663061363090129"/>
    <n v="3.99"/>
    <n v="5.9548872180451129E-2"/>
    <n v="0"/>
    <n v="3.99"/>
  </r>
  <r>
    <x v="64"/>
    <x v="1"/>
    <n v="76912864.659999996"/>
    <n v="105765903"/>
    <n v="0.72719905450057942"/>
    <n v="0.17430000000000001"/>
    <n v="0.23968678028563242"/>
    <n v="3.99"/>
    <n v="4.3684210526315791E-2"/>
    <n v="0"/>
    <n v="3.99"/>
  </r>
  <r>
    <x v="64"/>
    <x v="2"/>
    <n v="61174998.299999997"/>
    <n v="105765903"/>
    <n v="0.57840000004538317"/>
    <n v="0.1163"/>
    <n v="0.20107192252917483"/>
    <n v="3.99"/>
    <n v="2.9147869674185461E-2"/>
    <n v="0"/>
    <n v="3.99"/>
  </r>
  <r>
    <x v="64"/>
    <x v="3"/>
    <n v="67848826.769999996"/>
    <n v="105765903"/>
    <n v="0.64149999995745322"/>
    <n v="0.16420000000000001"/>
    <n v="0.25596258770208946"/>
    <n v="3.99"/>
    <n v="4.1152882205513788E-2"/>
    <n v="0"/>
    <n v="3.99"/>
  </r>
  <r>
    <x v="65"/>
    <x v="0"/>
    <n v="94365000"/>
    <n v="105765903"/>
    <n v="0.8922062528979684"/>
    <n v="0.26429999999999998"/>
    <n v="0.29623195213161657"/>
    <n v="3.9"/>
    <n v="6.7769230769230762E-2"/>
    <n v="0"/>
    <n v="3.9"/>
  </r>
  <r>
    <x v="65"/>
    <x v="1"/>
    <n v="76912864.659999996"/>
    <n v="105765903"/>
    <n v="0.72719905450057942"/>
    <n v="0.2402"/>
    <n v="0.33030846026740618"/>
    <n v="3.9"/>
    <n v="6.158974358974359E-2"/>
    <n v="0"/>
    <n v="3.9"/>
  </r>
  <r>
    <x v="65"/>
    <x v="2"/>
    <n v="61174998.299999997"/>
    <n v="105765903"/>
    <n v="0.57840000004538317"/>
    <n v="0.2198"/>
    <n v="0.38001383122882737"/>
    <n v="3.9"/>
    <n v="5.6358974358974356E-2"/>
    <n v="0"/>
    <n v="3.9"/>
  </r>
  <r>
    <x v="65"/>
    <x v="3"/>
    <n v="67848826.769999996"/>
    <n v="105765903"/>
    <n v="0.64149999995745322"/>
    <n v="0.19839999999999999"/>
    <n v="0.30927513641957699"/>
    <n v="3.9"/>
    <n v="5.087179487179487E-2"/>
    <n v="0"/>
    <n v="3.9"/>
  </r>
  <r>
    <x v="66"/>
    <x v="0"/>
    <n v="13717907.74"/>
    <n v="7680000"/>
    <n v="1.7861859036458334"/>
    <n v="1.24"/>
    <n v="0.69421665318766745"/>
    <n v="30.01"/>
    <n v="4.1319560146617793E-2"/>
    <n v="0"/>
    <n v="30.01"/>
  </r>
  <r>
    <x v="66"/>
    <x v="1"/>
    <n v="28253000"/>
    <n v="7680000"/>
    <n v="3.6787760416666666"/>
    <n v="2.48"/>
    <n v="0.67413725976002548"/>
    <n v="30.01"/>
    <n v="8.2639120293235585E-2"/>
    <n v="0"/>
    <n v="30.01"/>
  </r>
  <r>
    <x v="66"/>
    <x v="2"/>
    <n v="23457000"/>
    <n v="7680000"/>
    <n v="3.0542968749999999"/>
    <n v="2.5"/>
    <n v="0.81851899219849089"/>
    <n v="30.01"/>
    <n v="8.3305564811729418E-2"/>
    <n v="0"/>
    <n v="30.01"/>
  </r>
  <r>
    <x v="67"/>
    <x v="0"/>
    <n v="13717907.74"/>
    <n v="7680000"/>
    <n v="1.7861859036458334"/>
    <n v="1.37"/>
    <n v="0.7669974313444391"/>
    <n v="30.05"/>
    <n v="4.5590682196339438E-2"/>
    <n v="0"/>
    <n v="30.05"/>
  </r>
  <r>
    <x v="67"/>
    <x v="1"/>
    <n v="28253000"/>
    <n v="7680000"/>
    <n v="3.6787760416666666"/>
    <n v="2.74"/>
    <n v="0.7448129402187379"/>
    <n v="30.05"/>
    <n v="9.1181364392678876E-2"/>
    <n v="0"/>
    <n v="30.05"/>
  </r>
  <r>
    <x v="67"/>
    <x v="2"/>
    <n v="23457000"/>
    <n v="7680000"/>
    <n v="3.0542968749999999"/>
    <n v="2.75"/>
    <n v="0.90037089141833992"/>
    <n v="30.05"/>
    <n v="9.1514143094841932E-2"/>
    <n v="0"/>
    <n v="30.05"/>
  </r>
  <r>
    <x v="68"/>
    <x v="0"/>
    <n v="638200000"/>
    <n v="407214353"/>
    <n v="1.5672335596677753"/>
    <n v="0.74068530099999996"/>
    <n v="0.4726068405254234"/>
    <n v="37.49"/>
    <n v="1.9756876527073884E-2"/>
    <n v="0"/>
    <n v="37.49"/>
  </r>
  <r>
    <x v="68"/>
    <x v="1"/>
    <n v="2605800000"/>
    <n v="407214353"/>
    <n v="6.399086821971621"/>
    <n v="0.61834152200000003"/>
    <n v="9.6629650323994662E-2"/>
    <n v="37.49"/>
    <n v="1.6493505521472392E-2"/>
    <n v="0"/>
    <n v="37.49"/>
  </r>
  <r>
    <x v="68"/>
    <x v="2"/>
    <n v="771500000"/>
    <n v="407214353"/>
    <n v="1.8945795852141782"/>
    <n v="0.49227156500000002"/>
    <n v="0.25983155779879774"/>
    <n v="37.49"/>
    <n v="1.3130743264870633E-2"/>
    <n v="0"/>
    <n v="37.49"/>
  </r>
  <r>
    <x v="69"/>
    <x v="0"/>
    <n v="486927674.55000001"/>
    <n v="119684430"/>
    <n v="4.0684295739220211"/>
    <n v="1.3564000000000001"/>
    <n v="0.33339645564822007"/>
    <n v="35.65"/>
    <n v="3.8047685834502104E-2"/>
    <n v="35.65"/>
    <n v="0"/>
  </r>
  <r>
    <x v="69"/>
    <x v="1"/>
    <n v="470437900"/>
    <n v="119684430"/>
    <n v="3.9306524666575258"/>
    <n v="1.33"/>
    <n v="0.33836621560465263"/>
    <n v="35.65"/>
    <n v="3.7307152875175317E-2"/>
    <n v="35.65"/>
    <n v="0"/>
  </r>
  <r>
    <x v="69"/>
    <x v="2"/>
    <n v="677124500"/>
    <n v="119684430"/>
    <n v="5.6575821934398656"/>
    <n v="1.95"/>
    <n v="0.34467020245169089"/>
    <n v="35.65"/>
    <n v="5.4698457223001401E-2"/>
    <n v="35.65"/>
    <n v="0"/>
  </r>
  <r>
    <x v="69"/>
    <x v="3"/>
    <n v="525306600"/>
    <n v="119684430"/>
    <n v="4.3890972284364809"/>
    <n v="1.5"/>
    <n v="0.34175592882328149"/>
    <n v="35.65"/>
    <n v="4.2075736325385693E-2"/>
    <n v="35.65"/>
    <n v="0"/>
  </r>
  <r>
    <x v="70"/>
    <x v="0"/>
    <n v="245872000"/>
    <n v="168074028"/>
    <n v="1.4628792022524741"/>
    <n v="0.210547822"/>
    <n v="0.14392700482432735"/>
    <n v="9.5"/>
    <n v="2.2162928631578947E-2"/>
    <n v="9.5"/>
    <n v="0"/>
  </r>
  <r>
    <x v="70"/>
    <x v="1"/>
    <n v="232128000"/>
    <n v="168074028"/>
    <n v="1.3811057113476213"/>
    <n v="1.158632954"/>
    <n v="0.83891692321615097"/>
    <n v="9.5"/>
    <n v="0.12196136357894737"/>
    <n v="9.5"/>
    <n v="0"/>
  </r>
  <r>
    <x v="70"/>
    <x v="2"/>
    <n v="253664000"/>
    <n v="168074028"/>
    <n v="1.5092397261996957"/>
    <n v="1.1372260759999999"/>
    <n v="0.75350923796815517"/>
    <n v="9.5"/>
    <n v="0.11970800799999999"/>
    <n v="9.5"/>
    <n v="0"/>
  </r>
  <r>
    <x v="70"/>
    <x v="3"/>
    <n v="244788000"/>
    <n v="168074028"/>
    <n v="1.4564296632433893"/>
    <n v="0.9505576"/>
    <n v="0.65266289474162464"/>
    <n v="9.5"/>
    <n v="0.1000586947368421"/>
    <n v="9.5"/>
    <n v="0"/>
  </r>
  <r>
    <x v="71"/>
    <x v="0"/>
    <n v="245872000"/>
    <n v="168074028"/>
    <n v="1.4628792022524741"/>
    <n v="0.23160260399999999"/>
    <n v="0.1583197051700434"/>
    <n v="10.119999999999999"/>
    <n v="2.2885632806324111E-2"/>
    <n v="10.119999999999999"/>
    <n v="0"/>
  </r>
  <r>
    <x v="71"/>
    <x v="1"/>
    <n v="232128000"/>
    <n v="168074028"/>
    <n v="1.3811057113476213"/>
    <n v="1.2744962500000001"/>
    <n v="0.92280861597220065"/>
    <n v="10.119999999999999"/>
    <n v="0.12593836462450594"/>
    <n v="10.119999999999999"/>
    <n v="0"/>
  </r>
  <r>
    <x v="71"/>
    <x v="2"/>
    <n v="253664000"/>
    <n v="168074028"/>
    <n v="1.5092397261996957"/>
    <n v="1.250948685"/>
    <n v="0.82886016269259011"/>
    <n v="10.119999999999999"/>
    <n v="0.12361153013833993"/>
    <n v="10.119999999999999"/>
    <n v="0"/>
  </r>
  <r>
    <x v="71"/>
    <x v="3"/>
    <n v="244788000"/>
    <n v="168074028"/>
    <n v="1.4564296632433893"/>
    <n v="1.0456133000000001"/>
    <n v="0.717929143019153"/>
    <n v="10.119999999999999"/>
    <n v="0.10332147233201583"/>
    <n v="10.119999999999999"/>
    <n v="0"/>
  </r>
  <r>
    <x v="72"/>
    <x v="0"/>
    <n v="245872000"/>
    <n v="168074028"/>
    <n v="1.4628792022524741"/>
    <n v="0.23160260399999999"/>
    <n v="0.1583197051700434"/>
    <n v="9"/>
    <n v="2.5733622666666664E-2"/>
    <n v="9"/>
    <n v="0"/>
  </r>
  <r>
    <x v="72"/>
    <x v="1"/>
    <n v="232128000"/>
    <n v="168074028"/>
    <n v="1.3811057113476213"/>
    <n v="1.2744962500000001"/>
    <n v="0.92280861597220065"/>
    <n v="9"/>
    <n v="0.14161069444444446"/>
    <n v="9"/>
    <n v="0"/>
  </r>
  <r>
    <x v="72"/>
    <x v="2"/>
    <n v="253664000"/>
    <n v="168074028"/>
    <n v="1.5092397261996957"/>
    <n v="1.250948685"/>
    <n v="0.82886016269259011"/>
    <n v="9"/>
    <n v="0.13899429833333332"/>
    <n v="9"/>
    <n v="0"/>
  </r>
  <r>
    <x v="72"/>
    <x v="3"/>
    <n v="244788000"/>
    <n v="168074028"/>
    <n v="1.4564296632433893"/>
    <n v="1.0456133000000001"/>
    <n v="0.717929143019153"/>
    <n v="9"/>
    <n v="0.11617925555555557"/>
    <n v="9"/>
    <n v="0"/>
  </r>
  <r>
    <x v="73"/>
    <x v="0"/>
    <n v="357464258.91000003"/>
    <n v="243051520"/>
    <n v="1.4707345130365777"/>
    <n v="0.74467047200000003"/>
    <n v="0.50632555733155615"/>
    <n v="8"/>
    <n v="9.3083809000000003E-2"/>
    <n v="8"/>
    <n v="0"/>
  </r>
  <r>
    <x v="73"/>
    <x v="1"/>
    <n v="305060417.76999998"/>
    <n v="243051520"/>
    <n v="1.2551265582293005"/>
    <n v="0.63549999999999995"/>
    <n v="0.50632344271046792"/>
    <n v="8"/>
    <n v="7.9437499999999994E-2"/>
    <n v="8"/>
    <n v="0"/>
  </r>
  <r>
    <x v="73"/>
    <x v="2"/>
    <n v="276916946.19"/>
    <n v="243051520"/>
    <n v="1.1393343526096853"/>
    <n v="0.57389999999999997"/>
    <n v="0.50371517253514031"/>
    <n v="8"/>
    <n v="7.1737499999999996E-2"/>
    <n v="8"/>
    <n v="0"/>
  </r>
  <r>
    <x v="73"/>
    <x v="3"/>
    <n v="211087826.47999999"/>
    <n v="243051520"/>
    <n v="0.8684900488587769"/>
    <n v="0.43609999999999999"/>
    <n v="0.50213586278052236"/>
    <n v="8"/>
    <n v="5.4512499999999998E-2"/>
    <n v="8"/>
    <n v="0"/>
  </r>
  <r>
    <x v="74"/>
    <x v="0"/>
    <n v="459255478.19"/>
    <n v="605059489"/>
    <n v="0.7590253298052152"/>
    <n v="0.28884578700000002"/>
    <n v="0.38054828430314053"/>
    <n v="12.46"/>
    <n v="2.3181844863563401E-2"/>
    <n v="0"/>
    <n v="12.46"/>
  </r>
  <r>
    <x v="74"/>
    <x v="1"/>
    <n v="374211888.35000002"/>
    <n v="605059489"/>
    <n v="0.61847123324761211"/>
    <n v="0.23499071399999999"/>
    <n v="0.37995415367349633"/>
    <n v="12.46"/>
    <n v="1.8859607865168538E-2"/>
    <n v="0"/>
    <n v="12.46"/>
  </r>
  <r>
    <x v="74"/>
    <x v="2"/>
    <n v="466895395.82999998"/>
    <n v="605059489"/>
    <n v="0.77165205127458136"/>
    <n v="0.34668314900000002"/>
    <n v="0.44927392913342723"/>
    <n v="12.46"/>
    <n v="2.7823687720706262E-2"/>
    <n v="0"/>
    <n v="12.46"/>
  </r>
  <r>
    <x v="74"/>
    <x v="3"/>
    <n v="179469272.13999999"/>
    <n v="605059489"/>
    <n v="0.29661425926335649"/>
    <n v="7.8760800000000006E-2"/>
    <n v="0.26553275016380867"/>
    <n v="12.46"/>
    <n v="6.3210914927768862E-3"/>
    <n v="0"/>
    <n v="12.46"/>
  </r>
  <r>
    <x v="75"/>
    <x v="0"/>
    <n v="-130200000"/>
    <n v="387229828"/>
    <n v="-0.33623442871761416"/>
    <n v="0"/>
    <s v=""/>
    <n v="1.59"/>
    <s v=""/>
    <n v="1.59"/>
    <n v="0"/>
  </r>
  <r>
    <x v="75"/>
    <x v="1"/>
    <n v="88173075.810000002"/>
    <n v="387229828"/>
    <n v="0.22770217951805097"/>
    <n v="0.1"/>
    <n v="0.43917014853198871"/>
    <n v="1.59"/>
    <n v="6.2893081761006289E-2"/>
    <n v="1.59"/>
    <n v="0"/>
  </r>
  <r>
    <x v="76"/>
    <x v="0"/>
    <n v="-130200000"/>
    <n v="387229828"/>
    <n v="-0.33623442871761416"/>
    <n v="0"/>
    <s v=""/>
    <n v="1.67"/>
    <s v=""/>
    <n v="1.67"/>
    <n v="0"/>
  </r>
  <r>
    <x v="76"/>
    <x v="1"/>
    <n v="88173075.810000002"/>
    <n v="387229828"/>
    <n v="0.22770217951805097"/>
    <n v="0.1"/>
    <n v="0.43917014853198871"/>
    <n v="1.67"/>
    <n v="5.9880239520958091E-2"/>
    <n v="1.67"/>
    <n v="0"/>
  </r>
  <r>
    <x v="77"/>
    <x v="0"/>
    <n v="459346.49"/>
    <n v="31485170"/>
    <n v="1.4589296802272307E-2"/>
    <n v="0"/>
    <s v=""/>
    <n v="10"/>
    <s v=""/>
    <n v="0"/>
    <n v="10"/>
  </r>
  <r>
    <x v="77"/>
    <x v="1"/>
    <n v="14826895.1"/>
    <n v="31485170"/>
    <n v="0.47091678717313579"/>
    <n v="0.11279"/>
    <n v="0.2395115295784348"/>
    <n v="10"/>
    <n v="1.1279000000000001E-2"/>
    <n v="0"/>
    <n v="10"/>
  </r>
  <r>
    <x v="77"/>
    <x v="2"/>
    <n v="45200803.640000001"/>
    <n v="31485170"/>
    <n v="1.4356220290377979"/>
    <n v="0.31025000000000003"/>
    <n v="0.21610841414013407"/>
    <n v="10"/>
    <n v="3.1025000000000004E-2"/>
    <n v="0"/>
    <n v="10"/>
  </r>
  <r>
    <x v="77"/>
    <x v="3"/>
    <n v="3829778.75"/>
    <n v="31485170"/>
    <n v="0.12163754396117284"/>
    <n v="4.3194999999999997E-2"/>
    <n v="0.35511239863399419"/>
    <n v="10"/>
    <n v="4.3194999999999996E-3"/>
    <n v="0"/>
    <n v="10"/>
  </r>
  <r>
    <x v="78"/>
    <x v="0"/>
    <n v="459346.49"/>
    <n v="31485170"/>
    <n v="1.4589296802272307E-2"/>
    <n v="2E-3"/>
    <n v="0.13708679911758986"/>
    <n v="10.91"/>
    <n v="1.8331805682859762E-4"/>
    <n v="0"/>
    <n v="10.91"/>
  </r>
  <r>
    <x v="78"/>
    <x v="1"/>
    <n v="14826895.1"/>
    <n v="31485170"/>
    <n v="0.47091678717313579"/>
    <n v="0.11279"/>
    <n v="0.2395115295784348"/>
    <n v="10.91"/>
    <n v="1.0338221814848763E-2"/>
    <n v="0"/>
    <n v="10.91"/>
  </r>
  <r>
    <x v="78"/>
    <x v="2"/>
    <n v="45200803.640000001"/>
    <n v="31485170"/>
    <n v="1.4356220290377979"/>
    <n v="0.31025000000000003"/>
    <n v="0.21610841414013407"/>
    <n v="10.91"/>
    <n v="2.8437213565536208E-2"/>
    <n v="0"/>
    <n v="10.91"/>
  </r>
  <r>
    <x v="78"/>
    <x v="3"/>
    <n v="3829778.75"/>
    <n v="31485170"/>
    <n v="0.12163754396117284"/>
    <n v="4.3194999999999997E-2"/>
    <n v="0.35511239863399419"/>
    <n v="10.91"/>
    <n v="3.9592117323556369E-3"/>
    <n v="0"/>
    <n v="10.91"/>
  </r>
  <r>
    <x v="79"/>
    <x v="0"/>
    <n v="-6878916000"/>
    <n v="1352634100"/>
    <n v="-5.0855704436255156"/>
    <n v="0.40852810099999998"/>
    <s v=""/>
    <n v="5.95"/>
    <n v="6.8660185042016805E-2"/>
    <n v="5.95"/>
    <n v="0"/>
  </r>
  <r>
    <x v="79"/>
    <x v="1"/>
    <n v="3732565000"/>
    <n v="1352634100"/>
    <n v="2.7594787089871531"/>
    <n v="1.2317791624600001"/>
    <n v="0.44638110757959637"/>
    <n v="5.95"/>
    <n v="0.2070217079764706"/>
    <n v="5.95"/>
    <n v="0"/>
  </r>
  <r>
    <x v="79"/>
    <x v="2"/>
    <n v="2247913000"/>
    <n v="1352634100"/>
    <n v="1.6618781087952759"/>
    <n v="0.83224516954000005"/>
    <n v="0.50078592716003034"/>
    <n v="5.95"/>
    <n v="0.13987313773781512"/>
    <n v="5.95"/>
    <n v="0"/>
  </r>
  <r>
    <x v="79"/>
    <x v="3"/>
    <n v="170526000"/>
    <n v="1352634100"/>
    <n v="0.12606957047733752"/>
    <n v="0.41"/>
    <n v="3.2521725777887238"/>
    <n v="5.95"/>
    <n v="6.8907563025210075E-2"/>
    <n v="5.95"/>
    <n v="0"/>
  </r>
  <r>
    <x v="79"/>
    <x v="4"/>
    <n v="6136497000"/>
    <n v="1352634100"/>
    <n v="4.5367013887939098"/>
    <n v="1.54227975422"/>
    <n v="0.33995619769676261"/>
    <n v="5.95"/>
    <n v="0.25920668138151259"/>
    <n v="5.95"/>
    <n v="0"/>
  </r>
  <r>
    <x v="80"/>
    <x v="0"/>
    <n v="-6878916000"/>
    <n v="1352634100"/>
    <n v="-5.0855704436255156"/>
    <n v="1.671821523"/>
    <s v=""/>
    <n v="10.119999999999999"/>
    <n v="0.16519975523715416"/>
    <n v="10.119999999999999"/>
    <n v="0"/>
  </r>
  <r>
    <x v="80"/>
    <x v="1"/>
    <n v="3732565000"/>
    <n v="1352634100"/>
    <n v="2.7594787089871531"/>
    <n v="1.6336924400499999"/>
    <n v="0.59202936943464768"/>
    <n v="10.119999999999999"/>
    <n v="0.16143205929347826"/>
    <n v="10.119999999999999"/>
    <n v="0"/>
  </r>
  <r>
    <x v="80"/>
    <x v="2"/>
    <n v="2247913000"/>
    <n v="1352634100"/>
    <n v="1.6618781087952759"/>
    <n v="1.6305332803199999"/>
    <n v="0.98113891246933971"/>
    <n v="10.119999999999999"/>
    <n v="0.1611198893596838"/>
    <n v="10.119999999999999"/>
    <n v="0"/>
  </r>
  <r>
    <x v="80"/>
    <x v="3"/>
    <n v="170526000"/>
    <n v="1352634100"/>
    <n v="0.12606957047733752"/>
    <n v="1.63"/>
    <n v="12.929369028769806"/>
    <n v="10.119999999999999"/>
    <n v="0.16106719367588934"/>
    <n v="10.119999999999999"/>
    <n v="0"/>
  </r>
  <r>
    <x v="80"/>
    <x v="4"/>
    <n v="6136497000"/>
    <n v="1352634100"/>
    <n v="4.5367013887939098"/>
    <n v="1.69650772972"/>
    <n v="0.37395181748363199"/>
    <n v="10.119999999999999"/>
    <n v="0.16763910372727273"/>
    <n v="10.119999999999999"/>
    <n v="0"/>
  </r>
  <r>
    <x v="81"/>
    <x v="0"/>
    <n v="107945984.63"/>
    <n v="167343887"/>
    <n v="0.64505484224828602"/>
    <n v="0.30919236900000002"/>
    <n v="0.47932725831858769"/>
    <n v="11"/>
    <n v="2.8108397181818182E-2"/>
    <n v="11"/>
    <n v="0"/>
  </r>
  <r>
    <x v="81"/>
    <x v="1"/>
    <n v="1573104991"/>
    <n v="167343887"/>
    <n v="9.4004329599443324"/>
    <n v="5.1351776620000003"/>
    <n v="0.54627033498150812"/>
    <n v="11"/>
    <n v="0.46683433290909093"/>
    <n v="11"/>
    <n v="0"/>
  </r>
  <r>
    <x v="81"/>
    <x v="2"/>
    <n v="1347688144.1600001"/>
    <n v="167343887"/>
    <n v="8.0534052860861305"/>
    <n v="8.6908053330000001"/>
    <n v="1.0791466496806148"/>
    <n v="11"/>
    <n v="0.79007321209090908"/>
    <n v="11"/>
    <n v="0"/>
  </r>
  <r>
    <x v="81"/>
    <x v="3"/>
    <n v="1063193672.4299999"/>
    <n v="167343887"/>
    <n v="6.3533463426124426"/>
    <n v="6.086401306"/>
    <n v="0.95798355351383579"/>
    <n v="11"/>
    <n v="0.55330920963636365"/>
    <n v="11"/>
    <n v="0"/>
  </r>
  <r>
    <x v="82"/>
    <x v="0"/>
    <n v="107945984.63"/>
    <n v="167343887"/>
    <n v="0.64505484224828602"/>
    <n v="0.34011160499999998"/>
    <n v="0.52725998275521624"/>
    <n v="9.24"/>
    <n v="3.680861525974026E-2"/>
    <n v="9.24"/>
    <n v="0"/>
  </r>
  <r>
    <x v="82"/>
    <x v="1"/>
    <n v="1573104991"/>
    <n v="167343887"/>
    <n v="9.4004329599443324"/>
    <n v="5.648695429"/>
    <n v="0.60089736856476139"/>
    <n v="9.24"/>
    <n v="0.61133067413419917"/>
    <n v="9.24"/>
    <n v="0"/>
  </r>
  <r>
    <x v="82"/>
    <x v="2"/>
    <n v="1347688144.1600001"/>
    <n v="167343887"/>
    <n v="8.0534052860861305"/>
    <n v="9.5598858660000001"/>
    <n v="1.1870613146114248"/>
    <n v="9.24"/>
    <n v="1.0346196824675324"/>
    <n v="9.24"/>
    <n v="0"/>
  </r>
  <r>
    <x v="82"/>
    <x v="3"/>
    <n v="1063193672.4299999"/>
    <n v="167343887"/>
    <n v="6.3533463426124426"/>
    <n v="6.6950414370000004"/>
    <n v="1.0537819089281784"/>
    <n v="9.24"/>
    <n v="0.72457158409090916"/>
    <n v="9.24"/>
    <n v="0"/>
  </r>
  <r>
    <x v="83"/>
    <x v="0"/>
    <m/>
    <n v="36947084"/>
    <n v="0"/>
    <n v="0"/>
    <s v=""/>
    <n v="5.75"/>
    <s v=""/>
    <n v="5.75"/>
    <n v="0"/>
  </r>
  <r>
    <x v="83"/>
    <x v="1"/>
    <m/>
    <n v="36947084"/>
    <n v="0"/>
    <n v="0"/>
    <s v=""/>
    <n v="5.75"/>
    <s v=""/>
    <n v="5.75"/>
    <n v="0"/>
  </r>
  <r>
    <x v="83"/>
    <x v="2"/>
    <n v="13974263.699999999"/>
    <n v="36947084"/>
    <n v="0.37822372396154452"/>
    <n v="8.7654448199999999E-2"/>
    <n v="0.23175290878610291"/>
    <n v="5.75"/>
    <n v="1.5244251860869565E-2"/>
    <n v="5.75"/>
    <n v="0"/>
  </r>
  <r>
    <x v="83"/>
    <x v="3"/>
    <n v="-7526000"/>
    <n v="36947084"/>
    <n v="-0.20369672475370451"/>
    <n v="0"/>
    <s v=""/>
    <n v="5.75"/>
    <s v=""/>
    <n v="5.75"/>
    <n v="0"/>
  </r>
  <r>
    <x v="83"/>
    <x v="4"/>
    <n v="-170585000"/>
    <n v="36947084"/>
    <n v="-4.6170084762304926"/>
    <n v="0.36506361199999998"/>
    <s v=""/>
    <n v="5.75"/>
    <n v="6.3489323826086949E-2"/>
    <n v="5.75"/>
    <n v="0"/>
  </r>
  <r>
    <x v="84"/>
    <x v="0"/>
    <n v="341644899.63"/>
    <n v="476415612"/>
    <n v="0.71711524774717084"/>
    <n v="0.77853000000000006"/>
    <n v="1.0856413978726078"/>
    <n v="11.14"/>
    <n v="6.9885996409335724E-2"/>
    <n v="11.14"/>
    <n v="0"/>
  </r>
  <r>
    <x v="84"/>
    <x v="1"/>
    <n v="491579920.89999998"/>
    <n v="476415612"/>
    <n v="1.0318299999371137"/>
    <n v="2.3355890000000001"/>
    <n v="2.2635405058414135"/>
    <n v="11.14"/>
    <n v="0.20965789946140037"/>
    <n v="11.14"/>
    <n v="0"/>
  </r>
  <r>
    <x v="84"/>
    <x v="2"/>
    <n v="588911630.5"/>
    <n v="476415612"/>
    <n v="1.2361300000806859"/>
    <n v="2.22437"/>
    <n v="1.7994628395515107"/>
    <n v="11.14"/>
    <n v="0.19967414721723517"/>
    <n v="11.14"/>
    <n v="0"/>
  </r>
  <r>
    <x v="84"/>
    <x v="3"/>
    <n v="695571557.70000005"/>
    <n v="476415612"/>
    <n v="1.4600100000501244"/>
    <n v="1.869219"/>
    <n v="1.2802782172285305"/>
    <n v="11.14"/>
    <n v="0.16779344703770196"/>
    <n v="11.14"/>
    <n v="0"/>
  </r>
  <r>
    <x v="85"/>
    <x v="0"/>
    <n v="290441196.88"/>
    <n v="1245690889"/>
    <n v="0.23315671603984894"/>
    <n v="0.79500000000000004"/>
    <n v="3.4097237836551368"/>
    <n v="12.5"/>
    <n v="6.3600000000000004E-2"/>
    <n v="12.5"/>
    <n v="0"/>
  </r>
  <r>
    <x v="85"/>
    <x v="1"/>
    <n v="212054242.16999999"/>
    <n v="1245690889"/>
    <n v="0.17023022648919767"/>
    <n v="9.6000000000000002E-2"/>
    <n v="0.56394215046228524"/>
    <n v="12.5"/>
    <n v="7.6800000000000002E-3"/>
    <n v="12.5"/>
    <n v="0"/>
  </r>
  <r>
    <x v="85"/>
    <x v="2"/>
    <n v="194647783.53"/>
    <n v="1245690889"/>
    <n v="0.15625688944892011"/>
    <n v="8.8999999999999996E-2"/>
    <n v="0.56957488603466555"/>
    <n v="12.5"/>
    <n v="7.1199999999999996E-3"/>
    <n v="12.5"/>
    <n v="0"/>
  </r>
  <r>
    <x v="85"/>
    <x v="3"/>
    <n v="276855137.25"/>
    <n v="1245690889"/>
    <n v="0.22225027066887379"/>
    <n v="0.113"/>
    <n v="0.50843582624183359"/>
    <n v="12.5"/>
    <n v="9.0399999999999994E-3"/>
    <n v="12.5"/>
    <n v="0"/>
  </r>
  <r>
    <x v="86"/>
    <x v="0"/>
    <n v="290441196.88"/>
    <n v="1245690889"/>
    <n v="0.23315671603984894"/>
    <n v="0.159"/>
    <n v="0.68194475673102728"/>
    <n v="3.15"/>
    <n v="5.047619047619048E-2"/>
    <n v="3.15"/>
    <n v="0"/>
  </r>
  <r>
    <x v="86"/>
    <x v="1"/>
    <n v="212054242.16999999"/>
    <n v="1245690889"/>
    <n v="0.17023022648919767"/>
    <n v="9.6000000000000002E-2"/>
    <n v="0.56394215046228524"/>
    <n v="3.15"/>
    <n v="3.0476190476190476E-2"/>
    <n v="3.15"/>
    <n v="0"/>
  </r>
  <r>
    <x v="86"/>
    <x v="2"/>
    <n v="194647783.53"/>
    <n v="1245690889"/>
    <n v="0.15625688944892011"/>
    <n v="8.8999999999999996E-2"/>
    <n v="0.56957488603466555"/>
    <n v="3.15"/>
    <n v="2.8253968253968254E-2"/>
    <n v="3.15"/>
    <n v="0"/>
  </r>
  <r>
    <x v="86"/>
    <x v="3"/>
    <n v="276855137.25"/>
    <n v="1245690889"/>
    <n v="0.22225027066887379"/>
    <n v="0.113"/>
    <n v="0.50843582624183359"/>
    <n v="3.15"/>
    <n v="3.5873015873015876E-2"/>
    <n v="3.15"/>
    <n v="0"/>
  </r>
  <r>
    <x v="87"/>
    <x v="0"/>
    <n v="290441196.88"/>
    <n v="1245690889"/>
    <n v="0.23315671603984894"/>
    <n v="0.159"/>
    <n v="0.68194475673102728"/>
    <n v="2.4"/>
    <n v="6.6250000000000003E-2"/>
    <n v="2.4"/>
    <n v="0"/>
  </r>
  <r>
    <x v="87"/>
    <x v="1"/>
    <n v="212054242.16999999"/>
    <n v="1245690889"/>
    <n v="0.17023022648919767"/>
    <n v="9.6000000000000002E-2"/>
    <n v="0.56394215046228524"/>
    <n v="2.4"/>
    <n v="0.04"/>
    <n v="2.4"/>
    <n v="0"/>
  </r>
  <r>
    <x v="87"/>
    <x v="2"/>
    <n v="194647783.53"/>
    <n v="1245690889"/>
    <n v="0.15625688944892011"/>
    <n v="8.8999999999999996E-2"/>
    <n v="0.56957488603466555"/>
    <n v="2.4"/>
    <n v="3.7083333333333336E-2"/>
    <n v="2.4"/>
    <n v="0"/>
  </r>
  <r>
    <x v="87"/>
    <x v="3"/>
    <n v="276855137.25"/>
    <n v="1245690889"/>
    <n v="0.22225027066887379"/>
    <n v="0.113"/>
    <n v="0.50843582624183359"/>
    <n v="2.4"/>
    <n v="4.7083333333333338E-2"/>
    <n v="2.4"/>
    <n v="0"/>
  </r>
  <r>
    <x v="88"/>
    <x v="0"/>
    <n v="384946993.33999997"/>
    <n v="164183899"/>
    <n v="2.3446086716456889"/>
    <n v="0.46"/>
    <n v="0.19619478745556479"/>
    <n v="14.88"/>
    <n v="3.0913978494623656E-2"/>
    <n v="14.88"/>
    <n v="0"/>
  </r>
  <r>
    <x v="88"/>
    <x v="1"/>
    <n v="247502000"/>
    <n v="164183899"/>
    <n v="1.5074681592255279"/>
    <n v="0.56999999999999995"/>
    <n v="0.37811743917220869"/>
    <n v="14.88"/>
    <n v="3.830645161290322E-2"/>
    <n v="14.88"/>
    <n v="0"/>
  </r>
  <r>
    <x v="88"/>
    <x v="2"/>
    <n v="278621000"/>
    <n v="164183899"/>
    <n v="1.6970056241629394"/>
    <n v="1.52"/>
    <n v="0.89569532260669515"/>
    <n v="14.88"/>
    <n v="0.10215053763440859"/>
    <n v="14.88"/>
    <n v="0"/>
  </r>
  <r>
    <x v="89"/>
    <x v="0"/>
    <n v="140995000"/>
    <n v="198447352"/>
    <n v="0.7104907098987141"/>
    <n v="0.17"/>
    <n v="0.23927124961878082"/>
    <n v="21.92"/>
    <n v="7.7554744525547446E-3"/>
    <n v="21.92"/>
    <n v="0"/>
  </r>
  <r>
    <x v="89"/>
    <x v="1"/>
    <n v="159996000"/>
    <n v="198447352"/>
    <n v="0.80623902706446793"/>
    <n v="0.46"/>
    <n v="0.57055040076001906"/>
    <n v="21.92"/>
    <n v="2.0985401459854013E-2"/>
    <n v="21.92"/>
    <n v="0"/>
  </r>
  <r>
    <x v="89"/>
    <x v="2"/>
    <n v="188871000"/>
    <n v="198447352"/>
    <n v="0.95174361409468444"/>
    <n v="1.8"/>
    <n v="1.8912656448051846"/>
    <n v="21.92"/>
    <n v="8.211678832116788E-2"/>
    <n v="21.92"/>
    <n v="0"/>
  </r>
  <r>
    <x v="90"/>
    <x v="0"/>
    <n v="113004000"/>
    <n v="89500000"/>
    <n v="1.2626145251396648"/>
    <n v="0.8"/>
    <n v="0.6336058900569892"/>
    <n v="8.68"/>
    <n v="9.2165898617511524E-2"/>
    <n v="0"/>
    <n v="8.68"/>
  </r>
  <r>
    <x v="90"/>
    <x v="1"/>
    <n v="97193000"/>
    <n v="89500000"/>
    <n v="1.0859553072625698"/>
    <n v="0.9"/>
    <n v="0.82876338830985774"/>
    <n v="8.68"/>
    <n v="0.10368663594470047"/>
    <n v="0"/>
    <n v="8.68"/>
  </r>
  <r>
    <x v="90"/>
    <x v="2"/>
    <n v="102085000"/>
    <n v="89500000"/>
    <n v="1.1406145251396649"/>
    <n v="0.8"/>
    <n v="0.7013763040603419"/>
    <n v="8.68"/>
    <n v="9.2165898617511524E-2"/>
    <n v="0"/>
    <n v="8.68"/>
  </r>
  <r>
    <x v="91"/>
    <x v="0"/>
    <n v="88379478.969999999"/>
    <n v="92619256"/>
    <n v="0.95422359007072999"/>
    <n v="0.190493"/>
    <n v="0.1996314092233667"/>
    <n v="6.78"/>
    <n v="2.8096312684365781E-2"/>
    <n v="0"/>
    <n v="6.78"/>
  </r>
  <r>
    <x v="91"/>
    <x v="1"/>
    <n v="88914485.760000005"/>
    <n v="92619256"/>
    <n v="0.96000000000000008"/>
    <n v="0.28855599999999998"/>
    <n v="0.30057916666666662"/>
    <n v="6.78"/>
    <n v="4.2559882005899698E-2"/>
    <n v="0"/>
    <n v="6.78"/>
  </r>
  <r>
    <x v="91"/>
    <x v="2"/>
    <n v="120405032.8"/>
    <n v="92619256"/>
    <n v="1.3"/>
    <n v="0.28032499999999999"/>
    <n v="0.21563461538461537"/>
    <n v="6.78"/>
    <n v="4.1345870206489672E-2"/>
    <n v="0"/>
    <n v="6.78"/>
  </r>
  <r>
    <x v="92"/>
    <x v="0"/>
    <n v="85326018.709999993"/>
    <n v="88320000"/>
    <n v="0.96610075532155792"/>
    <n v="0.22040999999999999"/>
    <n v="0.22814390609459623"/>
    <n v="19"/>
    <n v="1.1600526315789473E-2"/>
    <n v="19"/>
    <n v="0"/>
  </r>
  <r>
    <x v="92"/>
    <x v="1"/>
    <n v="90654592"/>
    <n v="88320000"/>
    <n v="1.0264333333333333"/>
    <n v="0.244201419"/>
    <n v="0.23791259604455559"/>
    <n v="19"/>
    <n v="1.2852706263157895E-2"/>
    <n v="19"/>
    <n v="0"/>
  </r>
  <r>
    <x v="92"/>
    <x v="2"/>
    <n v="133778304"/>
    <n v="88320000"/>
    <n v="1.5146999999999999"/>
    <n v="0.31610713000000001"/>
    <n v="0.20869289628309237"/>
    <n v="19"/>
    <n v="1.6637217368421053E-2"/>
    <n v="19"/>
    <n v="0"/>
  </r>
  <r>
    <x v="93"/>
    <x v="0"/>
    <n v="85326018.709999993"/>
    <n v="88320000"/>
    <n v="0.96610075532155792"/>
    <n v="0.24245"/>
    <n v="0.25095726161532989"/>
    <n v="13.1"/>
    <n v="1.850763358778626E-2"/>
    <n v="13.1"/>
    <n v="0"/>
  </r>
  <r>
    <x v="93"/>
    <x v="1"/>
    <n v="90654592"/>
    <n v="88320000"/>
    <n v="1.0264333333333333"/>
    <n v="0.26862156100000001"/>
    <n v="0.2617038557464359"/>
    <n v="13.1"/>
    <n v="2.0505462671755726E-2"/>
    <n v="13.1"/>
    <n v="0"/>
  </r>
  <r>
    <x v="93"/>
    <x v="2"/>
    <n v="133778304"/>
    <n v="88320000"/>
    <n v="1.5146999999999999"/>
    <n v="0.3477384"/>
    <n v="0.2295757575757576"/>
    <n v="13.1"/>
    <n v="2.6544916030534351E-2"/>
    <n v="13.1"/>
    <n v="0"/>
  </r>
  <r>
    <x v="94"/>
    <x v="0"/>
    <n v="324648000"/>
    <n v="94433283"/>
    <n v="3.4378556975510426"/>
    <n v="3.9972394429999998"/>
    <n v="1.1627129800263096"/>
    <n v="62.04"/>
    <n v="6.4430036154094136E-2"/>
    <n v="62.04"/>
    <n v="0"/>
  </r>
  <r>
    <x v="94"/>
    <x v="1"/>
    <n v="281411183"/>
    <n v="94433283"/>
    <n v="2.9799999963995747"/>
    <n v="3.6127542309999998"/>
    <n v="1.2123336360284955"/>
    <n v="62.04"/>
    <n v="5.8232660074145709E-2"/>
    <n v="62.04"/>
    <n v="0"/>
  </r>
  <r>
    <x v="94"/>
    <x v="2"/>
    <n v="183200569"/>
    <n v="94433283"/>
    <n v="1.9399999997882102"/>
    <n v="2.6568953629999998"/>
    <n v="1.3695336924175532"/>
    <n v="62.04"/>
    <n v="4.2825521647324304E-2"/>
    <n v="62.04"/>
    <n v="0"/>
  </r>
  <r>
    <x v="94"/>
    <x v="3"/>
    <n v="101987946"/>
    <n v="94433283"/>
    <n v="1.0800000038122153"/>
    <n v="1.4826292830000001"/>
    <n v="1.3728048868209002"/>
    <n v="62.04"/>
    <n v="2.389795749516441E-2"/>
    <n v="62.04"/>
    <n v="0"/>
  </r>
  <r>
    <x v="95"/>
    <x v="0"/>
    <n v="324648000"/>
    <n v="94433283"/>
    <n v="3.4378556975510426"/>
    <n v="3.9972394429999998"/>
    <n v="1.1627129800263096"/>
    <n v="61.99"/>
    <n v="6.4482004242619767E-2"/>
    <n v="61.99"/>
    <n v="0"/>
  </r>
  <r>
    <x v="95"/>
    <x v="1"/>
    <n v="281411183"/>
    <n v="94433283"/>
    <n v="2.9799999963995747"/>
    <n v="3.6127542300000002"/>
    <n v="1.2123336356929251"/>
    <n v="61.99"/>
    <n v="5.8279629456363932E-2"/>
    <n v="61.99"/>
    <n v="0"/>
  </r>
  <r>
    <x v="95"/>
    <x v="2"/>
    <n v="183200569"/>
    <n v="94433283"/>
    <n v="1.9399999997882102"/>
    <n v="2.6568953610000001"/>
    <n v="1.3695336913866254"/>
    <n v="61.99"/>
    <n v="4.2860063897402809E-2"/>
    <n v="61.99"/>
    <n v="0"/>
  </r>
  <r>
    <x v="95"/>
    <x v="3"/>
    <n v="101987946"/>
    <n v="94433283"/>
    <n v="1.0800000038122153"/>
    <n v="2.1814776419999999"/>
    <n v="2.0198866984257009"/>
    <n v="61.99"/>
    <n v="3.519079919341829E-2"/>
    <n v="61.99"/>
    <n v="0"/>
  </r>
  <r>
    <x v="96"/>
    <x v="0"/>
    <n v="901262803.92999995"/>
    <n v="381253493"/>
    <n v="2.363946351909227"/>
    <n v="2.4435890119999999"/>
    <n v="1.0336905530984026"/>
    <n v="17.77"/>
    <n v="0.13751204344400675"/>
    <n v="17.77"/>
    <n v="0"/>
  </r>
  <r>
    <x v="96"/>
    <x v="1"/>
    <n v="844863980.05999994"/>
    <n v="381253493"/>
    <n v="2.2160163659405474"/>
    <n v="2.307552448"/>
    <n v="1.0413065911724897"/>
    <n v="17.77"/>
    <n v="0.12985663747889703"/>
    <n v="17.77"/>
    <n v="0"/>
  </r>
  <r>
    <x v="96"/>
    <x v="2"/>
    <n v="737339863.24000001"/>
    <n v="381253493"/>
    <n v="1.9339884795232551"/>
    <n v="2.1575277719999999"/>
    <n v="1.1155846039640573"/>
    <n v="17.77"/>
    <n v="0.12141405582442318"/>
    <n v="17.77"/>
    <n v="0"/>
  </r>
  <r>
    <x v="96"/>
    <x v="3"/>
    <n v="780235000"/>
    <n v="381253493"/>
    <n v="2.0464992828275541"/>
    <n v="1.9523818630000001"/>
    <n v="0.95401052880042236"/>
    <n v="17.77"/>
    <n v="0.10986954772087788"/>
    <n v="17.77"/>
    <n v="0"/>
  </r>
  <r>
    <x v="97"/>
    <x v="0"/>
    <n v="901262803.92999995"/>
    <n v="381253493"/>
    <n v="2.363946351909227"/>
    <n v="2.687947914"/>
    <n v="1.13705960874666"/>
    <n v="19.28"/>
    <n v="0.13941638558091285"/>
    <n v="19.28"/>
    <n v="0"/>
  </r>
  <r>
    <x v="97"/>
    <x v="1"/>
    <n v="844863980.05999994"/>
    <n v="381253493"/>
    <n v="2.2160163659405474"/>
    <n v="2.5383076930000001"/>
    <n v="1.1454372503799908"/>
    <n v="19.28"/>
    <n v="0.13165496332987553"/>
    <n v="19.28"/>
    <n v="0"/>
  </r>
  <r>
    <x v="97"/>
    <x v="2"/>
    <n v="737339863.24000001"/>
    <n v="381253493"/>
    <n v="1.9339884795232551"/>
    <n v="2.373280549"/>
    <n v="1.2271430642570498"/>
    <n v="19.28"/>
    <n v="0.12309546415975103"/>
    <n v="19.28"/>
    <n v="0"/>
  </r>
  <r>
    <x v="97"/>
    <x v="3"/>
    <n v="780235000"/>
    <n v="381253493"/>
    <n v="2.0464992828275541"/>
    <n v="2.1476200489999999"/>
    <n v="1.0494115815338727"/>
    <n v="19.28"/>
    <n v="0.11139108137966804"/>
    <n v="19.28"/>
    <n v="0"/>
  </r>
  <r>
    <x v="98"/>
    <x v="0"/>
    <n v="3061251.15"/>
    <n v="166355563"/>
    <n v="1.8401856209641753E-2"/>
    <n v="1.6664410399999999E-2"/>
    <n v="0.90558312216724046"/>
    <n v="0.14000000000000001"/>
    <n v="0.11903150285714284"/>
    <n v="0.14000000000000001"/>
    <n v="0"/>
  </r>
  <r>
    <x v="98"/>
    <x v="1"/>
    <n v="2796437"/>
    <n v="166355563"/>
    <n v="1.6809999915662573E-2"/>
    <n v="1.4520999999999999E-2"/>
    <n v="0.86383105727860132"/>
    <n v="0.14000000000000001"/>
    <n v="0.10372142857142856"/>
    <n v="0.14000000000000001"/>
    <n v="0"/>
  </r>
  <r>
    <x v="98"/>
    <x v="2"/>
    <n v="2520287"/>
    <n v="166355563"/>
    <n v="1.5150001325774719E-2"/>
    <n v="2.696E-3"/>
    <n v="0.17795377980682361"/>
    <n v="0.14000000000000001"/>
    <n v="1.9257142857142855E-2"/>
    <n v="0.14000000000000001"/>
    <n v="0"/>
  </r>
  <r>
    <x v="98"/>
    <x v="3"/>
    <n v="1605331"/>
    <n v="166355563"/>
    <n v="9.6499989002471771E-3"/>
    <n v="1.01E-2"/>
    <n v="1.0466322436307527"/>
    <n v="0.14000000000000001"/>
    <n v="7.2142857142857134E-2"/>
    <n v="0.14000000000000001"/>
    <n v="0"/>
  </r>
  <r>
    <x v="99"/>
    <x v="0"/>
    <n v="3061251.15"/>
    <n v="166355563"/>
    <n v="1.8401856209641753E-2"/>
    <n v="1.8330851400000001E-2"/>
    <n v="0.99614143221027074"/>
    <n v="0.15"/>
    <n v="0.12220567600000001"/>
    <n v="0.15"/>
    <n v="0"/>
  </r>
  <r>
    <x v="99"/>
    <x v="1"/>
    <n v="2796437"/>
    <n v="166355563"/>
    <n v="1.6809999915662573E-2"/>
    <n v="1.5972E-2"/>
    <n v="0.95014872576639497"/>
    <n v="0.15"/>
    <n v="0.10648000000000001"/>
    <n v="0.15"/>
    <n v="0"/>
  </r>
  <r>
    <x v="99"/>
    <x v="2"/>
    <n v="2520287"/>
    <n v="166355563"/>
    <n v="1.5150001325774719E-2"/>
    <n v="3.0049999999999999E-3"/>
    <n v="0.1983498176259291"/>
    <n v="0.15"/>
    <n v="2.0033333333333334E-2"/>
    <n v="0.15"/>
    <n v="0"/>
  </r>
  <r>
    <x v="99"/>
    <x v="3"/>
    <n v="1605331"/>
    <n v="166355563"/>
    <n v="9.6499989002471771E-3"/>
    <n v="1.11E-2"/>
    <n v="1.1502591984456789"/>
    <n v="0.15"/>
    <n v="7.400000000000001E-2"/>
    <n v="0.15"/>
    <n v="0"/>
  </r>
  <r>
    <x v="100"/>
    <x v="0"/>
    <n v="645407.11"/>
    <n v="9133687"/>
    <n v="7.0662275814794173E-2"/>
    <n v="1.3493369900000001"/>
    <n v="19.095577865856068"/>
    <n v="15.8"/>
    <n v="8.5401075316455702E-2"/>
    <n v="0"/>
    <n v="15.8"/>
  </r>
  <r>
    <x v="100"/>
    <x v="1"/>
    <n v="9737000"/>
    <n v="9133687"/>
    <n v="1.0660536101138565"/>
    <n v="0.91752482999999996"/>
    <n v="0.86067419245642496"/>
    <n v="15.8"/>
    <n v="5.8071191772151892E-2"/>
    <n v="0"/>
    <n v="15.8"/>
  </r>
  <r>
    <x v="100"/>
    <x v="2"/>
    <n v="18645000"/>
    <n v="9133687"/>
    <n v="2.0413443114483778"/>
    <n v="0.50479059999999998"/>
    <n v="0.24728341866142128"/>
    <n v="15.8"/>
    <n v="3.194877215189873E-2"/>
    <n v="0"/>
    <n v="15.8"/>
  </r>
  <r>
    <x v="101"/>
    <x v="0"/>
    <n v="268308000"/>
    <n v="176611578"/>
    <n v="1.5191982487127769"/>
    <n v="0.40200000000000002"/>
    <n v="0.26461325922447337"/>
    <n v="21.71"/>
    <n v="1.8516812528788576E-2"/>
    <n v="0"/>
    <n v="21.71"/>
  </r>
  <r>
    <x v="101"/>
    <x v="1"/>
    <n v="151938000"/>
    <n v="176611578"/>
    <n v="0.86029467445220376"/>
    <n v="0.38"/>
    <n v="0.44170911582355965"/>
    <n v="21.71"/>
    <n v="1.7503454629203132E-2"/>
    <n v="0"/>
    <n v="21.71"/>
  </r>
  <r>
    <x v="101"/>
    <x v="2"/>
    <n v="151547000"/>
    <n v="176611578"/>
    <n v="0.85808077656154569"/>
    <n v="0.36499999999999999"/>
    <n v="0.42536787907381868"/>
    <n v="21.71"/>
    <n v="1.681252878857669E-2"/>
    <n v="0"/>
    <n v="21.71"/>
  </r>
  <r>
    <x v="101"/>
    <x v="3"/>
    <n v="92927000"/>
    <n v="176611578"/>
    <n v="0.52616595725111526"/>
    <n v="0.315"/>
    <n v="0.59867043023018063"/>
    <n v="21.71"/>
    <n v="1.4509442653155227E-2"/>
    <n v="0"/>
    <n v="21.71"/>
  </r>
  <r>
    <x v="102"/>
    <x v="0"/>
    <n v="4539233257.3500004"/>
    <n v="5470667261"/>
    <n v="0.82974032979667278"/>
    <n v="0.34289999999999998"/>
    <n v="0.41326182142312806"/>
    <n v="12"/>
    <n v="2.8575E-2"/>
    <n v="12"/>
    <n v="0"/>
  </r>
  <r>
    <x v="102"/>
    <x v="1"/>
    <n v="4693567188.1000004"/>
    <n v="5470667261"/>
    <n v="0.85795150100977791"/>
    <n v="0.33350000000000002"/>
    <n v="0.38871661114583117"/>
    <n v="12"/>
    <n v="2.7791666666666669E-2"/>
    <n v="12"/>
    <n v="0"/>
  </r>
  <r>
    <x v="102"/>
    <x v="2"/>
    <n v="4309548054.5299997"/>
    <n v="5470667261"/>
    <n v="0.78775546910931016"/>
    <n v="0.29649999999999999"/>
    <n v="0.37638583497902339"/>
    <n v="12"/>
    <n v="2.4708333333333332E-2"/>
    <n v="12"/>
    <n v="0"/>
  </r>
  <r>
    <x v="102"/>
    <x v="3"/>
    <n v="2858809105.48"/>
    <n v="5470667261"/>
    <n v="0.52257045970612181"/>
    <n v="0.25769999999999998"/>
    <n v="0.49313924125164449"/>
    <n v="12"/>
    <n v="2.1474999999999998E-2"/>
    <n v="12"/>
    <n v="0"/>
  </r>
  <r>
    <x v="103"/>
    <x v="0"/>
    <n v="4539233257.3500004"/>
    <n v="5470667261"/>
    <n v="0.82974032979667278"/>
    <n v="0.34289999999999998"/>
    <n v="0.41326182142312806"/>
    <n v="8.89"/>
    <n v="3.8571428571428569E-2"/>
    <n v="8.89"/>
    <n v="0"/>
  </r>
  <r>
    <x v="103"/>
    <x v="1"/>
    <n v="4693567188.1000004"/>
    <n v="5470667261"/>
    <n v="0.85795150100977791"/>
    <n v="0.33350000000000002"/>
    <n v="0.38871661114583117"/>
    <n v="8.89"/>
    <n v="3.75140607424072E-2"/>
    <n v="8.89"/>
    <n v="0"/>
  </r>
  <r>
    <x v="103"/>
    <x v="2"/>
    <n v="4309548054.5299997"/>
    <n v="5470667261"/>
    <n v="0.78775546910931016"/>
    <n v="0.29649999999999999"/>
    <n v="0.37638583497902339"/>
    <n v="8.89"/>
    <n v="3.3352080989876264E-2"/>
    <n v="8.89"/>
    <n v="0"/>
  </r>
  <r>
    <x v="103"/>
    <x v="3"/>
    <n v="2858809105.48"/>
    <n v="5470667261"/>
    <n v="0.52257045970612181"/>
    <n v="0.25769999999999998"/>
    <n v="0.49313924125164449"/>
    <n v="8.89"/>
    <n v="2.8987626546681661E-2"/>
    <n v="8.89"/>
    <n v="0"/>
  </r>
  <r>
    <x v="104"/>
    <x v="0"/>
    <n v="10799538178.68"/>
    <n v="5028029710"/>
    <n v="2.14786681892538"/>
    <n v="1"/>
    <n v="0.46557821518017567"/>
    <n v="29.23"/>
    <n v="3.4211426616489904E-2"/>
    <n v="29.23"/>
    <n v="0"/>
  </r>
  <r>
    <x v="104"/>
    <x v="1"/>
    <n v="11890195760.129999"/>
    <n v="5028029710"/>
    <n v="2.364782319500256"/>
    <n v="0.97270000000000001"/>
    <n v="0.41132750020118491"/>
    <n v="29.23"/>
    <n v="3.3277454669859735E-2"/>
    <n v="29.23"/>
    <n v="0"/>
  </r>
  <r>
    <x v="104"/>
    <x v="2"/>
    <n v="10272015528.35"/>
    <n v="5028029710"/>
    <n v="2.0429504439722175"/>
    <n v="0.86070000000000002"/>
    <n v="0.42130243664966005"/>
    <n v="29.23"/>
    <n v="2.9445774888812865E-2"/>
    <n v="29.23"/>
    <n v="0"/>
  </r>
  <r>
    <x v="105"/>
    <x v="0"/>
    <n v="10799538178.68"/>
    <n v="5028029710"/>
    <n v="2.14786681892538"/>
    <n v="1"/>
    <n v="0.46557821518017567"/>
    <n v="31.64"/>
    <n v="3.1605562579013903E-2"/>
    <n v="31.64"/>
    <n v="0"/>
  </r>
  <r>
    <x v="105"/>
    <x v="1"/>
    <n v="11890195760.129999"/>
    <n v="5028029710"/>
    <n v="2.364782319500256"/>
    <n v="0.97270000000000001"/>
    <n v="0.41132750020118491"/>
    <n v="31.64"/>
    <n v="3.0742730720606827E-2"/>
    <n v="31.64"/>
    <n v="0"/>
  </r>
  <r>
    <x v="105"/>
    <x v="2"/>
    <n v="10272015528.35"/>
    <n v="5028029710"/>
    <n v="2.0429504439722175"/>
    <n v="0.86070000000000002"/>
    <n v="0.42130243664966005"/>
    <n v="31.64"/>
    <n v="2.720290771175727E-2"/>
    <n v="31.64"/>
    <n v="0"/>
  </r>
  <r>
    <x v="106"/>
    <x v="0"/>
    <n v="718939800.83000004"/>
    <n v="2943644008"/>
    <n v="0.244234628533927"/>
    <n v="5.8005724000000002E-2"/>
    <n v="0.23749999886663223"/>
    <n v="8.3699999999999992"/>
    <n v="6.9301940262843495E-3"/>
    <n v="0"/>
    <n v="8.3699999999999992"/>
  </r>
  <r>
    <x v="106"/>
    <x v="1"/>
    <n v="-75180667.959999993"/>
    <n v="2943644008"/>
    <n v="-2.5539999998532428E-2"/>
    <n v="0"/>
    <s v=""/>
    <n v="8.3699999999999992"/>
    <s v=""/>
    <n v="0"/>
    <n v="8.3699999999999992"/>
  </r>
  <r>
    <x v="106"/>
    <x v="2"/>
    <n v="-357505564.80000001"/>
    <n v="2943644008"/>
    <n v="-0.12145000000964791"/>
    <n v="0"/>
    <s v=""/>
    <n v="8.3699999999999992"/>
    <s v=""/>
    <n v="0"/>
    <n v="8.3699999999999992"/>
  </r>
  <r>
    <x v="107"/>
    <x v="0"/>
    <n v="751965362.53999996"/>
    <n v="917683296"/>
    <n v="0.81941707538719322"/>
    <n v="0.2064"/>
    <n v="0.25188637898773503"/>
    <n v="11"/>
    <n v="1.8763636363636364E-2"/>
    <n v="11"/>
    <n v="0"/>
  </r>
  <r>
    <x v="107"/>
    <x v="1"/>
    <n v="182710744"/>
    <n v="917683296"/>
    <n v="0.19909999974544595"/>
    <n v="0.1447"/>
    <n v="0.72677046803115197"/>
    <n v="11"/>
    <n v="1.3154545454545453E-2"/>
    <n v="11"/>
    <n v="0"/>
  </r>
  <r>
    <x v="107"/>
    <x v="2"/>
    <n v="559786811"/>
    <n v="917683296"/>
    <n v="0.61000000047946823"/>
    <n v="0.12509999999999999"/>
    <n v="0.20508196705191753"/>
    <n v="11"/>
    <n v="1.1372727272727272E-2"/>
    <n v="11"/>
    <n v="0"/>
  </r>
  <r>
    <x v="108"/>
    <x v="0"/>
    <n v="751965362.53999996"/>
    <n v="917683296"/>
    <n v="0.81941707538719322"/>
    <n v="0.22700000000000001"/>
    <n v="0.27702620169678221"/>
    <n v="11.87"/>
    <n v="1.9123841617523171E-2"/>
    <n v="11.87"/>
    <n v="0"/>
  </r>
  <r>
    <x v="108"/>
    <x v="1"/>
    <n v="182710744"/>
    <n v="917683296"/>
    <n v="0.19909999974544595"/>
    <n v="0.15920000000000001"/>
    <n v="0.79959819288569045"/>
    <n v="11.87"/>
    <n v="1.3411962931760743E-2"/>
    <n v="11.87"/>
    <n v="0"/>
  </r>
  <r>
    <x v="108"/>
    <x v="2"/>
    <n v="559786811"/>
    <n v="917683296"/>
    <n v="0.61000000047946823"/>
    <n v="0.1376"/>
    <n v="0.22557377031449924"/>
    <n v="11.87"/>
    <n v="1.1592249368155014E-2"/>
    <n v="11.87"/>
    <n v="0"/>
  </r>
  <r>
    <x v="109"/>
    <x v="0"/>
    <n v="3722000"/>
    <n v="65075322"/>
    <n v="5.7195260593562641E-2"/>
    <n v="0.15492519799999999"/>
    <n v="2.7087069171853182"/>
    <n v="6.81"/>
    <n v="2.2749661967694568E-2"/>
    <n v="0"/>
    <n v="6.81"/>
  </r>
  <r>
    <x v="109"/>
    <x v="1"/>
    <n v="22576000"/>
    <n v="65075322"/>
    <n v="0.34692106479319457"/>
    <n v="0.22154209999999999"/>
    <n v="0.63859512287633768"/>
    <n v="6.81"/>
    <n v="3.2531879588839942E-2"/>
    <n v="0"/>
    <n v="6.81"/>
  </r>
  <r>
    <x v="110"/>
    <x v="0"/>
    <n v="423923458.43000001"/>
    <n v="203934060"/>
    <n v="2.0787280870591212"/>
    <n v="1.71"/>
    <n v="0.82261841298311467"/>
    <n v="21.8"/>
    <n v="7.8440366972477055E-2"/>
    <n v="21.8"/>
    <n v="0"/>
  </r>
  <r>
    <x v="110"/>
    <x v="1"/>
    <n v="310647000"/>
    <n v="203934060"/>
    <n v="1.523271786968788"/>
    <n v="1.45"/>
    <n v="0.95189841524302499"/>
    <n v="21.8"/>
    <n v="6.6513761467889898E-2"/>
    <n v="21.8"/>
    <n v="0"/>
  </r>
  <r>
    <x v="110"/>
    <x v="2"/>
    <n v="575150000"/>
    <n v="203934060"/>
    <n v="2.8202743573094167"/>
    <n v="1.72"/>
    <n v="0.6098697438928975"/>
    <n v="21.8"/>
    <n v="7.889908256880733E-2"/>
    <n v="21.8"/>
    <n v="0"/>
  </r>
  <r>
    <x v="111"/>
    <x v="0"/>
    <n v="13335000"/>
    <n v="11764889"/>
    <n v="1.1334573577362268"/>
    <n v="0.27145999999999998"/>
    <n v="0.23949732043044619"/>
    <n v="49.6"/>
    <n v="5.4729838709677413E-3"/>
    <n v="49.6"/>
    <n v="0"/>
  </r>
  <r>
    <x v="111"/>
    <x v="1"/>
    <n v="23655000"/>
    <n v="11764889"/>
    <n v="2.0106437043307421"/>
    <n v="1.9100999999999999"/>
    <n v="0.94999427093214961"/>
    <n v="49.6"/>
    <n v="3.8510080645161288E-2"/>
    <n v="49.6"/>
    <n v="0"/>
  </r>
  <r>
    <x v="111"/>
    <x v="2"/>
    <n v="23252000"/>
    <n v="11764889"/>
    <n v="1.9763892375015182"/>
    <n v="0.92493999999999998"/>
    <n v="0.46799485771804578"/>
    <n v="49.6"/>
    <n v="1.8647983870967742E-2"/>
    <n v="49.6"/>
    <n v="0"/>
  </r>
  <r>
    <x v="111"/>
    <x v="3"/>
    <n v="11051000"/>
    <n v="11764889"/>
    <n v="0.93932037947829339"/>
    <n v="6.5060000000000007E-2"/>
    <n v="6.9262843031399887E-2"/>
    <n v="49.6"/>
    <n v="1.3116935483870969E-3"/>
    <n v="49.6"/>
    <n v="0"/>
  </r>
  <r>
    <x v="112"/>
    <x v="0"/>
    <n v="70727730.280000001"/>
    <n v="290677834"/>
    <n v="0.24331999900618498"/>
    <n v="5.7530390000000001E-2"/>
    <n v="0.23643921681315488"/>
    <n v="5.85"/>
    <n v="9.8342547008547013E-3"/>
    <n v="0"/>
    <n v="5.85"/>
  </r>
  <r>
    <x v="112"/>
    <x v="1"/>
    <n v="97911000"/>
    <n v="290677834"/>
    <n v="0.33683682946392124"/>
    <n v="0.03"/>
    <n v="8.9063894965836304E-2"/>
    <n v="5.85"/>
    <n v="5.1282051282051282E-3"/>
    <n v="0"/>
    <n v="5.85"/>
  </r>
  <r>
    <x v="112"/>
    <x v="2"/>
    <n v="91765000"/>
    <n v="290677834"/>
    <n v="0.31569314638556167"/>
    <n v="0"/>
    <s v=""/>
    <n v="5.85"/>
    <s v=""/>
    <n v="0"/>
    <n v="5.85"/>
  </r>
  <r>
    <x v="113"/>
    <x v="0"/>
    <n v="16768000"/>
    <n v="11759999"/>
    <n v="1.4258504613818419"/>
    <n v="0.42399999999999999"/>
    <n v="0.29736638692748091"/>
    <n v="83.91"/>
    <n v="5.0530330115600049E-3"/>
    <n v="0"/>
    <n v="83.91"/>
  </r>
  <r>
    <x v="113"/>
    <x v="1"/>
    <n v="8649000"/>
    <n v="11759999"/>
    <n v="0.7354592462125209"/>
    <n v="0.18870000000000001"/>
    <n v="0.25657437984738124"/>
    <n v="83.91"/>
    <n v="2.2488380407579551E-3"/>
    <n v="0"/>
    <n v="83.91"/>
  </r>
  <r>
    <x v="113"/>
    <x v="2"/>
    <n v="24344000"/>
    <n v="11759999"/>
    <n v="2.0700682032370921"/>
    <n v="0.54059999999999997"/>
    <n v="0.2611508157821229"/>
    <n v="83.91"/>
    <n v="6.4426170897390056E-3"/>
    <n v="0"/>
    <n v="83.91"/>
  </r>
  <r>
    <x v="114"/>
    <x v="0"/>
    <n v="16768000"/>
    <n v="11759999"/>
    <n v="1.4258504613818419"/>
    <n v="0.52300000000000002"/>
    <n v="0.36679863293177484"/>
    <n v="8.5"/>
    <n v="6.1529411764705888E-2"/>
    <n v="0"/>
    <n v="8.5"/>
  </r>
  <r>
    <x v="114"/>
    <x v="1"/>
    <n v="8649000"/>
    <n v="11759999"/>
    <n v="0.7354592462125209"/>
    <n v="0.38419999999999999"/>
    <n v="0.5223946832928662"/>
    <n v="8.5"/>
    <n v="4.5199999999999997E-2"/>
    <n v="0"/>
    <n v="8.5"/>
  </r>
  <r>
    <x v="114"/>
    <x v="2"/>
    <n v="24344000"/>
    <n v="11759999"/>
    <n v="2.0700682032370921"/>
    <n v="0.62594000000000005"/>
    <n v="0.3023765106005587"/>
    <n v="8.5"/>
    <n v="7.3640000000000011E-2"/>
    <n v="0"/>
    <n v="8.5"/>
  </r>
  <r>
    <x v="115"/>
    <x v="0"/>
    <n v="172669675.86000001"/>
    <n v="12251221"/>
    <n v="14.094078937927902"/>
    <n v="3.8149609419999999"/>
    <n v="0.27067827268469036"/>
    <n v="158.99"/>
    <n v="2.3994974161896974E-2"/>
    <n v="0"/>
    <n v="158.99"/>
  </r>
  <r>
    <x v="115"/>
    <x v="1"/>
    <n v="181046595.15000001"/>
    <n v="12251221"/>
    <n v="14.777840931120254"/>
    <n v="5.4828608059999997"/>
    <n v="0.37101907048233224"/>
    <n v="158.99"/>
    <n v="3.4485570199383607E-2"/>
    <n v="0"/>
    <n v="158.99"/>
  </r>
  <r>
    <x v="115"/>
    <x v="2"/>
    <n v="111311611.06999999"/>
    <n v="12251221"/>
    <n v="9.0857565192889744"/>
    <n v="3.6731054410000001"/>
    <n v="0.40427073223919574"/>
    <n v="158.99"/>
    <n v="2.3102745084596515E-2"/>
    <n v="0"/>
    <n v="158.99"/>
  </r>
  <r>
    <x v="115"/>
    <x v="3"/>
    <n v="74101153.209999993"/>
    <n v="12251221"/>
    <n v="6.0484708593535288"/>
    <n v="3.9996022359999999"/>
    <n v="0.66125841208524638"/>
    <n v="158.99"/>
    <n v="2.5156313202088179E-2"/>
    <n v="0"/>
    <n v="158.99"/>
  </r>
  <r>
    <x v="116"/>
    <x v="0"/>
    <n v="386792226.60000002"/>
    <n v="189997214"/>
    <n v="2.0357784119929256"/>
    <n v="1.0304815780000001"/>
    <n v="0.50618553175009351"/>
    <n v="48.22"/>
    <n v="2.1370418457071758E-2"/>
    <n v="0"/>
    <n v="48.22"/>
  </r>
  <r>
    <x v="116"/>
    <x v="1"/>
    <n v="296889622.02999997"/>
    <n v="189997214"/>
    <n v="1.5625998707012618"/>
    <n v="0.784386535"/>
    <n v="0.50197529752001313"/>
    <n v="48.22"/>
    <n v="1.6266829842389051E-2"/>
    <n v="0"/>
    <n v="48.22"/>
  </r>
  <r>
    <x v="116"/>
    <x v="2"/>
    <n v="216710069.06"/>
    <n v="189997214"/>
    <n v="1.1405960355818692"/>
    <n v="0.54198311700000001"/>
    <n v="0.47517534700487551"/>
    <n v="48.22"/>
    <n v="1.1239799191206969E-2"/>
    <n v="0"/>
    <n v="48.22"/>
  </r>
  <r>
    <x v="116"/>
    <x v="3"/>
    <n v="170612814.30000001"/>
    <n v="189997214"/>
    <n v="0.89797534768062448"/>
    <n v="0.32047732699999998"/>
    <n v="0.35688878077528419"/>
    <n v="48.22"/>
    <n v="6.6461494608046449E-3"/>
    <n v="0"/>
    <n v="48.22"/>
  </r>
  <r>
    <x v="117"/>
    <x v="0"/>
    <n v="837439831.94000006"/>
    <n v="1797086404"/>
    <n v="0.46599864651805584"/>
    <n v="4.07"/>
    <n v="8.7339309468193953"/>
    <n v="4.2"/>
    <n v="0.96904761904761905"/>
    <n v="0"/>
    <n v="4.2"/>
  </r>
  <r>
    <x v="117"/>
    <x v="1"/>
    <n v="1005731443.8099999"/>
    <n v="1797086404"/>
    <n v="0.55964556939021837"/>
    <n v="0.92"/>
    <n v="1.6438975850419375"/>
    <n v="4.2"/>
    <n v="0.21904761904761905"/>
    <n v="0"/>
    <n v="4.2"/>
  </r>
  <r>
    <x v="117"/>
    <x v="2"/>
    <n v="1971024029.29"/>
    <n v="1797086404"/>
    <n v="1.0967886824489046"/>
    <n v="0"/>
    <s v=""/>
    <n v="4.2"/>
    <s v=""/>
    <n v="0"/>
    <n v="4.2"/>
  </r>
  <r>
    <x v="118"/>
    <x v="0"/>
    <n v="837439831.94000006"/>
    <n v="1797086404"/>
    <n v="0.46599864651805584"/>
    <n v="4.07"/>
    <n v="8.7339309468193953"/>
    <n v="4.03"/>
    <n v="1.0099255583126552"/>
    <n v="0"/>
    <n v="4.03"/>
  </r>
  <r>
    <x v="118"/>
    <x v="1"/>
    <n v="1005731443.8099999"/>
    <n v="1797086404"/>
    <n v="0.55964556939021837"/>
    <n v="0.92"/>
    <n v="1.6438975850419375"/>
    <n v="4.03"/>
    <n v="0.22828784119106699"/>
    <n v="0"/>
    <n v="4.03"/>
  </r>
  <r>
    <x v="118"/>
    <x v="2"/>
    <n v="1971024029.29"/>
    <n v="1797086404"/>
    <n v="1.0967886824489046"/>
    <n v="0"/>
    <s v=""/>
    <n v="4.03"/>
    <s v=""/>
    <n v="0"/>
    <n v="4.03"/>
  </r>
  <r>
    <x v="119"/>
    <x v="0"/>
    <n v="15469895.77"/>
    <n v="12587262"/>
    <n v="1.2290119781410762"/>
    <n v="1.0680540000000001"/>
    <n v="0.86903465466257634"/>
    <n v="18.75"/>
    <n v="5.696288E-2"/>
    <n v="0"/>
    <n v="18.75"/>
  </r>
  <r>
    <x v="119"/>
    <x v="1"/>
    <n v="13306306.460000001"/>
    <n v="12587262"/>
    <n v="1.0571247710582334"/>
    <n v="1.003811"/>
    <n v="0.9495671915767675"/>
    <n v="18.75"/>
    <n v="5.353658666666667E-2"/>
    <n v="0"/>
    <n v="18.75"/>
  </r>
  <r>
    <x v="119"/>
    <x v="2"/>
    <n v="19966613.23"/>
    <n v="12587262"/>
    <n v="1.5862554723974125"/>
    <n v="0.962588"/>
    <n v="0.6068303730074307"/>
    <n v="18.75"/>
    <n v="5.1338026666666668E-2"/>
    <n v="0"/>
    <n v="18.75"/>
  </r>
  <r>
    <x v="119"/>
    <x v="3"/>
    <n v="8984823.1899999995"/>
    <n v="12587262"/>
    <n v="0.71380282622225544"/>
    <n v="0.86186600000000002"/>
    <n v="1.2074286740518487"/>
    <n v="18.75"/>
    <n v="4.5966186666666665E-2"/>
    <n v="0"/>
    <n v="18.75"/>
  </r>
  <r>
    <x v="120"/>
    <x v="0"/>
    <n v="20894905121.599998"/>
    <n v="13044496930"/>
    <n v="1.6018176272896711"/>
    <n v="0.47"/>
    <n v="0.29341667365420099"/>
    <n v="15.51"/>
    <n v="3.03030303030303E-2"/>
    <n v="0"/>
    <n v="15.51"/>
  </r>
  <r>
    <x v="120"/>
    <x v="1"/>
    <n v="33133022202"/>
    <n v="13044496930"/>
    <n v="2.5399999999846679"/>
    <n v="0.92"/>
    <n v="0.3622047244116352"/>
    <n v="15.51"/>
    <n v="5.931656995486783E-2"/>
    <n v="0"/>
    <n v="15.51"/>
  </r>
  <r>
    <x v="120"/>
    <x v="2"/>
    <n v="46307964102"/>
    <n v="13044496930"/>
    <n v="3.5500000000383305"/>
    <n v="1.03"/>
    <n v="0.29014084506728982"/>
    <n v="15.51"/>
    <n v="6.6408768536428117E-2"/>
    <n v="0"/>
    <n v="15.51"/>
  </r>
  <r>
    <x v="120"/>
    <x v="3"/>
    <n v="44612179501"/>
    <n v="13044496930"/>
    <n v="3.4200000000306643"/>
    <n v="0.95"/>
    <n v="0.27777777777528717"/>
    <n v="15.51"/>
    <n v="6.1250805931656993E-2"/>
    <n v="0"/>
    <n v="15.51"/>
  </r>
  <r>
    <x v="121"/>
    <x v="0"/>
    <n v="20894905121.599998"/>
    <n v="13044496930"/>
    <n v="1.6018176272896711"/>
    <n v="0.96"/>
    <n v="0.5993191632085807"/>
    <n v="16.440000000000001"/>
    <n v="5.8394160583941597E-2"/>
    <n v="0"/>
    <n v="16.440000000000001"/>
  </r>
  <r>
    <x v="121"/>
    <x v="1"/>
    <n v="33133022202"/>
    <n v="13044496930"/>
    <n v="2.5399999999846679"/>
    <n v="0.92"/>
    <n v="0.3622047244116352"/>
    <n v="16.440000000000001"/>
    <n v="5.5961070559610707E-2"/>
    <n v="0"/>
    <n v="16.440000000000001"/>
  </r>
  <r>
    <x v="121"/>
    <x v="2"/>
    <n v="46307964102"/>
    <n v="13044496930"/>
    <n v="3.5500000000383305"/>
    <n v="1.03"/>
    <n v="0.29014084506728982"/>
    <n v="16.440000000000001"/>
    <n v="6.2652068126520674E-2"/>
    <n v="0"/>
    <n v="16.440000000000001"/>
  </r>
  <r>
    <x v="121"/>
    <x v="3"/>
    <n v="44612179501"/>
    <n v="13044496930"/>
    <n v="3.4200000000306643"/>
    <n v="0.95"/>
    <n v="0.27777777777528717"/>
    <n v="16.440000000000001"/>
    <n v="5.7785888077858873E-2"/>
    <n v="0"/>
    <n v="16.440000000000001"/>
  </r>
  <r>
    <x v="122"/>
    <x v="0"/>
    <n v="187453404.96000001"/>
    <n v="110842313"/>
    <n v="1.6911718989480129"/>
    <n v="0.92906"/>
    <n v="0.54935870243463614"/>
    <n v="10.18"/>
    <n v="9.1263261296660125E-2"/>
    <n v="10.18"/>
    <n v="0"/>
  </r>
  <r>
    <x v="122"/>
    <x v="1"/>
    <n v="161513908.16999999"/>
    <n v="110842313"/>
    <n v="1.4571502867321073"/>
    <n v="0.83615399999999995"/>
    <n v="0.57382825067084131"/>
    <n v="10.18"/>
    <n v="8.2136935166994107E-2"/>
    <n v="10.18"/>
    <n v="0"/>
  </r>
  <r>
    <x v="122"/>
    <x v="2"/>
    <n v="116428578.18000001"/>
    <n v="110842313"/>
    <n v="1.0503983093532161"/>
    <n v="0.69679500000000005"/>
    <n v="0.66336264424211833"/>
    <n v="10.18"/>
    <n v="6.8447445972495094E-2"/>
    <n v="10.18"/>
    <n v="0"/>
  </r>
  <r>
    <x v="122"/>
    <x v="3"/>
    <n v="86911496.730000004"/>
    <n v="110842313"/>
    <n v="0.78410035281382129"/>
    <n v="0.69679500000000005"/>
    <n v="0.88865538384147214"/>
    <n v="10.18"/>
    <n v="6.8447445972495094E-2"/>
    <n v="10.18"/>
    <n v="0"/>
  </r>
  <r>
    <x v="123"/>
    <x v="0"/>
    <n v="196691606.94"/>
    <n v="87289932"/>
    <n v="2.2533137835414969"/>
    <n v="0.72"/>
    <n v="0.31952939943783043"/>
    <n v="11.68"/>
    <n v="6.1643835616438353E-2"/>
    <n v="11.68"/>
    <n v="0"/>
  </r>
  <r>
    <x v="123"/>
    <x v="1"/>
    <n v="359474959.12"/>
    <n v="87289932"/>
    <n v="4.118172060438769"/>
    <n v="1.0900000000000001"/>
    <n v="0.26468053884175652"/>
    <n v="11.68"/>
    <n v="9.332191780821919E-2"/>
    <n v="11.68"/>
    <n v="0"/>
  </r>
  <r>
    <x v="123"/>
    <x v="2"/>
    <n v="117452154.81999999"/>
    <n v="87289932"/>
    <n v="1.3455406841192177"/>
    <n v="0.52"/>
    <n v="0.38646174444022008"/>
    <n v="11.68"/>
    <n v="4.4520547945205484E-2"/>
    <n v="11.68"/>
    <n v="0"/>
  </r>
  <r>
    <x v="124"/>
    <x v="0"/>
    <n v="45071000"/>
    <n v="80041132"/>
    <n v="0.56309798317195214"/>
    <n v="0.66"/>
    <n v="1.1720873093563489"/>
    <n v="7.7"/>
    <n v="8.5714285714285715E-2"/>
    <n v="0"/>
    <n v="7.7"/>
  </r>
  <r>
    <x v="124"/>
    <x v="1"/>
    <n v="29451000"/>
    <n v="80041132"/>
    <n v="0.36794831937159511"/>
    <n v="0.5"/>
    <n v="1.3588864894231094"/>
    <n v="7.7"/>
    <n v="6.4935064935064929E-2"/>
    <n v="0"/>
    <n v="7.7"/>
  </r>
  <r>
    <x v="124"/>
    <x v="2"/>
    <n v="23814000"/>
    <n v="80041132"/>
    <n v="0.29752202904876457"/>
    <n v="0.41"/>
    <n v="1.37804921978668"/>
    <n v="7.7"/>
    <n v="5.3246753246753244E-2"/>
    <n v="0"/>
    <n v="7.7"/>
  </r>
  <r>
    <x v="125"/>
    <x v="0"/>
    <n v="682580077"/>
    <n v="323293030"/>
    <n v="2.111335579984511"/>
    <n v="1.05"/>
    <n v="0.49731554280333917"/>
    <n v="29.01"/>
    <n v="3.6194415718717683E-2"/>
    <n v="29.01"/>
    <n v="0"/>
  </r>
  <r>
    <x v="125"/>
    <x v="1"/>
    <n v="580084000"/>
    <n v="323293030"/>
    <n v="1.7942978851106068"/>
    <n v="0.84"/>
    <n v="0.46814969073444535"/>
    <n v="29.01"/>
    <n v="2.8955532574974144E-2"/>
    <n v="29.01"/>
    <n v="0"/>
  </r>
  <r>
    <x v="125"/>
    <x v="2"/>
    <n v="623912000"/>
    <n v="323293030"/>
    <n v="1.9298652989827836"/>
    <n v="0.72"/>
    <n v="0.37308303350472499"/>
    <n v="29.01"/>
    <n v="2.481902792140641E-2"/>
    <n v="29.01"/>
    <n v="0"/>
  </r>
  <r>
    <x v="125"/>
    <x v="3"/>
    <n v="328416000"/>
    <n v="323293030"/>
    <n v="1.0158462123356016"/>
    <n v="0.4"/>
    <n v="0.39376038926239892"/>
    <n v="29.01"/>
    <n v="1.3788348845225784E-2"/>
    <n v="29.01"/>
    <n v="0"/>
  </r>
  <r>
    <x v="126"/>
    <x v="0"/>
    <n v="313688976.75999999"/>
    <n v="17887362"/>
    <n v="17.53690548444203"/>
    <n v="5.0837892499999997"/>
    <n v="0.28989089634486048"/>
    <n v="56.6"/>
    <n v="8.9819598056537095E-2"/>
    <n v="0"/>
    <n v="56.6"/>
  </r>
  <r>
    <x v="126"/>
    <x v="1"/>
    <n v="96465537.109999999"/>
    <n v="17887362"/>
    <n v="5.392943750453532"/>
    <n v="2.3852000000000002"/>
    <n v="0.44228163881728072"/>
    <n v="56.6"/>
    <n v="4.2141342756183746E-2"/>
    <n v="0"/>
    <n v="56.6"/>
  </r>
  <r>
    <x v="126"/>
    <x v="2"/>
    <n v="86203563.489999995"/>
    <n v="17887362"/>
    <n v="4.8192440836161303"/>
    <n v="1.2701"/>
    <n v="0.26354755599906815"/>
    <n v="56.6"/>
    <n v="2.2439929328621908E-2"/>
    <n v="0"/>
    <n v="56.6"/>
  </r>
  <r>
    <x v="126"/>
    <x v="3"/>
    <n v="74229898.859999999"/>
    <n v="17887362"/>
    <n v="4.1498516583943452"/>
    <n v="0.79869999999999997"/>
    <n v="0.1924647109697005"/>
    <n v="56.6"/>
    <n v="1.4111307420494698E-2"/>
    <n v="0"/>
    <n v="56.6"/>
  </r>
  <r>
    <x v="127"/>
    <x v="0"/>
    <n v="82468112.400000006"/>
    <n v="265806905"/>
    <n v="0.31025571890241155"/>
    <n v="3.0000000000000001E-6"/>
    <n v="9.6694430343236506E-6"/>
    <n v="9.35"/>
    <n v="3.2085561497326203E-7"/>
    <n v="0"/>
    <n v="9.35"/>
  </r>
  <r>
    <x v="127"/>
    <x v="1"/>
    <n v="92137357.700000003"/>
    <n v="265806905"/>
    <n v="0.34663267193905289"/>
    <n v="3.0000000000000001E-6"/>
    <n v="8.6546948480594434E-6"/>
    <n v="9.35"/>
    <n v="3.2085561497326203E-7"/>
    <n v="0"/>
    <n v="9.35"/>
  </r>
  <r>
    <x v="127"/>
    <x v="2"/>
    <n v="35594641.18"/>
    <n v="265806905"/>
    <n v="0.13391164981210701"/>
    <n v="0.18173600000000001"/>
    <n v="1.3571336045444582"/>
    <n v="9.35"/>
    <n v="1.9437005347593586E-2"/>
    <n v="0"/>
    <n v="9.35"/>
  </r>
  <r>
    <x v="128"/>
    <x v="0"/>
    <n v="26381000"/>
    <n v="166720235"/>
    <n v="0.15823514164312449"/>
    <n v="6.1899999999999997E-2"/>
    <n v="0.39118996802623096"/>
    <n v="3.2"/>
    <n v="1.9343749999999996E-2"/>
    <n v="3.2"/>
    <n v="0"/>
  </r>
  <r>
    <x v="128"/>
    <x v="1"/>
    <n v="9354000"/>
    <n v="166720235"/>
    <n v="5.610596698115259E-2"/>
    <n v="6.0350000000000001E-2"/>
    <n v="1.0756431668002993"/>
    <n v="3.2"/>
    <n v="1.8859374999999998E-2"/>
    <n v="3.2"/>
    <n v="0"/>
  </r>
  <r>
    <x v="128"/>
    <x v="2"/>
    <n v="34360000"/>
    <n v="166720235"/>
    <n v="0.20609375940478972"/>
    <n v="5.9830000000000001E-2"/>
    <n v="0.29030476309807918"/>
    <n v="3.2"/>
    <n v="1.8696874999999998E-2"/>
    <n v="3.2"/>
    <n v="0"/>
  </r>
  <r>
    <x v="129"/>
    <x v="0"/>
    <n v="26381000"/>
    <n v="166720235"/>
    <n v="0.15823514164312449"/>
    <n v="6.1899999999999997E-2"/>
    <n v="0.39118996802623096"/>
    <n v="3.24"/>
    <n v="1.9104938271604935E-2"/>
    <n v="3.24"/>
    <n v="0"/>
  </r>
  <r>
    <x v="129"/>
    <x v="1"/>
    <n v="9354000"/>
    <n v="166720235"/>
    <n v="5.610596698115259E-2"/>
    <n v="6.6379999999999995E-2"/>
    <n v="1.1831183663994012"/>
    <n v="3.24"/>
    <n v="2.0487654320987651E-2"/>
    <n v="3.24"/>
    <n v="0"/>
  </r>
  <r>
    <x v="129"/>
    <x v="2"/>
    <n v="34360000"/>
    <n v="166720235"/>
    <n v="0.20609375940478972"/>
    <n v="6.5809999999999994E-2"/>
    <n v="0.31932068292636784"/>
    <n v="3.24"/>
    <n v="2.0311728395061724E-2"/>
    <n v="3.24"/>
    <n v="0"/>
  </r>
  <r>
    <x v="130"/>
    <x v="0"/>
    <n v="50944000"/>
    <n v="108480828"/>
    <n v="0.46961293473903054"/>
    <n v="0.25598361800000002"/>
    <n v="0.5450949048970577"/>
    <n v="5.95"/>
    <n v="4.3022456806722689E-2"/>
    <n v="5.95"/>
    <n v="0"/>
  </r>
  <r>
    <x v="130"/>
    <x v="1"/>
    <n v="42494000"/>
    <n v="108480828"/>
    <n v="0.39171898651068554"/>
    <n v="0.36250183699999999"/>
    <n v="0.9254129860517023"/>
    <n v="5.95"/>
    <n v="6.0924678487394954E-2"/>
    <n v="5.95"/>
    <n v="0"/>
  </r>
  <r>
    <x v="130"/>
    <x v="2"/>
    <n v="60637000"/>
    <n v="108480828"/>
    <n v="0.55896512884285876"/>
    <n v="0.41899999999999998"/>
    <n v="0.74959953381598687"/>
    <n v="5.95"/>
    <n v="7.0420168067226882E-2"/>
    <n v="5.95"/>
    <n v="0"/>
  </r>
  <r>
    <x v="131"/>
    <x v="0"/>
    <n v="52406000"/>
    <n v="84682269"/>
    <n v="0.61885446172917258"/>
    <n v="1.0399999999999999E-3"/>
    <n v="1.6805243628592145E-3"/>
    <n v="3.08"/>
    <n v="3.3766233766233762E-4"/>
    <n v="3.08"/>
    <n v="0"/>
  </r>
  <r>
    <x v="131"/>
    <x v="1"/>
    <n v="47835000"/>
    <n v="84682269"/>
    <n v="0.56487621983770886"/>
    <n v="0"/>
    <s v=""/>
    <n v="3.08"/>
    <s v=""/>
    <n v="3.08"/>
    <n v="0"/>
  </r>
  <r>
    <x v="131"/>
    <x v="2"/>
    <n v="43244000"/>
    <n v="84682269"/>
    <n v="0.51066180099638092"/>
    <n v="4.8799999999999998E-3"/>
    <n v="9.5562268226806035E-3"/>
    <n v="3.08"/>
    <n v="1.5844155844155843E-3"/>
    <n v="3.08"/>
    <n v="0"/>
  </r>
  <r>
    <x v="131"/>
    <x v="3"/>
    <n v="40621000"/>
    <n v="84682269"/>
    <n v="0.47968719402169063"/>
    <n v="3.2800000000000003E-2"/>
    <n v="6.8377893779079796E-2"/>
    <n v="3.08"/>
    <n v="1.064935064935065E-2"/>
    <n v="3.08"/>
    <n v="0"/>
  </r>
  <r>
    <x v="132"/>
    <x v="0"/>
    <n v="52406000"/>
    <n v="84682269"/>
    <n v="0.61885446172917258"/>
    <n v="0.38174999999999998"/>
    <n v="0.61686555338606264"/>
    <n v="6.89"/>
    <n v="5.5406386066763423E-2"/>
    <n v="6.89"/>
    <n v="0"/>
  </r>
  <r>
    <x v="132"/>
    <x v="1"/>
    <n v="47835000"/>
    <n v="84682269"/>
    <n v="0.56487621983770886"/>
    <n v="0.34691"/>
    <n v="0.61413454455503291"/>
    <n v="6.89"/>
    <n v="5.0349782293178519E-2"/>
    <n v="6.89"/>
    <n v="0"/>
  </r>
  <r>
    <x v="132"/>
    <x v="2"/>
    <n v="43244000"/>
    <n v="84682269"/>
    <n v="0.51066180099638092"/>
    <n v="0.34364"/>
    <n v="0.67293069371843495"/>
    <n v="6.89"/>
    <n v="4.9875181422351235E-2"/>
    <n v="6.89"/>
    <n v="0"/>
  </r>
  <r>
    <x v="132"/>
    <x v="3"/>
    <n v="40621000"/>
    <n v="84682269"/>
    <n v="0.47968719402169063"/>
    <n v="0.29580000000000001"/>
    <n v="0.61665185914182319"/>
    <n v="6.89"/>
    <n v="4.2931785195936142E-2"/>
    <n v="6.89"/>
    <n v="0"/>
  </r>
  <r>
    <x v="133"/>
    <x v="0"/>
    <n v="52406000"/>
    <n v="84682269"/>
    <n v="0.61885446172917258"/>
    <n v="1.14E-3"/>
    <n v="1.8421132439033698E-3"/>
    <n v="2.83"/>
    <n v="4.028268551236749E-4"/>
    <n v="2.83"/>
    <n v="0"/>
  </r>
  <r>
    <x v="133"/>
    <x v="1"/>
    <n v="47835000"/>
    <n v="84682269"/>
    <n v="0.56487621983770886"/>
    <n v="0"/>
    <s v=""/>
    <n v="2.83"/>
    <s v=""/>
    <n v="2.83"/>
    <n v="0"/>
  </r>
  <r>
    <x v="133"/>
    <x v="2"/>
    <n v="43244000"/>
    <n v="84682269"/>
    <n v="0.51066180099638092"/>
    <n v="5.3800000000000002E-3"/>
    <n v="1.0535348423365093E-2"/>
    <n v="2.83"/>
    <n v="1.901060070671378E-3"/>
    <n v="2.83"/>
    <n v="0"/>
  </r>
  <r>
    <x v="133"/>
    <x v="3"/>
    <n v="40621000"/>
    <n v="84682269"/>
    <n v="0.47968719402169063"/>
    <n v="3.6089999999999997E-2"/>
    <n v="7.5236530075822844E-2"/>
    <n v="2.83"/>
    <n v="1.2752650176678443E-2"/>
    <n v="2.83"/>
    <n v="0"/>
  </r>
  <r>
    <x v="134"/>
    <x v="0"/>
    <n v="335756000"/>
    <n v="476620206"/>
    <n v="0.70445187965866474"/>
    <n v="0.37269999999999998"/>
    <n v="0.52906381651020384"/>
    <n v="8.19"/>
    <n v="4.5506715506715506E-2"/>
    <n v="8.19"/>
    <n v="0"/>
  </r>
  <r>
    <x v="134"/>
    <x v="1"/>
    <n v="249170000"/>
    <n v="476620206"/>
    <n v="0.52278522157325402"/>
    <n v="0.27800000000000002"/>
    <n v="0.53176713596339853"/>
    <n v="8.19"/>
    <n v="3.3943833943833948E-2"/>
    <n v="8.19"/>
    <n v="0"/>
  </r>
  <r>
    <x v="134"/>
    <x v="2"/>
    <n v="135511000"/>
    <n v="476620206"/>
    <n v="0.28431652350047448"/>
    <n v="8.72E-2"/>
    <n v="0.30670042995181207"/>
    <n v="8.19"/>
    <n v="1.0647130647130647E-2"/>
    <n v="8.19"/>
    <n v="0"/>
  </r>
  <r>
    <x v="134"/>
    <x v="3"/>
    <n v="137871000"/>
    <n v="476620206"/>
    <n v="0.28926805507695996"/>
    <n v="9.1499999999999998E-2"/>
    <n v="0.31631560552255367"/>
    <n v="8.19"/>
    <n v="1.1172161172161172E-2"/>
    <n v="8.19"/>
    <n v="0"/>
  </r>
  <r>
    <x v="135"/>
    <x v="0"/>
    <n v="335756000"/>
    <n v="476620206"/>
    <n v="0.70445187965866474"/>
    <n v="0.40989999999999999"/>
    <n v="0.58187083012485252"/>
    <n v="6.81"/>
    <n v="6.0190895741556533E-2"/>
    <n v="6.81"/>
    <n v="0"/>
  </r>
  <r>
    <x v="135"/>
    <x v="1"/>
    <n v="249170000"/>
    <n v="476620206"/>
    <n v="0.52278522157325402"/>
    <n v="0.30580000000000002"/>
    <n v="0.58494384955973844"/>
    <n v="6.81"/>
    <n v="4.4904552129221738E-2"/>
    <n v="6.81"/>
    <n v="0"/>
  </r>
  <r>
    <x v="135"/>
    <x v="2"/>
    <n v="135511000"/>
    <n v="476620206"/>
    <n v="0.28431652350047448"/>
    <n v="9.5899999999999999E-2"/>
    <n v="0.3373001288116832"/>
    <n v="6.81"/>
    <n v="1.4082232011747431E-2"/>
    <n v="6.81"/>
    <n v="0"/>
  </r>
  <r>
    <x v="135"/>
    <x v="3"/>
    <n v="137871000"/>
    <n v="476620206"/>
    <n v="0.28926805507695996"/>
    <n v="0.10059999999999999"/>
    <n v="0.34777431601714642"/>
    <n v="6.81"/>
    <n v="1.4772393538913364E-2"/>
    <n v="6.81"/>
    <n v="0"/>
  </r>
  <r>
    <x v="136"/>
    <x v="0"/>
    <n v="1911900245.4200001"/>
    <n v="683509869"/>
    <n v="2.7971801610080336"/>
    <n v="2.3450000000000002"/>
    <n v="0.83834428425050789"/>
    <n v="25.52"/>
    <n v="9.1888714733542334E-2"/>
    <n v="25.52"/>
    <n v="0"/>
  </r>
  <r>
    <x v="136"/>
    <x v="1"/>
    <n v="1223420217"/>
    <n v="683509869"/>
    <n v="1.7899086355401257"/>
    <n v="2.54"/>
    <n v="1.4190668448468184"/>
    <n v="25.52"/>
    <n v="9.9529780564263329E-2"/>
    <n v="25.52"/>
    <n v="0"/>
  </r>
  <r>
    <x v="136"/>
    <x v="2"/>
    <n v="1630452307"/>
    <n v="683509869"/>
    <n v="2.385411507496463"/>
    <n v="2"/>
    <n v="0.83842976095098998"/>
    <n v="25.52"/>
    <n v="7.8369905956112859E-2"/>
    <n v="25.52"/>
    <n v="0"/>
  </r>
  <r>
    <x v="137"/>
    <x v="0"/>
    <n v="221047209.75999999"/>
    <n v="57737317"/>
    <n v="3.8284981229730501"/>
    <n v="1.0118932270000001"/>
    <n v="0.26430553039273963"/>
    <n v="36.78"/>
    <n v="2.7512050761283307E-2"/>
    <n v="0"/>
    <n v="36.78"/>
  </r>
  <r>
    <x v="137"/>
    <x v="1"/>
    <n v="96359523.819999993"/>
    <n v="57737317"/>
    <n v="1.6689297117841482"/>
    <n v="0"/>
    <s v=""/>
    <n v="36.78"/>
    <s v=""/>
    <n v="0"/>
    <n v="36.78"/>
  </r>
  <r>
    <x v="137"/>
    <x v="2"/>
    <n v="91934228.780000001"/>
    <n v="57737317"/>
    <n v="1.5922843934712103"/>
    <n v="0.74785255399999995"/>
    <n v="0.46967272747657041"/>
    <n v="36.78"/>
    <n v="2.0333130886351275E-2"/>
    <n v="0"/>
    <n v="36.78"/>
  </r>
  <r>
    <x v="138"/>
    <x v="0"/>
    <n v="26389234.239999998"/>
    <n v="137747421"/>
    <n v="0.19157697507817587"/>
    <n v="0.59209073000000001"/>
    <n v="3.090615298411453"/>
    <n v="2.65"/>
    <n v="0.22343046415094342"/>
    <n v="2.65"/>
    <n v="0"/>
  </r>
  <r>
    <x v="138"/>
    <x v="1"/>
    <n v="27175402.329999998"/>
    <n v="137747421"/>
    <n v="0.19728429129718514"/>
    <n v="0.28363851000000001"/>
    <n v="1.4377146205357658"/>
    <n v="2.65"/>
    <n v="0.1070334"/>
    <n v="2.65"/>
    <n v="0"/>
  </r>
  <r>
    <x v="138"/>
    <x v="2"/>
    <n v="76030857.450000003"/>
    <n v="137747421"/>
    <n v="0.55195848240236745"/>
    <n v="0.69388981999999999"/>
    <n v="1.2571413287823472"/>
    <n v="2.65"/>
    <n v="0.26184521509433961"/>
    <n v="2.65"/>
    <n v="0"/>
  </r>
  <r>
    <x v="139"/>
    <x v="0"/>
    <n v="72949906.010000005"/>
    <n v="113000000"/>
    <n v="0.64557438946902657"/>
    <n v="0.26730199999999998"/>
    <n v="0.41405298035421001"/>
    <n v="28.13"/>
    <n v="9.5023817987913255E-3"/>
    <n v="0"/>
    <n v="28.13"/>
  </r>
  <r>
    <x v="139"/>
    <x v="1"/>
    <n v="126610718.51000001"/>
    <n v="113000000"/>
    <n v="1.1204488363716814"/>
    <n v="0.32134299999999999"/>
    <n v="0.28679845930368064"/>
    <n v="28.13"/>
    <n v="1.1423498044792037E-2"/>
    <n v="0"/>
    <n v="28.13"/>
  </r>
  <r>
    <x v="139"/>
    <x v="2"/>
    <n v="142288162.75"/>
    <n v="113000000"/>
    <n v="1.2591872809734512"/>
    <n v="0.41675099999999998"/>
    <n v="0.33096824141824127"/>
    <n v="28.13"/>
    <n v="1.4815179523640242E-2"/>
    <n v="0"/>
    <n v="28.13"/>
  </r>
  <r>
    <x v="139"/>
    <x v="3"/>
    <n v="93031657.010000005"/>
    <n v="113000000"/>
    <n v="0.82328900008849559"/>
    <n v="0.24957299999999999"/>
    <n v="0.30314142418175549"/>
    <n v="28.13"/>
    <n v="8.8721293992179168E-3"/>
    <n v="0"/>
    <n v="28.13"/>
  </r>
  <r>
    <x v="140"/>
    <x v="0"/>
    <n v="185531000"/>
    <n v="76423831"/>
    <n v="2.4276589850618717"/>
    <n v="0.35"/>
    <n v="0.14417181414426697"/>
    <n v="17.98"/>
    <n v="1.9466073414905447E-2"/>
    <n v="0"/>
    <n v="17.98"/>
  </r>
  <r>
    <x v="140"/>
    <x v="1"/>
    <n v="239206591.03"/>
    <n v="76423831"/>
    <n v="3.13"/>
    <n v="0.32"/>
    <n v="0.10223642172523963"/>
    <n v="17.98"/>
    <n v="1.7797552836484983E-2"/>
    <n v="0"/>
    <n v="17.98"/>
  </r>
  <r>
    <x v="140"/>
    <x v="2"/>
    <n v="200230437.22"/>
    <n v="76423831"/>
    <n v="2.62"/>
    <n v="0.26"/>
    <n v="9.9236641221374045E-2"/>
    <n v="17.98"/>
    <n v="1.446051167964405E-2"/>
    <n v="0"/>
    <n v="17.98"/>
  </r>
  <r>
    <x v="141"/>
    <x v="0"/>
    <n v="483247945.06999999"/>
    <n v="1022205493"/>
    <n v="0.47275029177523703"/>
    <n v="0.30062499999999998"/>
    <n v="0.63590653507820194"/>
    <n v="14.58"/>
    <n v="2.0618998628257886E-2"/>
    <n v="0"/>
    <n v="14.58"/>
  </r>
  <r>
    <x v="141"/>
    <x v="1"/>
    <n v="445682000"/>
    <n v="1022205493"/>
    <n v="0.43600039625300663"/>
    <n v="0.76497757200000005"/>
    <n v="1.7545341210105032"/>
    <n v="14.58"/>
    <n v="5.2467597530864198E-2"/>
    <n v="0"/>
    <n v="14.58"/>
  </r>
  <r>
    <x v="141"/>
    <x v="2"/>
    <n v="614021000"/>
    <n v="1022205493"/>
    <n v="0.6006825478876584"/>
    <n v="1.0517938200000001"/>
    <n v="1.7509978002502413"/>
    <n v="14.58"/>
    <n v="7.2139493827160506E-2"/>
    <n v="0"/>
    <n v="14.58"/>
  </r>
  <r>
    <x v="141"/>
    <x v="3"/>
    <n v="419093000"/>
    <n v="1022205493"/>
    <n v="0.40998899230137476"/>
    <n v="2.1419339700000002"/>
    <n v="5.2243694592305223"/>
    <n v="14.58"/>
    <n v="0.14690905144032923"/>
    <n v="0"/>
    <n v="14.58"/>
  </r>
  <r>
    <x v="142"/>
    <x v="0"/>
    <n v="-182125692.53"/>
    <n v="1107677313"/>
    <n v="-0.16442125372843128"/>
    <n v="0"/>
    <s v=""/>
    <n v="9.2200000000000006"/>
    <s v=""/>
    <n v="9.2200000000000006"/>
    <n v="0"/>
  </r>
  <r>
    <x v="142"/>
    <x v="1"/>
    <n v="78013713"/>
    <n v="1107677313"/>
    <n v="7.04299998604377E-2"/>
    <n v="0.24881"/>
    <n v="3.5327275378820899"/>
    <n v="9.2200000000000006"/>
    <n v="2.6985900216919739E-2"/>
    <n v="9.2200000000000006"/>
    <n v="0"/>
  </r>
  <r>
    <x v="142"/>
    <x v="2"/>
    <n v="2190730959"/>
    <n v="1107677313"/>
    <n v="1.9777699997002647"/>
    <n v="0.64239000000000002"/>
    <n v="0.32480520995735379"/>
    <n v="9.2200000000000006"/>
    <n v="6.9673535791757044E-2"/>
    <n v="9.2200000000000006"/>
    <n v="0"/>
  </r>
  <r>
    <x v="142"/>
    <x v="3"/>
    <n v="3206936280"/>
    <n v="1107677313"/>
    <n v="2.8951900001584669"/>
    <n v="0.77659999999999996"/>
    <n v="0.26823800854434188"/>
    <n v="9.2200000000000006"/>
    <n v="8.4229934924078084E-2"/>
    <n v="9.2200000000000006"/>
    <n v="0"/>
  </r>
  <r>
    <x v="143"/>
    <x v="0"/>
    <n v="-182125692.53"/>
    <n v="1107677313"/>
    <n v="-0.16442125372843128"/>
    <n v="0"/>
    <s v=""/>
    <n v="5.7"/>
    <s v=""/>
    <n v="5.7"/>
    <n v="0"/>
  </r>
  <r>
    <x v="143"/>
    <x v="1"/>
    <n v="78013713"/>
    <n v="1107677313"/>
    <n v="7.04299998604377E-2"/>
    <n v="0.24881"/>
    <n v="3.5327275378820899"/>
    <n v="5.7"/>
    <n v="4.3650877192982454E-2"/>
    <n v="5.7"/>
    <n v="0"/>
  </r>
  <r>
    <x v="143"/>
    <x v="2"/>
    <n v="2190730959"/>
    <n v="1107677313"/>
    <n v="1.9777699997002647"/>
    <n v="0.59360000000000002"/>
    <n v="0.3001360118163191"/>
    <n v="5.7"/>
    <n v="0.10414035087719298"/>
    <n v="5.7"/>
    <n v="0"/>
  </r>
  <r>
    <x v="143"/>
    <x v="3"/>
    <n v="3206936280"/>
    <n v="1107677313"/>
    <n v="2.8951900001584669"/>
    <n v="0.77659999999999996"/>
    <n v="0.26823800854434188"/>
    <n v="5.7"/>
    <n v="0.1362456140350877"/>
    <n v="5.7"/>
    <n v="0"/>
  </r>
  <r>
    <x v="144"/>
    <x v="0"/>
    <n v="589182430.70000005"/>
    <n v="1033496721"/>
    <n v="0.57008640543137246"/>
    <n v="1.51"/>
    <n v="2.6487212913933891"/>
    <n v="18.46"/>
    <n v="8.1798483206933906E-2"/>
    <n v="18.46"/>
    <n v="0"/>
  </r>
  <r>
    <x v="144"/>
    <x v="1"/>
    <n v="495399428.38999999"/>
    <n v="1033496721"/>
    <n v="0.47934300934274565"/>
    <n v="1.88"/>
    <n v="3.9220348755638983"/>
    <n v="18.46"/>
    <n v="0.10184182015167929"/>
    <n v="18.46"/>
    <n v="0"/>
  </r>
  <r>
    <x v="144"/>
    <x v="2"/>
    <n v="428630102.26999998"/>
    <n v="1033496721"/>
    <n v="0.41473774764883842"/>
    <n v="1.63"/>
    <n v="3.9301944644308895"/>
    <n v="18.46"/>
    <n v="8.8299024918743224E-2"/>
    <n v="18.46"/>
    <n v="0"/>
  </r>
  <r>
    <x v="144"/>
    <x v="3"/>
    <n v="287794829.95999998"/>
    <n v="1033496721"/>
    <n v="0.2784670953590766"/>
    <n v="1.0900000000000001"/>
    <n v="3.9142865285195416"/>
    <n v="18.46"/>
    <n v="5.9046587215601298E-2"/>
    <n v="18.46"/>
    <n v="0"/>
  </r>
  <r>
    <x v="145"/>
    <x v="0"/>
    <n v="1499500000"/>
    <n v="652742192"/>
    <n v="2.2972316151427821"/>
    <n v="2.3690660666999999"/>
    <n v="1.0312700082498008"/>
    <n v="36.01"/>
    <n v="6.5789115987225769E-2"/>
    <n v="36.01"/>
    <n v="0"/>
  </r>
  <r>
    <x v="145"/>
    <x v="1"/>
    <n v="1447636528"/>
    <n v="652742192"/>
    <n v="2.2177768585242608"/>
    <n v="2.1897556102000002"/>
    <n v="0.98736516335421309"/>
    <n v="36.01"/>
    <n v="6.0809653157456268E-2"/>
    <n v="36.01"/>
    <n v="0"/>
  </r>
  <r>
    <x v="145"/>
    <x v="2"/>
    <n v="1211648449"/>
    <n v="652742192"/>
    <n v="1.8562434968199513"/>
    <n v="1.0178134248999999"/>
    <n v="0.5483189175577885"/>
    <n v="36.01"/>
    <n v="2.8264743818383783E-2"/>
    <n v="36.01"/>
    <n v="0"/>
  </r>
  <r>
    <x v="146"/>
    <x v="0"/>
    <m/>
    <n v="817720079"/>
    <n v="0"/>
    <n v="0"/>
    <s v=""/>
    <n v="2.44"/>
    <s v=""/>
    <n v="0"/>
    <n v="2.44"/>
  </r>
  <r>
    <x v="146"/>
    <x v="1"/>
    <n v="166896668.09999999"/>
    <n v="817720079"/>
    <n v="0.20409999997077238"/>
    <n v="6.6000000000000003E-2"/>
    <n v="0.32337089666561175"/>
    <n v="2.44"/>
    <n v="2.7049180327868853E-2"/>
    <n v="0"/>
    <n v="2.44"/>
  </r>
  <r>
    <x v="146"/>
    <x v="2"/>
    <n v="234522118.69999999"/>
    <n v="817720079"/>
    <n v="0.28680000005234063"/>
    <n v="6.6400000000000001E-2"/>
    <n v="0.23152022310977016"/>
    <n v="2.44"/>
    <n v="2.721311475409836E-2"/>
    <n v="0"/>
    <n v="2.44"/>
  </r>
  <r>
    <x v="146"/>
    <x v="3"/>
    <n v="106303610.3"/>
    <n v="817720079"/>
    <n v="0.13000000003668738"/>
    <n v="0"/>
    <s v=""/>
    <n v="2.44"/>
    <s v=""/>
    <n v="0"/>
    <n v="2.44"/>
  </r>
  <r>
    <x v="147"/>
    <x v="0"/>
    <m/>
    <n v="2417632647"/>
    <n v="0"/>
    <m/>
    <s v=""/>
    <n v="13.26"/>
    <s v=""/>
    <n v="0"/>
    <n v="13.26"/>
  </r>
  <r>
    <x v="147"/>
    <x v="1"/>
    <n v="1281227722.3699999"/>
    <n v="2417632647"/>
    <n v="0.52995136542346666"/>
    <n v="0.22"/>
    <n v="0.41513243356624857"/>
    <n v="13.26"/>
    <n v="1.6591251885369532E-2"/>
    <n v="0"/>
    <n v="13.26"/>
  </r>
  <r>
    <x v="147"/>
    <x v="2"/>
    <n v="2216909132.75"/>
    <n v="2417632647"/>
    <n v="0.9169751804522186"/>
    <n v="0.2"/>
    <n v="0.21810841150724203"/>
    <n v="13.26"/>
    <n v="1.508295625942685E-2"/>
    <n v="0"/>
    <n v="13.26"/>
  </r>
  <r>
    <x v="148"/>
    <x v="0"/>
    <n v="21385000"/>
    <n v="2857301"/>
    <n v="7.4843357420166789"/>
    <n v="5.7389999999999999"/>
    <n v="0.76680151690437226"/>
    <n v="88"/>
    <n v="6.5215909090909088E-2"/>
    <n v="0"/>
    <n v="88"/>
  </r>
  <r>
    <x v="148"/>
    <x v="1"/>
    <n v="27650101.780000001"/>
    <n v="2857301"/>
    <n v="9.677000001049942"/>
    <n v="9.48"/>
    <n v="0.97964245106659431"/>
    <n v="88"/>
    <n v="0.10772727272727273"/>
    <n v="0"/>
    <n v="88"/>
  </r>
  <r>
    <x v="148"/>
    <x v="2"/>
    <n v="27290081.850000001"/>
    <n v="2857301"/>
    <n v="9.5509999996500206"/>
    <n v="6.27"/>
    <n v="0.65647576172440081"/>
    <n v="88"/>
    <n v="7.1249999999999994E-2"/>
    <n v="0"/>
    <n v="88"/>
  </r>
  <r>
    <x v="148"/>
    <x v="3"/>
    <n v="20461132.460000001"/>
    <n v="2857301"/>
    <n v="7.16099999965002"/>
    <n v="3.63"/>
    <n v="0.50691244242108768"/>
    <n v="88"/>
    <n v="4.1250000000000002E-2"/>
    <n v="0"/>
    <n v="88"/>
  </r>
  <r>
    <x v="149"/>
    <x v="0"/>
    <n v="843488000"/>
    <n v="152661565"/>
    <n v="5.5252152039709532"/>
    <n v="1.8032159999999999"/>
    <n v="0.32636122457348538"/>
    <n v="44"/>
    <n v="4.0982181818181813E-2"/>
    <n v="44"/>
    <n v="0"/>
  </r>
  <r>
    <x v="149"/>
    <x v="1"/>
    <n v="920137051"/>
    <n v="152661565"/>
    <n v="6.0273000018046456"/>
    <n v="4.9819000000000004"/>
    <n v="0.82655583735808069"/>
    <n v="44"/>
    <n v="0.11322500000000001"/>
    <n v="44"/>
    <n v="0"/>
  </r>
  <r>
    <x v="149"/>
    <x v="2"/>
    <n v="818571312"/>
    <n v="152661565"/>
    <n v="5.3620000030787054"/>
    <n v="5.0853999999999999"/>
    <n v="0.94841477006342978"/>
    <n v="44"/>
    <n v="0.11557727272727272"/>
    <n v="44"/>
    <n v="0"/>
  </r>
  <r>
    <x v="150"/>
    <x v="0"/>
    <n v="843488000"/>
    <n v="152661565"/>
    <n v="5.5252152039709532"/>
    <n v="1.8032159999999999"/>
    <n v="0.32636122457348538"/>
    <n v="26.91"/>
    <n v="6.7009141583054627E-2"/>
    <n v="26.91"/>
    <n v="0"/>
  </r>
  <r>
    <x v="150"/>
    <x v="1"/>
    <n v="920137051"/>
    <n v="152661565"/>
    <n v="6.0273000018046456"/>
    <n v="4.9819000000000004"/>
    <n v="0.82655583735808069"/>
    <n v="26.91"/>
    <n v="0.18513192121887775"/>
    <n v="26.91"/>
    <n v="0"/>
  </r>
  <r>
    <x v="150"/>
    <x v="2"/>
    <n v="818571312"/>
    <n v="152661565"/>
    <n v="5.3620000030787054"/>
    <n v="5.0853999999999999"/>
    <n v="0.94841477006342978"/>
    <n v="26.91"/>
    <n v="0.18897807506503159"/>
    <n v="26.91"/>
    <n v="0"/>
  </r>
  <r>
    <x v="151"/>
    <x v="0"/>
    <n v="1011009000"/>
    <n v="544383996"/>
    <n v="1.8571615025949439"/>
    <n v="1.17"/>
    <n v="0.62999367495244851"/>
    <n v="53.47"/>
    <n v="2.1881428838601082E-2"/>
    <n v="0"/>
    <n v="53.47"/>
  </r>
  <r>
    <x v="151"/>
    <x v="1"/>
    <n v="860126713.70000005"/>
    <n v="544383996"/>
    <n v="1.5800000000367389"/>
    <n v="0.98"/>
    <n v="0.62025316454253965"/>
    <n v="53.47"/>
    <n v="1.8328034411819714E-2"/>
    <n v="0"/>
    <n v="53.47"/>
  </r>
  <r>
    <x v="151"/>
    <x v="2"/>
    <n v="773025274.29999995"/>
    <n v="544383996"/>
    <n v="1.4199999999632611"/>
    <n v="0.8"/>
    <n v="0.56338028170471688"/>
    <n v="53.47"/>
    <n v="1.4961660744342624E-2"/>
    <n v="0"/>
    <n v="53.47"/>
  </r>
  <r>
    <x v="152"/>
    <x v="0"/>
    <n v="39281689.020000003"/>
    <n v="835502072"/>
    <n v="4.7015669184360807E-2"/>
    <n v="9.6799999999999994E-3"/>
    <n v="0.20588880617740807"/>
    <n v="0.51"/>
    <n v="1.8980392156862744E-2"/>
    <n v="0.51"/>
    <n v="0"/>
  </r>
  <r>
    <x v="152"/>
    <x v="1"/>
    <n v="4448000"/>
    <n v="835502072"/>
    <n v="5.323745025972838E-3"/>
    <n v="0"/>
    <s v=""/>
    <n v="0.51"/>
    <s v=""/>
    <n v="0.51"/>
    <n v="0"/>
  </r>
  <r>
    <x v="152"/>
    <x v="2"/>
    <n v="30296000"/>
    <n v="835502072"/>
    <n v="3.6260831678703483E-2"/>
    <n v="0"/>
    <s v=""/>
    <n v="0.51"/>
    <s v=""/>
    <n v="0.51"/>
    <n v="0"/>
  </r>
  <r>
    <x v="153"/>
    <x v="0"/>
    <n v="9733695883.3700008"/>
    <n v="5365304100"/>
    <n v="1.8141927655824766"/>
    <n v="1.8288805334"/>
    <n v="1.0080960348294674"/>
    <n v="31.11"/>
    <n v="5.8787545271616844E-2"/>
    <n v="0"/>
    <n v="31.11"/>
  </r>
  <r>
    <x v="153"/>
    <x v="1"/>
    <n v="39810556422"/>
    <n v="5365304100"/>
    <n v="7.42"/>
    <n v="1.7557325829999999"/>
    <n v="0.23662164191374663"/>
    <n v="31.11"/>
    <n v="5.6436277177756344E-2"/>
    <n v="0"/>
    <n v="31.11"/>
  </r>
  <r>
    <x v="153"/>
    <x v="2"/>
    <n v="37074251331"/>
    <n v="5365304100"/>
    <n v="6.91"/>
    <n v="1.873923027"/>
    <n v="0.27119001837916062"/>
    <n v="31.11"/>
    <n v="6.0235391417550625E-2"/>
    <n v="0"/>
    <n v="31.11"/>
  </r>
  <r>
    <x v="154"/>
    <x v="0"/>
    <n v="30653409.600000001"/>
    <n v="149714346"/>
    <n v="0.20474597404312878"/>
    <n v="4.87E-2"/>
    <n v="0.23785571475872622"/>
    <n v="8.39"/>
    <n v="5.8045292014302736E-3"/>
    <n v="0"/>
    <n v="8.39"/>
  </r>
  <r>
    <x v="154"/>
    <x v="1"/>
    <m/>
    <n v="149714346"/>
    <n v="0"/>
    <n v="0"/>
    <s v=""/>
    <n v="8.39"/>
    <s v=""/>
    <n v="0"/>
    <n v="8.39"/>
  </r>
  <r>
    <x v="154"/>
    <x v="2"/>
    <m/>
    <n v="149714346"/>
    <n v="0"/>
    <n v="0"/>
    <s v=""/>
    <n v="8.39"/>
    <s v=""/>
    <n v="0"/>
    <n v="8.39"/>
  </r>
  <r>
    <x v="155"/>
    <x v="0"/>
    <n v="4453572915.3800001"/>
    <n v="1125601930"/>
    <n v="3.9566144981467826"/>
    <n v="3.566950672031"/>
    <n v="0.90151584737449275"/>
    <n v="40.200000000000003"/>
    <n v="8.8730116219676608E-2"/>
    <n v="0"/>
    <n v="40.200000000000003"/>
  </r>
  <r>
    <x v="155"/>
    <x v="1"/>
    <n v="4091563016"/>
    <n v="1125601930"/>
    <n v="3.6350000003997862"/>
    <n v="3.5070000000000001"/>
    <n v="0.96478679494203345"/>
    <n v="40.200000000000003"/>
    <n v="8.7238805970149255E-2"/>
    <n v="0"/>
    <n v="40.200000000000003"/>
  </r>
  <r>
    <x v="155"/>
    <x v="2"/>
    <n v="5004201060"/>
    <n v="1125601930"/>
    <n v="4.4457999996499646"/>
    <n v="4.6006999999999998"/>
    <n v="1.0348418733101423"/>
    <n v="40.200000000000003"/>
    <n v="0.11444527363184079"/>
    <n v="0"/>
    <n v="40.200000000000003"/>
  </r>
  <r>
    <x v="156"/>
    <x v="0"/>
    <n v="4453572915.3800001"/>
    <n v="1125601930"/>
    <n v="3.9566144981467826"/>
    <n v="3.9236457392339998"/>
    <n v="0.99166743211191666"/>
    <n v="45.16"/>
    <n v="8.6883209460451735E-2"/>
    <n v="0"/>
    <n v="45.16"/>
  </r>
  <r>
    <x v="156"/>
    <x v="1"/>
    <n v="4091563016"/>
    <n v="1125601930"/>
    <n v="3.6350000003997862"/>
    <n v="3.8576999999999999"/>
    <n v="1.0612654744362366"/>
    <n v="45.16"/>
    <n v="8.5422940655447296E-2"/>
    <n v="0"/>
    <n v="45.16"/>
  </r>
  <r>
    <x v="156"/>
    <x v="2"/>
    <n v="5004201060"/>
    <n v="1125601930"/>
    <n v="4.4457999996499646"/>
    <n v="5.0608000000000004"/>
    <n v="1.1383328085830351"/>
    <n v="45.16"/>
    <n v="0.11206377325066433"/>
    <n v="0"/>
    <n v="45.16"/>
  </r>
  <r>
    <x v="157"/>
    <x v="0"/>
    <n v="109798096.84"/>
    <n v="98312688"/>
    <n v="1.1168252956322382"/>
    <n v="1.072465845"/>
    <n v="0.96028076118465222"/>
    <n v="17.920000000000002"/>
    <n v="5.9847424386160704E-2"/>
    <n v="0"/>
    <n v="17.920000000000002"/>
  </r>
  <r>
    <x v="157"/>
    <x v="1"/>
    <n v="106752609.08"/>
    <n v="98312688"/>
    <n v="1.0858477298474434"/>
    <n v="0.91520231900000004"/>
    <n v="0.84284591093502748"/>
    <n v="17.920000000000002"/>
    <n v="5.1071557979910712E-2"/>
    <n v="0"/>
    <n v="17.920000000000002"/>
  </r>
  <r>
    <x v="157"/>
    <x v="2"/>
    <n v="13071107.109999999"/>
    <n v="98312688"/>
    <n v="0.13295442710304087"/>
    <n v="6.6522439999999999E-3"/>
    <n v="5.0034016504350409E-2"/>
    <n v="17.920000000000002"/>
    <n v="3.7121897321428567E-4"/>
    <n v="0"/>
    <n v="17.920000000000002"/>
  </r>
  <r>
    <x v="158"/>
    <x v="0"/>
    <n v="40688154.170000002"/>
    <n v="46288258"/>
    <n v="0.87901675128927947"/>
    <n v="0.63615900000000003"/>
    <n v="0.72371658340631972"/>
    <n v="14.89"/>
    <n v="4.2723908663532574E-2"/>
    <n v="0"/>
    <n v="14.89"/>
  </r>
  <r>
    <x v="158"/>
    <x v="1"/>
    <n v="105074345.66"/>
    <n v="46288258"/>
    <n v="2.27"/>
    <n v="2.1378400000000002"/>
    <n v="0.94177973568281947"/>
    <n v="14.89"/>
    <n v="0.14357555406312963"/>
    <n v="0"/>
    <n v="14.89"/>
  </r>
  <r>
    <x v="158"/>
    <x v="2"/>
    <n v="155991429.46000001"/>
    <n v="46288258"/>
    <n v="3.37"/>
    <n v="3.2867000000000002"/>
    <n v="0.97528189910979235"/>
    <n v="14.89"/>
    <n v="0.22073203492276697"/>
    <n v="0"/>
    <n v="14.89"/>
  </r>
  <r>
    <x v="159"/>
    <x v="0"/>
    <n v="1074289736.8800001"/>
    <n v="1980000000"/>
    <n v="0.5425705741818182"/>
    <n v="0.35504000000000002"/>
    <n v="0.65436648593667424"/>
    <n v="10.38"/>
    <n v="3.4204238921001925E-2"/>
    <n v="0"/>
    <n v="10.38"/>
  </r>
  <r>
    <x v="159"/>
    <x v="1"/>
    <n v="1047998632.27"/>
    <n v="1980000000"/>
    <n v="0.52929223852020202"/>
    <n v="0.470941"/>
    <n v="0.88975610395621763"/>
    <n v="10.38"/>
    <n v="4.5370038535645467E-2"/>
    <n v="0"/>
    <n v="10.38"/>
  </r>
  <r>
    <x v="159"/>
    <x v="2"/>
    <n v="1144560312.5999999"/>
    <n v="1980000000"/>
    <n v="0.57806076393939387"/>
    <n v="0.57673300000000005"/>
    <n v="0.99770307202594877"/>
    <n v="10.38"/>
    <n v="5.5561946050096338E-2"/>
    <n v="0"/>
    <n v="10.38"/>
  </r>
  <r>
    <x v="160"/>
    <x v="0"/>
    <n v="2314615815.0500002"/>
    <n v="786115469"/>
    <n v="2.9443712868217329"/>
    <n v="2.4300000000000002"/>
    <n v="0.8253035243469703"/>
    <n v="67.040000000000006"/>
    <n v="3.624701670644391E-2"/>
    <n v="0"/>
    <n v="67.040000000000006"/>
  </r>
  <r>
    <x v="160"/>
    <x v="1"/>
    <n v="1810326710.1800001"/>
    <n v="786115469"/>
    <n v="2.3028763350540302"/>
    <n v="2.25"/>
    <n v="0.97703900368024332"/>
    <n v="67.040000000000006"/>
    <n v="3.3562052505966583E-2"/>
    <n v="0"/>
    <n v="67.040000000000006"/>
  </r>
  <r>
    <x v="160"/>
    <x v="2"/>
    <n v="1829334179.3199999"/>
    <n v="786115469"/>
    <n v="2.3270553137022674"/>
    <n v="1.19"/>
    <n v="0.51137589768192904"/>
    <n v="67.040000000000006"/>
    <n v="1.7750596658711214E-2"/>
    <n v="0"/>
    <n v="67.040000000000006"/>
  </r>
  <r>
    <x v="161"/>
    <x v="0"/>
    <n v="275394800.88"/>
    <n v="260378479"/>
    <n v="1.0576711329510455"/>
    <n v="0.53490000000000004"/>
    <n v="0.50573376102981715"/>
    <n v="22.97"/>
    <n v="2.3286895951240751E-2"/>
    <n v="0"/>
    <n v="22.97"/>
  </r>
  <r>
    <x v="161"/>
    <x v="1"/>
    <n v="220517318.09"/>
    <n v="260378479"/>
    <n v="0.84691069299164312"/>
    <n v="0.254"/>
    <n v="0.29991355889340077"/>
    <n v="22.97"/>
    <n v="1.1057901610796691E-2"/>
    <n v="0"/>
    <n v="22.97"/>
  </r>
  <r>
    <x v="161"/>
    <x v="2"/>
    <n v="112319339.34999999"/>
    <n v="260378479"/>
    <n v="0.43136951940640222"/>
    <n v="0.13089999999999999"/>
    <n v="0.30345213120326281"/>
    <n v="22.97"/>
    <n v="5.6987374836743572E-3"/>
    <n v="0"/>
    <n v="22.97"/>
  </r>
  <r>
    <x v="161"/>
    <x v="3"/>
    <n v="66605139.840000004"/>
    <n v="260378479"/>
    <n v="0.2558012478442967"/>
    <n v="0.29799999999999999"/>
    <n v="1.164966951925853"/>
    <n v="22.97"/>
    <n v="1.2973443622115803E-2"/>
    <n v="0"/>
    <n v="22.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08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E167" firstHeaderRow="1" firstDataRow="2" firstDataCol="1"/>
  <pivotFields count="11">
    <pivotField axis="axisRow" showAll="0" sortType="descending">
      <items count="171">
        <item m="1" x="162"/>
        <item sd="0" x="156"/>
        <item sd="0" x="155"/>
        <item sd="0" x="154"/>
        <item sd="0" x="152"/>
        <item sd="0" m="1" x="167"/>
        <item sd="0" x="150"/>
        <item sd="0" x="149"/>
        <item sd="0" x="147"/>
        <item sd="0" m="1" x="169"/>
        <item sd="0" m="1" x="163"/>
        <item sd="0" x="146"/>
        <item sd="0" x="145"/>
        <item sd="0" x="144"/>
        <item sd="0" x="143"/>
        <item sd="0" x="142"/>
        <item sd="0" x="141"/>
        <item sd="0" x="139"/>
        <item sd="0" x="138"/>
        <item sd="0" x="136"/>
        <item sd="0" x="135"/>
        <item sd="0" x="134"/>
        <item sd="0" m="1" x="166"/>
        <item sd="0" x="133"/>
        <item sd="0" x="132"/>
        <item sd="0" x="131"/>
        <item sd="0" m="1" x="164"/>
        <item sd="0" x="130"/>
        <item sd="0" x="129"/>
        <item sd="0" x="128"/>
        <item sd="0" x="127"/>
        <item sd="0" x="125"/>
        <item sd="0" x="123"/>
        <item sd="0" x="122"/>
        <item sd="0" x="121"/>
        <item sd="0" x="120"/>
        <item sd="0" x="118"/>
        <item sd="0" x="117"/>
        <item sd="0" x="111"/>
        <item sd="0" x="110"/>
        <item sd="0" x="108"/>
        <item sd="0" x="107"/>
        <item sd="0" x="106"/>
        <item sd="0" x="105"/>
        <item sd="0" x="104"/>
        <item sd="0" x="103"/>
        <item sd="0" x="102"/>
        <item sd="0" x="99"/>
        <item sd="0" x="98"/>
        <item sd="0" x="97"/>
        <item sd="0" x="96"/>
        <item sd="0" x="95"/>
        <item sd="0" x="94"/>
        <item sd="0" x="93"/>
        <item sd="0" x="92"/>
        <item sd="0" x="89"/>
        <item sd="0" x="88"/>
        <item sd="0" x="87"/>
        <item sd="0" x="86"/>
        <item sd="0" x="85"/>
        <item sd="0" x="84"/>
        <item sd="0" x="83"/>
        <item sd="0" x="82"/>
        <item sd="0" x="81"/>
        <item sd="0" x="80"/>
        <item sd="0" x="79"/>
        <item sd="0" x="78"/>
        <item sd="0" x="77"/>
        <item sd="0" x="76"/>
        <item sd="0" x="75"/>
        <item sd="0" x="73"/>
        <item sd="0" x="72"/>
        <item sd="0" x="71"/>
        <item sd="0" x="70"/>
        <item sd="0" x="69"/>
        <item sd="0" x="68"/>
        <item sd="0" x="67"/>
        <item sd="0" x="66"/>
        <item sd="0" x="65"/>
        <item sd="0" x="63"/>
        <item sd="0" x="62"/>
        <item sd="0" x="61"/>
        <item sd="0" x="60"/>
        <item sd="0" x="59"/>
        <item sd="0" x="58"/>
        <item sd="0" x="57"/>
        <item sd="0" x="56"/>
        <item sd="0" x="55"/>
        <item sd="0" x="54"/>
        <item sd="0" x="53"/>
        <item sd="0" x="52"/>
        <item sd="0" x="51"/>
        <item sd="0" x="50"/>
        <item sd="0" x="49"/>
        <item sd="0" x="48"/>
        <item sd="0" x="47"/>
        <item sd="0" x="46"/>
        <item sd="0" x="45"/>
        <item sd="0" x="44"/>
        <item sd="0" x="43"/>
        <item sd="0" x="41"/>
        <item sd="0" x="40"/>
        <item sd="0" x="39"/>
        <item sd="0" x="38"/>
        <item sd="0" x="37"/>
        <item sd="0" x="36"/>
        <item sd="0" x="33"/>
        <item sd="0" x="32"/>
        <item sd="0" x="31"/>
        <item sd="0" x="30"/>
        <item sd="0" x="29"/>
        <item sd="0" x="28"/>
        <item sd="0" x="27"/>
        <item sd="0" x="26"/>
        <item sd="0" x="25"/>
        <item sd="0" x="24"/>
        <item sd="0" x="23"/>
        <item sd="0" x="22"/>
        <item sd="0" x="21"/>
        <item sd="0" x="20"/>
        <item sd="0" x="19"/>
        <item sd="0" x="18"/>
        <item sd="0" x="17"/>
        <item sd="0" x="16"/>
        <item sd="0" x="15"/>
        <item sd="0" x="14"/>
        <item sd="0" x="13"/>
        <item sd="0" x="12"/>
        <item sd="0" x="11"/>
        <item sd="0" x="10"/>
        <item sd="0" x="9"/>
        <item sd="0" x="8"/>
        <item sd="0" m="1" x="165"/>
        <item sd="0" x="7"/>
        <item sd="0" x="6"/>
        <item sd="0" x="5"/>
        <item sd="0" x="4"/>
        <item sd="0" x="1"/>
        <item sd="0" x="0"/>
        <item sd="0" x="100"/>
        <item sd="0" x="115"/>
        <item sd="0" x="151"/>
        <item sd="0" x="3"/>
        <item sd="0" x="109"/>
        <item sd="0" x="126"/>
        <item sd="0" x="74"/>
        <item sd="0" x="91"/>
        <item sd="0" x="124"/>
        <item sd="0" x="112"/>
        <item sd="0" x="153"/>
        <item m="1" x="168"/>
        <item sd="0" x="119"/>
        <item sd="0" x="148"/>
        <item sd="0" x="90"/>
        <item sd="0" x="2"/>
        <item sd="0" x="34"/>
        <item sd="0" x="35"/>
        <item sd="0" x="42"/>
        <item sd="0" x="101"/>
        <item sd="0" x="116"/>
        <item sd="0" x="140"/>
        <item sd="0" x="137"/>
        <item sd="0" x="113"/>
        <item sd="0" x="114"/>
        <item sd="0" x="64"/>
        <item sd="0" x="157"/>
        <item sd="0" x="158"/>
        <item sd="0" x="159"/>
        <item sd="0" x="160"/>
        <item sd="0" x="16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10">
        <item m="1" x="6"/>
        <item m="1" x="8"/>
        <item m="1" x="5"/>
        <item m="1" x="7"/>
        <item x="4"/>
        <item x="3"/>
        <item x="2"/>
        <item x="1"/>
        <item x="0"/>
        <item t="default"/>
      </items>
    </pivotField>
    <pivotField numFmtId="164" showAll="0"/>
    <pivotField numFmtId="166" showAll="0" defaultSubtotal="0"/>
    <pivotField numFmtId="168" showAll="0" defaultSubtotal="0"/>
    <pivotField dataField="1" showAll="0" defaultSubtotal="0"/>
    <pivotField dataField="1" numFmtId="10" showAll="0"/>
    <pivotField dataField="1" numFmtId="164" showAll="0" defaultSubtotal="0"/>
    <pivotField dataField="1" numFmtId="10" showAll="0" defaultSubtotal="0"/>
    <pivotField numFmtId="164" showAll="0" defaultSubtotal="0"/>
    <pivotField numFmtId="164" showAll="0" defaultSubtotal="0"/>
  </pivotFields>
  <rowFields count="2">
    <field x="0"/>
    <field x="1"/>
  </rowFields>
  <rowItems count="163">
    <i>
      <x v="152"/>
    </i>
    <i>
      <x v="62"/>
    </i>
    <i>
      <x v="63"/>
    </i>
    <i>
      <x v="1"/>
    </i>
    <i>
      <x v="140"/>
    </i>
    <i>
      <x v="127"/>
    </i>
    <i>
      <x v="6"/>
    </i>
    <i>
      <x v="7"/>
    </i>
    <i>
      <x v="2"/>
    </i>
    <i>
      <x v="128"/>
    </i>
    <i>
      <x v="84"/>
    </i>
    <i>
      <x v="83"/>
    </i>
    <i>
      <x v="95"/>
    </i>
    <i>
      <x v="96"/>
    </i>
    <i>
      <x v="51"/>
    </i>
    <i>
      <x v="93"/>
    </i>
    <i>
      <x v="52"/>
    </i>
    <i>
      <x v="94"/>
    </i>
    <i>
      <x v="137"/>
    </i>
    <i>
      <x v="121"/>
    </i>
    <i>
      <x v="49"/>
    </i>
    <i>
      <x v="144"/>
    </i>
    <i>
      <x v="80"/>
    </i>
    <i>
      <x v="19"/>
    </i>
    <i>
      <x v="76"/>
    </i>
    <i>
      <x v="122"/>
    </i>
    <i>
      <x v="50"/>
    </i>
    <i>
      <x v="77"/>
    </i>
    <i>
      <x v="97"/>
    </i>
    <i>
      <x v="166"/>
    </i>
    <i>
      <x v="82"/>
    </i>
    <i>
      <x v="168"/>
    </i>
    <i>
      <x v="12"/>
    </i>
    <i>
      <x v="91"/>
    </i>
    <i>
      <x v="149"/>
    </i>
    <i>
      <x v="60"/>
    </i>
    <i>
      <x v="36"/>
    </i>
    <i>
      <x v="37"/>
    </i>
    <i>
      <x v="64"/>
    </i>
    <i>
      <x v="85"/>
    </i>
    <i>
      <x v="86"/>
    </i>
    <i>
      <x v="39"/>
    </i>
    <i>
      <x v="135"/>
    </i>
    <i>
      <x v="74"/>
    </i>
    <i>
      <x v="13"/>
    </i>
    <i>
      <x v="87"/>
    </i>
    <i>
      <x v="101"/>
    </i>
    <i>
      <x v="99"/>
    </i>
    <i>
      <x v="119"/>
    </i>
    <i>
      <x v="120"/>
    </i>
    <i>
      <x v="92"/>
    </i>
    <i>
      <x v="142"/>
    </i>
    <i>
      <x v="79"/>
    </i>
    <i>
      <x v="98"/>
    </i>
    <i>
      <x v="90"/>
    </i>
    <i>
      <x v="16"/>
    </i>
    <i>
      <x v="81"/>
    </i>
    <i>
      <x v="133"/>
    </i>
    <i>
      <x v="141"/>
    </i>
    <i>
      <x v="151"/>
    </i>
    <i>
      <x v="34"/>
    </i>
    <i>
      <x v="71"/>
    </i>
    <i>
      <x v="72"/>
    </i>
    <i>
      <x v="43"/>
    </i>
    <i>
      <x v="44"/>
    </i>
    <i>
      <x v="139"/>
    </i>
    <i>
      <x v="134"/>
    </i>
    <i>
      <x v="65"/>
    </i>
    <i>
      <x v="73"/>
    </i>
    <i>
      <x v="56"/>
    </i>
    <i>
      <x v="35"/>
    </i>
    <i>
      <x v="153"/>
    </i>
    <i>
      <x v="104"/>
    </i>
    <i>
      <x v="103"/>
    </i>
    <i>
      <x v="105"/>
    </i>
    <i>
      <x v="55"/>
    </i>
    <i>
      <x v="38"/>
    </i>
    <i>
      <x v="33"/>
    </i>
    <i>
      <x v="32"/>
    </i>
    <i>
      <x v="31"/>
    </i>
    <i>
      <x v="159"/>
    </i>
    <i>
      <x v="102"/>
    </i>
    <i>
      <x v="165"/>
    </i>
    <i>
      <x v="75"/>
    </i>
    <i>
      <x v="70"/>
    </i>
    <i>
      <x v="161"/>
    </i>
    <i>
      <x v="138"/>
    </i>
    <i>
      <x v="147"/>
    </i>
    <i>
      <x v="18"/>
    </i>
    <i>
      <x v="125"/>
    </i>
    <i>
      <x v="126"/>
    </i>
    <i>
      <x v="163"/>
    </i>
    <i>
      <x v="167"/>
    </i>
    <i>
      <x v="118"/>
    </i>
    <i>
      <x v="113"/>
    </i>
    <i>
      <x v="15"/>
    </i>
    <i>
      <x v="14"/>
    </i>
    <i>
      <x v="162"/>
    </i>
    <i>
      <x v="158"/>
    </i>
    <i>
      <x v="109"/>
    </i>
    <i>
      <x v="27"/>
    </i>
    <i>
      <x v="24"/>
    </i>
    <i>
      <x v="17"/>
    </i>
    <i>
      <x v="160"/>
    </i>
    <i>
      <x v="45"/>
    </i>
    <i>
      <x v="46"/>
    </i>
    <i>
      <x v="169"/>
    </i>
    <i>
      <x v="157"/>
    </i>
    <i>
      <x v="53"/>
    </i>
    <i>
      <x v="59"/>
    </i>
    <i>
      <x v="156"/>
    </i>
    <i>
      <x v="112"/>
    </i>
    <i>
      <x v="54"/>
    </i>
    <i>
      <x v="155"/>
    </i>
    <i>
      <x v="146"/>
    </i>
    <i>
      <x v="131"/>
    </i>
    <i>
      <x v="145"/>
    </i>
    <i>
      <x v="78"/>
    </i>
    <i>
      <x v="20"/>
    </i>
    <i>
      <x v="117"/>
    </i>
    <i>
      <x v="8"/>
    </i>
    <i>
      <x v="108"/>
    </i>
    <i>
      <x v="107"/>
    </i>
    <i>
      <x v="21"/>
    </i>
    <i>
      <x v="143"/>
    </i>
    <i>
      <x v="114"/>
    </i>
    <i>
      <x v="111"/>
    </i>
    <i>
      <x v="154"/>
    </i>
    <i>
      <x v="40"/>
    </i>
    <i>
      <x v="164"/>
    </i>
    <i>
      <x v="41"/>
    </i>
    <i>
      <x v="106"/>
    </i>
    <i>
      <x v="110"/>
    </i>
    <i>
      <x v="66"/>
    </i>
    <i>
      <x v="67"/>
    </i>
    <i>
      <x v="57"/>
    </i>
    <i>
      <x v="58"/>
    </i>
    <i>
      <x v="61"/>
    </i>
    <i>
      <x v="28"/>
    </i>
    <i>
      <x v="88"/>
    </i>
    <i>
      <x v="29"/>
    </i>
    <i>
      <x v="30"/>
    </i>
    <i>
      <x v="89"/>
    </i>
    <i>
      <x v="68"/>
    </i>
    <i>
      <x v="69"/>
    </i>
    <i>
      <x v="116"/>
    </i>
    <i>
      <x v="11"/>
    </i>
    <i>
      <x v="115"/>
    </i>
    <i>
      <x v="136"/>
    </i>
    <i>
      <x v="148"/>
    </i>
    <i>
      <x v="130"/>
    </i>
    <i>
      <x v="129"/>
    </i>
    <i>
      <x v="42"/>
    </i>
    <i>
      <x v="3"/>
    </i>
    <i>
      <x v="47"/>
    </i>
    <i>
      <x v="123"/>
    </i>
    <i>
      <x v="48"/>
    </i>
    <i>
      <x v="23"/>
    </i>
    <i>
      <x v="25"/>
    </i>
    <i>
      <x v="124"/>
    </i>
    <i>
      <x v="100"/>
    </i>
    <i>
      <x v="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Média Dividendo" fld="5" subtotal="average" baseField="0" baseItem="0" numFmtId="167"/>
    <dataField name="Média Payout" fld="6" subtotal="average" baseField="0" baseItem="0" numFmtId="10"/>
    <dataField name="Cotação Atual" fld="7" subtotal="average" baseField="0" baseItem="7" numFmtId="167"/>
    <dataField name="% Yield" fld="8" subtotal="average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200" connectionId="11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198" connectionId="8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197" connectionId="8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196" connectionId="7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195" connectionId="7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194" connectionId="5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57" connectionId="15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15" connectionId="28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62" connectionId="17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42" connectionId="6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163" connectionId="25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14" connectionId="32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127" connectionId="16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60" connectionId="16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8" connectionId="348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51" connectionId="1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187" connectionId="4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19" connectionId="32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178" connectionId="29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182" connectionId="30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130" connectionId="17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137" connectionId="19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186" connectionId="3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41" connectionId="5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122" connectionId="14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16" connectionId="32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1" connectionId="31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159" connectionId="24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170" connectionId="27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157" connectionId="24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39" connectionId="3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126" connectionId="15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54" connectionId="1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184" connectionId="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188" connectionId="4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108" connectionId="3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185" connectionId="3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154" connectionId="23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165" connectionId="258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117" connectionId="12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119" connectionId="13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8" connectionId="25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192" connectionId="5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53" connectionId="14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33" connectionId="2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167" connectionId="26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65" connectionId="18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143" connectionId="205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45" connectionId="10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142" connectionId="20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73" connectionId="2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9" connectionId="28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49" connectionId="12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46" connectionId="11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52" connectionId="1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6" connectionId="34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158" connectionId="24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66" connectionId="186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125" connectionId="15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128" connectionId="16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189" connectionId="4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168" connectionId="26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50" connectionId="13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118" connectionId="12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20" connectionId="339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48" connectionId="12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2" connectionId="31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63" connectionId="17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140" connectionId="199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112" connectionId="8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34" connectionId="28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58" connectionId="16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7" connectionId="34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31" connectionId="20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124" connectionId="14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160" connectionId="24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180" connectionId="29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146" connectionId="21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5" connectionId="33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138" connectionId="195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161" connectionId="249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179" connectionId="294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40" connectionId="4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29" connectionId="15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116" connectionId="11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147" connectionId="217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43" connectionId="80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110" connectionId="58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190" connectionId="46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136" connectionId="189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59" connectionId="16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35" connectionId="30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113" connectionId="9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150" connectionId="223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193" connectionId="54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70" connectionId="15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6" connectionId="209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171" connectionId="27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169" connectionId="26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191" connectionId="48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149" connectionId="22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ExternalData_15" connectionId="321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ExternalData_18" connectionId="31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133" connectionId="179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139" connectionId="197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177" connectionId="290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ExternalData_3" connectionId="316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47" connectionId="118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111" connectionId="69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153" connectionId="229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37" connectionId="14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121" connectionId="138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ExternalData_21" connectionId="343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115" connectionId="114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164" connectionId="255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174" connectionId="279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176" connectionId="284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ExternalData_13" connectionId="318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ExternalData_9" connectionId="349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3" connectionId="113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72" connectionId="209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148" connectionId="219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132" connectionId="176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156" connectionId="236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28" connectionId="113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151" connectionId="225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175" connectionId="282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4" connectionId="150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64" connectionId="179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129" connectionId="167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56" connectionId="151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114" connectionId="102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106" connectionId="14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7" connectionId="233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109" connectionId="47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155" connectionId="234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ExternalData_10" connectionId="350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18" connectionId="113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166" connectionId="260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162" connectionId="251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98" connectionId="150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10" connectionId="304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38" connectionId="25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ExternalData_17" connectionId="315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172" connectionId="275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14" connectionId="257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141" connectionId="201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ExternalData_11" connectionId="351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134" connectionId="182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183" connectionId="313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152" connectionId="227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97" connectionId="113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123" connectionId="144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131" connectionId="173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135" connectionId="186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145" connectionId="210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71" connectionId="185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90" connectionId="304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61" connectionId="170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103" connectionId="281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107" connectionId="25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69" connectionId="113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120" connectionId="135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55" connectionId="147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32" connectionId="233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ExternalData_4" connectionId="328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173" connectionId="277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ExternalData_12" connectionId="317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181" connectionId="298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30" connectionId="185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44" connectionId="91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144" connectionId="207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104" connectionId="304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240" connectionId="115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239" connectionId="110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238" connectionId="109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237" connectionId="108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235" connectionId="106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234" connectionId="103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233" connectionId="101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230" connectionId="98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229" connectionId="97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228" connectionId="96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227" connectionId="95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225" connectionId="90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224" connectionId="89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223" connectionId="88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222" connectionId="87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221" connectionId="86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220" connectionId="84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219" connectionId="78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217" connectionId="76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216" connectionId="74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215" connectionId="73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214" connectionId="70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213" connectionId="68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212" connectionId="67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211" connectionId="66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210" connectionId="65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209" connectionId="64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208" connectionId="63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207" connectionId="62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206" connectionId="59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205" connectionId="57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61" connectionId="172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ExternalData_15" connectionId="321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180" connectionId="297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142" connectionId="204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57" connectionId="157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112" connectionId="82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103" connectionId="285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ExternalData_19" connectionId="330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106" connectionId="22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119" connectionId="133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17" connectionId="15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185" connectionId="7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123" connectionId="145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131" connectionId="175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204" connectionId="55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191" connectionId="13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ExternalData_39" connectionId="338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162" connectionId="252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193" connectionId="29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161" connectionId="250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144" connectionId="208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97" connectionId="124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175" connectionId="283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8" connectionId="262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183" connectionId="314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154" connectionId="232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56" connectionId="152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ExternalData_12" connectionId="317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124" connectionId="149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141" connectionId="202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107" connectionId="28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31" connectionId="213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15" connectionId="288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160" connectionId="248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132" connectionId="177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176" connectionId="287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199" connectionId="41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133" connectionId="180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11" connectionId="312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64" connectionId="181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ExternalData_5" connectionId="341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ExternalData_31" connectionId="327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194" connectionId="30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158" connectionId="244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111" connectionId="72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ExternalData_33" connectionId="332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48" connectionId="128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178" connectionId="293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16" connectionId="305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ExternalData_2" connectionId="348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139" connectionId="198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146" connectionId="214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28" connectionId="123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18" connectionId="121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90" connectionId="308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ExternalData_24" connectionId="317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62" connectionId="174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ExternalData_20" connectionId="342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159" connectionId="246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137" connectionId="194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32" connectionId="237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118" connectionId="131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117" connectionId="127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182" connectionId="301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ExternalData_18" connectionId="320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ExternalData_16" connectionId="322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143" connectionId="206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3" connectionId="120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ExternalData_37" connectionId="336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156" connectionId="240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ExternalData_40" connectionId="340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35" connectionId="307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192" connectionId="26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55" connectionId="148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ExternalData_35" connectionId="334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203" connectionId="53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196" connectionId="32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169" connectionId="270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49" connectionId="130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188" connectionId="10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24" connectionId="16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14" connectionId="264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ExternalData_1" connectionId="349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129" connectionId="169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151" connectionId="226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34" connectionId="289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ExternalData_14" connectionId="320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44" connectionId="94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165" connectionId="259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166" connectionId="263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2" connectionId="19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108" connectionId="39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138" connectionId="196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47" connectionId="122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69" connectionId="119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39" connectionId="38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130" connectionId="171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ExternalData_6" connectionId="345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174" connectionId="280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110" connectionId="60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68" connectionId="17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66" connectionId="187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147" connectionId="218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200" connectionId="42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43" connectionId="83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30" connectionId="190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ExternalData_36" connectionId="335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ExternalData_13" connectionId="319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46" connectionId="116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170" connectionId="272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21" connectionId="18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27" connectionId="20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ExternalData_3" connectionId="318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ExternalData_32" connectionId="329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ExternalData_30" connectionId="326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96" connectionId="24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40" connectionId="49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128" connectionId="166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38" connectionId="27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126" connectionId="159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171" connectionId="274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45" connectionId="104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201" connectionId="45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181" connectionId="299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164" connectionId="256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134" connectionId="183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71" connectionId="192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153" connectionId="230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20" connectionId="310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72" connectionId="215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163" connectionId="254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127" connectionId="162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167" connectionId="266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ExternalData_22" connectionId="350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152" connectionId="228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189" connectionId="11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59" connectionId="165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ExternalData_26" connectionId="322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173" connectionId="278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150" connectionId="224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9" connectionId="286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190" connectionId="12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116" connectionId="125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ExternalData_23" connectionId="351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148" connectionId="220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26" connectionId="303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140" connectionId="200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60" connectionId="168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177" connectionId="291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29" connectionId="160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120" connectionId="137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ExternalData_8" connectionId="348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51" connectionId="136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4" connectionId="156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73" connectionId="239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ExternalData_21" connectionId="344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122" connectionId="143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121" connectionId="140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ExternalData_4" connectionId="331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1" connectionId="309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145" connectionId="211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113" connectionId="93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36" connectionId="5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33" connectionId="261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ExternalData_17" connectionId="346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ExternalData_11" connectionId="351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dosExternos_186" connectionId="8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37" connectionId="21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10" connectionId="311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202" connectionId="51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65" connectionId="184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70" connectionId="158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125" connectionId="153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136" connectionId="191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ExternalData_38" connectionId="337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7" connectionId="238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135" connectionId="188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ExternalData_27" connectionId="323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54" connectionId="146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58" connectionId="163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50" connectionId="134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52" connectionId="139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157" connectionId="242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ExternalData_9" connectionId="349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172" connectionId="276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179" connectionId="295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ExternalData_7" connectionId="347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12" connectionId="23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168" connectionId="268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ExternalData_10" connectionId="350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115" connectionId="117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155" connectionId="235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ExternalData_34" connectionId="333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98" connectionId="155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187" connectionId="9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67" connectionId="302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149" connectionId="222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ExternalData_28" connectionId="324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ExternalData_29" connectionId="325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ExternalData_25" connectionId="321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6" connectionId="216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195" connectionId="31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198" connectionId="37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114" connectionId="105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41" connectionId="61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104" connectionId="306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42" connectionId="71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109" connectionId="50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63" connectionId="178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53" connectionId="142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197" connectionId="33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W163">
  <autoFilter ref="A1:W163">
    <filterColumn colId="17">
      <filters>
        <filter val="Sim"/>
      </filters>
    </filterColumn>
  </autoFilter>
  <sortState ref="A2:W163">
    <sortCondition descending="1" ref="S1:S163"/>
  </sortState>
  <tableColumns count="23">
    <tableColumn id="10" name="Classificação Setorial" totalsRowFunction="count" dataDxfId="1" totalsRowDxfId="2"/>
    <tableColumn id="9" name="PAPEL" dataDxfId="0" totalsRowDxfId="3"/>
    <tableColumn id="24" name="Ref"/>
    <tableColumn id="2" name="Patrimônio Líquido" dataDxfId="84" totalsRowDxfId="4"/>
    <tableColumn id="13" name="Lucro Líquido" dataDxfId="83" totalsRowDxfId="5"/>
    <tableColumn id="3" name="Total Ações" dataDxfId="82" totalsRowDxfId="6"/>
    <tableColumn id="19" name="Lucro/Ação" dataDxfId="81" totalsRowDxfId="7">
      <calculatedColumnFormula>Tabela3[[#This Row],[Lucro Líquido]]/Tabela3[[#This Row],[Total Ações]]</calculatedColumnFormula>
    </tableColumn>
    <tableColumn id="25" name="Lucro/Ação Ano" dataDxfId="80" totalsRowDxfId="8">
      <calculatedColumnFormula>Tabela3[[#This Row],[Lucro/Ação]]/Tabela3[[#This Row],[Ref]]*4</calculatedColumnFormula>
    </tableColumn>
    <tableColumn id="26" name="Payout" dataDxfId="23" totalsRowDxfId="9">
      <calculatedColumnFormula>IF(GETPIVOTDATA("Payout",'Tabela LL'!$A$3,"Ativo",Tabela3[[#This Row],[PAPEL]])&gt;1,1,GETPIVOTDATA("Payout",'Tabela LL'!$A$3,"Ativo",Tabela3[[#This Row],[PAPEL]]))</calculatedColumnFormula>
    </tableColumn>
    <tableColumn id="4" name="VPA" dataDxfId="79" totalsRowDxfId="10">
      <calculatedColumnFormula>[Patrimônio Líquido]/[Total Ações]</calculatedColumnFormula>
    </tableColumn>
    <tableColumn id="5" name="Cotação" dataDxfId="78" totalsRowDxfId="11">
      <calculatedColumnFormula>MAX(Tabela3[[#This Row],[Cotação 1]],Tabela3[[#This Row],[Cotação 2]])</calculatedColumnFormula>
    </tableColumn>
    <tableColumn id="6" name="PVPA" dataDxfId="77" totalsRowDxfId="12">
      <calculatedColumnFormula>[Cotação]/[VPA]</calculatedColumnFormula>
    </tableColumn>
    <tableColumn id="16" name="PL" dataDxfId="76">
      <calculatedColumnFormula>IF(Tabela3[[#This Row],[Lucro/Ação Ano]]&gt;0,Tabela3[[#This Row],[Cotação]]/Tabela3[[#This Row],[Lucro/Ação Ano]],0)</calculatedColumnFormula>
    </tableColumn>
    <tableColumn id="11" name="10% Rent" dataDxfId="75" totalsRowDxfId="13">
      <calculatedColumnFormula>ROUND(Tabela3[[#This Row],[Lucro Prev]]/10%,2)</calculatedColumnFormula>
    </tableColumn>
    <tableColumn id="7" name="P Compra" dataDxfId="74" totalsRowDxfId="14">
      <calculatedColumnFormula>MIN(Tabela3[[#This Row],[10% Rent]],Tabela3[[#This Row],[VPA]]*3.5)</calculatedColumnFormula>
    </tableColumn>
    <tableColumn id="1" name="% Compra" dataDxfId="73" totalsRowDxfId="15">
      <calculatedColumnFormula>Tabela3[[#This Row],[P Compra]]/Tabela3[[#This Row],[Cotação]]-1</calculatedColumnFormula>
    </tableColumn>
    <tableColumn id="21" name="Lucro Prev" dataDxfId="72" totalsRowDxfId="16">
      <calculatedColumnFormula>Tabela3[[#This Row],[Lucro/Ação Ano]]*Tabela3[[#This Row],[Payout]]</calculatedColumnFormula>
    </tableColumn>
    <tableColumn id="8" name="Comprar ?" dataDxfId="71" totalsRowDxfId="17">
      <calculatedColumnFormula>IF(AND([% Yield]&gt;=10%,[PVPA]&lt;=3.5,[PL]&lt;=15,[PL]&gt;0),"Sim","Não")</calculatedColumnFormula>
    </tableColumn>
    <tableColumn id="14" name="% Yield" dataDxfId="70" totalsRowDxfId="18">
      <calculatedColumnFormula>Tabela3[[#This Row],[Lucro Prev]]/Tabela3[[#This Row],[Cotação]]</calculatedColumnFormula>
    </tableColumn>
    <tableColumn id="17" name="Ativos" dataDxfId="69" totalsRowDxfId="19">
      <calculatedColumnFormula>($Z$1/Tabela3[[#This Row],[Cotação]]-MOD($Z$1/Tabela3[[#This Row],[Cotação]],100))</calculatedColumnFormula>
    </tableColumn>
    <tableColumn id="18" name="Lucro Med A.A" dataDxfId="68" totalsRowDxfId="20">
      <calculatedColumnFormula>Tabela3[[#This Row],[Ativos]]*Tabela3[[#This Row],[Lucro Prev]]</calculatedColumnFormula>
    </tableColumn>
    <tableColumn id="15" name="Cotação 1" dataDxfId="67" totalsRowDxfId="21">
      <calculatedColumnFormula>SUMPRODUCT(N(Tabela1[Código]=Tabela3[[#This Row],[PAPEL]]),Tabela1[Fechamento])</calculatedColumnFormula>
    </tableColumn>
    <tableColumn id="20" name="Cotação 2" totalsRowFunction="sum" dataDxfId="66" totalsRowDxfId="22">
      <calculatedColumnFormula>SUMPRODUCT(N(Tabela17[Código]=Tabela3[[#This Row],[PAPEL]]),Tabela17[Fechamento])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65" dataDxfId="64">
  <autoFilter ref="P6:V112"/>
  <sortState ref="P7:V112">
    <sortCondition ref="P6:P112"/>
  </sortState>
  <tableColumns count="7">
    <tableColumn id="1" name="Código" dataDxfId="63"/>
    <tableColumn id="2" name="Ativo" dataDxfId="62">
      <calculatedColumnFormula>IF(A7="","",C7)</calculatedColumnFormula>
    </tableColumn>
    <tableColumn id="3" name="Data" dataDxfId="61">
      <calculatedColumnFormula>IF(A7="","",H7)</calculatedColumnFormula>
    </tableColumn>
    <tableColumn id="4" name="Abertura" dataDxfId="60">
      <calculatedColumnFormula>J7</calculatedColumnFormula>
    </tableColumn>
    <tableColumn id="5" name="Fechamento" dataDxfId="59">
      <calculatedColumnFormula>K7</calculatedColumnFormula>
    </tableColumn>
    <tableColumn id="6" name="Máxima" dataDxfId="58">
      <calculatedColumnFormula>L7</calculatedColumnFormula>
    </tableColumn>
    <tableColumn id="7" name="Mínima" dataDxfId="57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56" dataDxfId="55">
  <autoFilter ref="P6:V112"/>
  <sortState ref="P7:V112">
    <sortCondition ref="P6:P112"/>
  </sortState>
  <tableColumns count="7">
    <tableColumn id="1" name="Código" dataDxfId="54"/>
    <tableColumn id="2" name="Ativo" dataDxfId="53">
      <calculatedColumnFormula>IF(A7="","",C7)</calculatedColumnFormula>
    </tableColumn>
    <tableColumn id="3" name="Data" dataDxfId="52">
      <calculatedColumnFormula>IF(A7="","",H7)</calculatedColumnFormula>
    </tableColumn>
    <tableColumn id="4" name="Abertura" dataDxfId="51">
      <calculatedColumnFormula>J7</calculatedColumnFormula>
    </tableColumn>
    <tableColumn id="5" name="Fechamento" dataDxfId="50">
      <calculatedColumnFormula>K7</calculatedColumnFormula>
    </tableColumn>
    <tableColumn id="6" name="Máxima" dataDxfId="49">
      <calculatedColumnFormula>L7</calculatedColumnFormula>
    </tableColumn>
    <tableColumn id="7" name="Mínima" dataDxfId="48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abela2" displayName="Tabela2" ref="A1:K579" totalsRowShown="0" headerRowDxfId="47" dataDxfId="46">
  <autoFilter ref="A1:K579"/>
  <sortState ref="A2:K563">
    <sortCondition ref="A1:A563"/>
  </sortState>
  <tableColumns count="11">
    <tableColumn id="1" name="Ativo" dataDxfId="45"/>
    <tableColumn id="4" name="Exercício" dataDxfId="44"/>
    <tableColumn id="2" name="Lucro Líquido" dataDxfId="43"/>
    <tableColumn id="6" name="Total Ações" dataDxfId="42">
      <calculatedColumnFormula>SUMPRODUCT(N(Tabela3[PAPEL]=Tabela2[[#This Row],[Ativo]]),Tabela3[Total Ações])</calculatedColumnFormula>
    </tableColumn>
    <tableColumn id="7" name="Lucro por ação" dataDxfId="41">
      <calculatedColumnFormula>(Tabela2[[#This Row],[Lucro Líquido]])/Tabela2[[#This Row],[Total Ações]]</calculatedColumnFormula>
    </tableColumn>
    <tableColumn id="8" name="Dividendo / Ação" dataDxfId="40"/>
    <tableColumn id="5" name="Payout" dataDxfId="39">
      <calculatedColumnFormula>IF(AND(Tabela2[[#This Row],[Dividendo / Ação]]&gt;0,Tabela2[[#This Row],[Lucro por ação]]&gt;0),Tabela2[[#This Row],[Dividendo / Ação]]/Tabela2[[#This Row],[Lucro por ação]],"")</calculatedColumnFormula>
    </tableColumn>
    <tableColumn id="9" name="Cotação" dataDxfId="38">
      <calculatedColumnFormula>MAX(Tabela2[[#This Row],[Cotação 1]],Tabela2[[#This Row],[Cotação 2]])</calculatedColumnFormula>
    </tableColumn>
    <tableColumn id="10" name="Yield" dataDxfId="37">
      <calculatedColumnFormula>IF(Tabela2[[#This Row],[Dividendo / Ação]]&gt;0,Tabela2[[#This Row],[Dividendo / Ação]]/Tabela2[[#This Row],[Cotação]],"")</calculatedColumnFormula>
    </tableColumn>
    <tableColumn id="11" name="Cotação 1" dataDxfId="36">
      <calculatedColumnFormula>SUMPRODUCT(N(Tabela1[Código]=Tabela2[[#This Row],[Ativo]]),Tabela1[Fechamento])</calculatedColumnFormula>
    </tableColumn>
    <tableColumn id="12" name="Cotação 2" dataDxfId="35">
      <calculatedColumnFormula>SUMPRODUCT(N(Tabela17[Código]=Tabela2[[#This Row],[Ativo]]),Tabela17[Fechamento])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able4" displayName="Table4" ref="A1:F3" totalsRowCount="1" headerRowDxfId="34">
  <autoFilter ref="A1:F2"/>
  <tableColumns count="6">
    <tableColumn id="1" name="Data Liquidação" totalsRowLabel="Total" dataDxfId="33" totalsRowDxfId="32"/>
    <tableColumn id="2" name="Aplicação" totalsRowFunction="sum" dataDxfId="31" totalsRowDxfId="30"/>
    <tableColumn id="3" name="Taxas" totalsRowFunction="min" totalsRowDxfId="29"/>
    <tableColumn id="4" name="Resgates" totalsRowFunction="sum" dataDxfId="28" totalsRowDxfId="27"/>
    <tableColumn id="5" name="Rendimento" totalsRowFunction="sum" totalsRowDxfId="26"/>
    <tableColumn id="6" name="Rentabilidade" totalsRowFunction="custom" dataDxfId="25" totalsRowDxfId="24">
      <totalsRowFormula>IF(AND(Table4[[#Totals],[Aplicação]]&gt;0,Table4[[#Totals],[Rendimento]]&gt;0),Table4[[#Totals],[Rendimento]]/Table4[[#Totals],[Aplicação]],0)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bmfbovespa.com.br/cias-listadas/empresas-listadas/ResumoEmpresaPrincipal.aspx?codigoCvm=20575&amp;idioma=pt-br" TargetMode="External"/><Relationship Id="rId18" Type="http://schemas.openxmlformats.org/officeDocument/2006/relationships/hyperlink" Target="http://www.bmfbovespa.com.br/cias-listadas/empresas-listadas/ResumoEmpresaPrincipal.aspx?codigoCvm=17671&amp;idioma=pt-br" TargetMode="External"/><Relationship Id="rId26" Type="http://schemas.openxmlformats.org/officeDocument/2006/relationships/hyperlink" Target="http://www.bmfbovespa.com.br/cias-listadas/empresas-listadas/ResumoEmpresaPrincipal.aspx?codigoCvm=22691&amp;idioma=pt-br" TargetMode="External"/><Relationship Id="rId39" Type="http://schemas.openxmlformats.org/officeDocument/2006/relationships/hyperlink" Target="http://www.bmfbovespa.com.br/cias-listadas/empresas-listadas/ResumoEmpresaPrincipal.aspx?codigoCvm=94&amp;idioma=pt-br" TargetMode="External"/><Relationship Id="rId21" Type="http://schemas.openxmlformats.org/officeDocument/2006/relationships/hyperlink" Target="http://www.bmfbovespa.com.br/cias-listadas/empresas-listadas/ResumoEmpresaPrincipal.aspx?codigoCvm=18724&amp;idioma=pt-br" TargetMode="External"/><Relationship Id="rId34" Type="http://schemas.openxmlformats.org/officeDocument/2006/relationships/hyperlink" Target="http://www.bmfbovespa.com.br/cias-listadas/empresas-listadas/ResumoEmpresaPrincipal.aspx?codigoCvm=21091&amp;idioma=pt-br" TargetMode="External"/><Relationship Id="rId42" Type="http://schemas.openxmlformats.org/officeDocument/2006/relationships/hyperlink" Target="http://www.bmfbovespa.com.br/cias-listadas/empresas-listadas/ResumoEmpresaPrincipal.aspx?codigoCvm=21300&amp;idioma=pt-br" TargetMode="External"/><Relationship Id="rId47" Type="http://schemas.openxmlformats.org/officeDocument/2006/relationships/hyperlink" Target="http://www.bmfbovespa.com.br/cias-listadas/empresas-listadas/ResumoEmpresaPrincipal.aspx?codigoCvm=20982&amp;idioma=pt-br" TargetMode="External"/><Relationship Id="rId50" Type="http://schemas.openxmlformats.org/officeDocument/2006/relationships/hyperlink" Target="http://www.bmfbovespa.com.br/cias-listadas/empresas-listadas/ResumoEmpresaPrincipal.aspx?codigoCvm=8540&amp;idioma=pt-br" TargetMode="External"/><Relationship Id="rId55" Type="http://schemas.openxmlformats.org/officeDocument/2006/relationships/hyperlink" Target="http://www.bmfbovespa.com.br/cias-listadas/empresas-listadas/ResumoEmpresaPrincipal.aspx?codigoCvm=21717&amp;idioma=pt-br" TargetMode="External"/><Relationship Id="rId7" Type="http://schemas.openxmlformats.org/officeDocument/2006/relationships/hyperlink" Target="http://www.bmfbovespa.com.br/cias-listadas/empresas-listadas/ResumoEmpresaPrincipal.aspx?codigoCvm=4820&amp;idioma=pt-br" TargetMode="External"/><Relationship Id="rId12" Type="http://schemas.openxmlformats.org/officeDocument/2006/relationships/hyperlink" Target="http://www.bmfbovespa.com.br/cias-listadas/empresas-listadas/ResumoEmpresaPrincipal.aspx?codigoCvm=16292&amp;idioma=pt-br" TargetMode="External"/><Relationship Id="rId17" Type="http://schemas.openxmlformats.org/officeDocument/2006/relationships/hyperlink" Target="http://www.bmfbovespa.com.br/cias-listadas/empresas-listadas/ResumoEmpresaPrincipal.aspx?codigoCvm=11312&amp;idioma=pt-br" TargetMode="External"/><Relationship Id="rId25" Type="http://schemas.openxmlformats.org/officeDocument/2006/relationships/hyperlink" Target="http://www.bmfbovespa.com.br/cias-listadas/empresas-listadas/ResumoEmpresaPrincipal.aspx?codigoCvm=701&amp;idioma=pt-br" TargetMode="External"/><Relationship Id="rId33" Type="http://schemas.openxmlformats.org/officeDocument/2006/relationships/hyperlink" Target="http://www.bmfbovespa.com.br/cias-listadas/empresas-listadas/ResumoEmpresaPrincipal.aspx?codigoCvm=13412&amp;idioma=pt-br" TargetMode="External"/><Relationship Id="rId38" Type="http://schemas.openxmlformats.org/officeDocument/2006/relationships/hyperlink" Target="http://www.bmfbovespa.com.br/cias-listadas/empresas-listadas/ResumoEmpresaPrincipal.aspx?codigoCvm=4170&amp;idioma=pt-br" TargetMode="External"/><Relationship Id="rId46" Type="http://schemas.openxmlformats.org/officeDocument/2006/relationships/hyperlink" Target="http://www.bmfbovespa.com.br/cias-listadas/empresas-listadas/ResumoEmpresaPrincipal.aspx?codigoCvm=20494&amp;idioma=pt-br" TargetMode="External"/><Relationship Id="rId59" Type="http://schemas.openxmlformats.org/officeDocument/2006/relationships/printerSettings" Target="../printerSettings/printerSettings1.bin"/><Relationship Id="rId2" Type="http://schemas.openxmlformats.org/officeDocument/2006/relationships/hyperlink" Target="http://www.bmfbovespa.com.br/cias-listadas/empresas-listadas/ResumoEmpresaPrincipal.aspx?codigoCvm=22365&amp;idioma=pt-br" TargetMode="External"/><Relationship Id="rId16" Type="http://schemas.openxmlformats.org/officeDocument/2006/relationships/hyperlink" Target="http://www.bmfbovespa.com.br/cias-listadas/empresas-listadas/ResumoEmpresaPrincipal.aspx?codigoCvm=11312&amp;idioma=pt-br" TargetMode="External"/><Relationship Id="rId20" Type="http://schemas.openxmlformats.org/officeDocument/2006/relationships/hyperlink" Target="http://www.bmfbovespa.com.br/cias-listadas/empresas-listadas/ResumoEmpresaPrincipal.aspx?codigoCvm=18724&amp;idioma=pt-br" TargetMode="External"/><Relationship Id="rId29" Type="http://schemas.openxmlformats.org/officeDocument/2006/relationships/hyperlink" Target="http://www.bmfbovespa.com.br/cias-listadas/empresas-listadas/ResumoEmpresaPrincipal.aspx?codigoCvm=2577" TargetMode="External"/><Relationship Id="rId41" Type="http://schemas.openxmlformats.org/officeDocument/2006/relationships/hyperlink" Target="http://www.bmfbovespa.com.br/cias-listadas/empresas-listadas/ResumoEmpresaPrincipal.aspx?codigoCvm=5762&amp;idioma=pt-br" TargetMode="External"/><Relationship Id="rId54" Type="http://schemas.openxmlformats.org/officeDocument/2006/relationships/hyperlink" Target="http://www.bmfbovespa.com.br/cias-listadas/empresas-listadas/ResumoEmpresaPrincipal.aspx?codigoCvm=22217&amp;idioma=pt-br" TargetMode="External"/><Relationship Id="rId1" Type="http://schemas.openxmlformats.org/officeDocument/2006/relationships/hyperlink" Target="http://www.bmfbovespa.com.br/cias-listadas/empresas-listadas/ResumoEmpresaPrincipal.aspx?codigoCvm=11592&amp;idioma=pt-br" TargetMode="External"/><Relationship Id="rId6" Type="http://schemas.openxmlformats.org/officeDocument/2006/relationships/hyperlink" Target="http://www.bmfbovespa.com.br/cias-listadas/empresas-listadas/ResumoEmpresaPrincipal.aspx?codigoCvm=23159&amp;idioma=pt-br" TargetMode="External"/><Relationship Id="rId11" Type="http://schemas.openxmlformats.org/officeDocument/2006/relationships/hyperlink" Target="http://www.bmfbovespa.com.br/cias-listadas/empresas-listadas/ResumoEmpresaPrincipal.aspx?codigoCvm=2909&amp;idioma=pt-br" TargetMode="External"/><Relationship Id="rId24" Type="http://schemas.openxmlformats.org/officeDocument/2006/relationships/hyperlink" Target="http://www.bmfbovespa.com.br/cias-listadas/empresas-listadas/ResumoEmpresaPrincipal.aspx?codigoCvm=18465&amp;idioma=pt-br" TargetMode="External"/><Relationship Id="rId32" Type="http://schemas.openxmlformats.org/officeDocument/2006/relationships/hyperlink" Target="http://www.bmfbovespa.com.br/Cias-Listadas/Empresas-Listadas/ResumoEmpresaPrincipal.aspx?codigoCvm=19313&amp;idioma=pt-BR" TargetMode="External"/><Relationship Id="rId37" Type="http://schemas.openxmlformats.org/officeDocument/2006/relationships/hyperlink" Target="http://www.bmfbovespa.com.br/cias-listadas/empresas-listadas/ResumoEmpresaPrincipal.aspx?codigoCvm=20842&amp;idioma=pt-br" TargetMode="External"/><Relationship Id="rId40" Type="http://schemas.openxmlformats.org/officeDocument/2006/relationships/hyperlink" Target="http://www.bmfbovespa.com.br/cias-listadas/empresas-listadas/ResumoEmpresaPrincipal.aspx?codigoCvm=11231&amp;idioma=pt-br" TargetMode="External"/><Relationship Id="rId45" Type="http://schemas.openxmlformats.org/officeDocument/2006/relationships/hyperlink" Target="http://www.bmfbovespa.com.br/cias-listadas/empresas-listadas/ResumoEmpresaPrincipal.aspx?codigoCvm=21040&amp;idioma=pt-br" TargetMode="External"/><Relationship Id="rId53" Type="http://schemas.openxmlformats.org/officeDocument/2006/relationships/hyperlink" Target="http://www.bmfbovespa.com.br/cias-listadas/empresas-listadas/ResumoEmpresaPrincipal.aspx?codigoCvm=3891&amp;idioma=pt-br" TargetMode="External"/><Relationship Id="rId58" Type="http://schemas.openxmlformats.org/officeDocument/2006/relationships/hyperlink" Target="http://www.bmfbovespa.com.br/cias-listadas/empresas-listadas/ResumoEmpresaPrincipal.aspx?codigoCvm=21792&amp;idioma=pt-br" TargetMode="External"/><Relationship Id="rId5" Type="http://schemas.openxmlformats.org/officeDocument/2006/relationships/hyperlink" Target="http://www.bmfbovespa.com.br/cias-listadas/empresas-listadas/ResumoEmpresaPrincipal.aspx?codigoCvm=3115&amp;idioma=pt-br" TargetMode="External"/><Relationship Id="rId15" Type="http://schemas.openxmlformats.org/officeDocument/2006/relationships/hyperlink" Target="http://www.bmfbovespa.com.br/cias-listadas/empresas-listadas/ResumoEmpresaPrincipal.aspx?codigoCvm=17639&amp;idioma=pt-br" TargetMode="External"/><Relationship Id="rId23" Type="http://schemas.openxmlformats.org/officeDocument/2006/relationships/hyperlink" Target="http://www.bmfbovespa.com.br/cias-listadas/empresas-listadas/ResumoEmpresaPrincipal.aspx?codigoCvm=8893&amp;idioma=pt-br" TargetMode="External"/><Relationship Id="rId28" Type="http://schemas.openxmlformats.org/officeDocument/2006/relationships/hyperlink" Target="http://www.bmfbovespa.com.br/cias-listadas/empresas-listadas/ResumoEmpresaPrincipal.aspx?codigoCvm=14176&amp;idioma=pt-br" TargetMode="External"/><Relationship Id="rId36" Type="http://schemas.openxmlformats.org/officeDocument/2006/relationships/hyperlink" Target="http://www.bmfbovespa.com.br/cias-listadas/empresas-listadas/ResumoEmpresaPrincipal.aspx?codigoCvm=20974&amp;idioma=pt-br" TargetMode="External"/><Relationship Id="rId49" Type="http://schemas.openxmlformats.org/officeDocument/2006/relationships/hyperlink" Target="http://www.bmfbovespa.com.br/cias-listadas/empresas-listadas/ResumoEmpresaPrincipal.aspx?codigoCvm=13781&amp;idioma=pt-br" TargetMode="External"/><Relationship Id="rId57" Type="http://schemas.openxmlformats.org/officeDocument/2006/relationships/hyperlink" Target="http://www.bmfbovespa.com.br/cias-listadas/empresas-listadas/ResumoEmpresaPrincipal.aspx?codigoCvm=21733&amp;idioma=pt-br" TargetMode="External"/><Relationship Id="rId10" Type="http://schemas.openxmlformats.org/officeDocument/2006/relationships/hyperlink" Target="http://www.bmfbovespa.com.br/cias-listadas/empresas-listadas/ResumoEmpresaPrincipal.aspx?codigoCvm=2909&amp;idioma=pt-br" TargetMode="External"/><Relationship Id="rId19" Type="http://schemas.openxmlformats.org/officeDocument/2006/relationships/hyperlink" Target="http://www.bmfbovespa.com.br/cias-listadas/empresas-listadas/ResumoEmpresaPrincipal.aspx?codigoCvm=17671&amp;idioma=pt-br" TargetMode="External"/><Relationship Id="rId31" Type="http://schemas.openxmlformats.org/officeDocument/2006/relationships/hyperlink" Target="http://www.bmfbovespa.com.br/cias-listadas/empresas-listadas/ResumoEmpresaPrincipal.aspx?codigoCvm=14915&amp;idioma=pt-br" TargetMode="External"/><Relationship Id="rId44" Type="http://schemas.openxmlformats.org/officeDocument/2006/relationships/hyperlink" Target="http://www.bmfbovespa.com.br/cias-listadas/empresas-listadas/ResumoEmpresaPrincipal.aspx?codigoCvm=19925&amp;idioma=pt-br" TargetMode="External"/><Relationship Id="rId52" Type="http://schemas.openxmlformats.org/officeDocument/2006/relationships/hyperlink" Target="http://www.bmfbovespa.com.br/cias-listadas/empresas-listadas/ResumoEmpresaPrincipal.aspx?codigoCvm=3891&amp;idioma=pt-br" TargetMode="External"/><Relationship Id="rId60" Type="http://schemas.openxmlformats.org/officeDocument/2006/relationships/table" Target="../tables/table1.xml"/><Relationship Id="rId4" Type="http://schemas.openxmlformats.org/officeDocument/2006/relationships/hyperlink" Target="http://www.bmfbovespa.com.br/cias-listadas/empresas-listadas/ResumoEmpresaPrincipal.aspx?codigoCvm=3115&amp;idioma=pt-br" TargetMode="External"/><Relationship Id="rId9" Type="http://schemas.openxmlformats.org/officeDocument/2006/relationships/hyperlink" Target="http://www.bmfbovespa.com.br/cias-listadas/empresas-listadas/ResumoEmpresaPrincipal.aspx?codigoCvm=20516&amp;idioma=pt-br" TargetMode="External"/><Relationship Id="rId14" Type="http://schemas.openxmlformats.org/officeDocument/2006/relationships/hyperlink" Target="http://www.bmfbovespa.com.br/cias-listadas/empresas-listadas/ResumoEmpresaPrincipal.aspx?codigoCvm=22772&amp;idioma=pt-br" TargetMode="External"/><Relationship Id="rId22" Type="http://schemas.openxmlformats.org/officeDocument/2006/relationships/hyperlink" Target="http://www.bmfbovespa.com.br/cias-listadas/empresas-listadas/ResumoEmpresaPrincipal.aspx?codigoCvm=3298&amp;idioma=pt-br" TargetMode="External"/><Relationship Id="rId27" Type="http://schemas.openxmlformats.org/officeDocument/2006/relationships/hyperlink" Target="http://www.bmfbovespa.com.br/cias-listadas/empresas-listadas/ResumoEmpresaPrincipal.aspx?codigoCvm=14176&amp;idioma=pt-br" TargetMode="External"/><Relationship Id="rId30" Type="http://schemas.openxmlformats.org/officeDocument/2006/relationships/hyperlink" Target="http://www.bmfbovespa.com.br/cias-listadas/empresas-listadas/ResumoEmpresaPrincipal.aspx?codigoCvm=2453&amp;idioma=pt-br" TargetMode="External"/><Relationship Id="rId35" Type="http://schemas.openxmlformats.org/officeDocument/2006/relationships/hyperlink" Target="http://www.bmfbovespa.com.br/cias-listadas/empresas-listadas/ResumoEmpresaPrincipal.aspx?codigoCvm=5770&amp;idioma=pt-br" TargetMode="External"/><Relationship Id="rId43" Type="http://schemas.openxmlformats.org/officeDocument/2006/relationships/hyperlink" Target="http://www.bmfbovespa.com.br/cias-listadas/empresas-listadas/ResumoEmpresaPrincipal.aspx?codigoCvm=19909&amp;idioma=pt-br" TargetMode="External"/><Relationship Id="rId48" Type="http://schemas.openxmlformats.org/officeDocument/2006/relationships/hyperlink" Target="http://www.bmfbovespa.com.br/cias-listadas/empresas-listadas/ResumoEmpresaPrincipal.aspx?codigoCvm=22357&amp;idioma=pt-br" TargetMode="External"/><Relationship Id="rId56" Type="http://schemas.openxmlformats.org/officeDocument/2006/relationships/hyperlink" Target="http://www.bmfbovespa.com.br/cias-listadas/empresas-listadas/ResumoEmpresaPrincipal.aspx?codigoCvm=21610&amp;idioma=pt-br" TargetMode="External"/><Relationship Id="rId8" Type="http://schemas.openxmlformats.org/officeDocument/2006/relationships/hyperlink" Target="http://www.bmfbovespa.com.br/cias-listadas/empresas-listadas/ResumoEmpresaPrincipal.aspx?codigoCvm=19836&amp;idioma=pt-br" TargetMode="External"/><Relationship Id="rId51" Type="http://schemas.openxmlformats.org/officeDocument/2006/relationships/hyperlink" Target="http://www.bmfbovespa.com.br/cias-listadas/empresas-listadas/ResumoEmpresaPrincipal.aspx?codigoCvm=8540&amp;idioma=pt-br" TargetMode="External"/><Relationship Id="rId3" Type="http://schemas.openxmlformats.org/officeDocument/2006/relationships/hyperlink" Target="http://www.bmfbovespa.com.br/cias-listadas/empresas-listadas/ResumoEmpresaPrincipal.aspx?codigoCvm=21121&amp;idioma=pt-br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3.xml"/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47" Type="http://schemas.openxmlformats.org/officeDocument/2006/relationships/queryTable" Target="../queryTables/queryTable44.xml"/><Relationship Id="rId63" Type="http://schemas.openxmlformats.org/officeDocument/2006/relationships/queryTable" Target="../queryTables/queryTable60.xml"/><Relationship Id="rId68" Type="http://schemas.openxmlformats.org/officeDocument/2006/relationships/queryTable" Target="../queryTables/queryTable65.xml"/><Relationship Id="rId84" Type="http://schemas.openxmlformats.org/officeDocument/2006/relationships/queryTable" Target="../queryTables/queryTable81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38" Type="http://schemas.openxmlformats.org/officeDocument/2006/relationships/queryTable" Target="../queryTables/queryTable135.xml"/><Relationship Id="rId154" Type="http://schemas.openxmlformats.org/officeDocument/2006/relationships/queryTable" Target="../queryTables/queryTable151.xml"/><Relationship Id="rId159" Type="http://schemas.openxmlformats.org/officeDocument/2006/relationships/queryTable" Target="../queryTables/queryTable156.xml"/><Relationship Id="rId175" Type="http://schemas.openxmlformats.org/officeDocument/2006/relationships/queryTable" Target="../queryTables/queryTable172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16" Type="http://schemas.openxmlformats.org/officeDocument/2006/relationships/queryTable" Target="../queryTables/queryTable13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37" Type="http://schemas.openxmlformats.org/officeDocument/2006/relationships/queryTable" Target="../queryTables/queryTable34.xml"/><Relationship Id="rId53" Type="http://schemas.openxmlformats.org/officeDocument/2006/relationships/queryTable" Target="../queryTables/queryTable50.xml"/><Relationship Id="rId58" Type="http://schemas.openxmlformats.org/officeDocument/2006/relationships/queryTable" Target="../queryTables/queryTable55.xml"/><Relationship Id="rId74" Type="http://schemas.openxmlformats.org/officeDocument/2006/relationships/queryTable" Target="../queryTables/queryTable71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28" Type="http://schemas.openxmlformats.org/officeDocument/2006/relationships/queryTable" Target="../queryTables/queryTable125.xml"/><Relationship Id="rId144" Type="http://schemas.openxmlformats.org/officeDocument/2006/relationships/queryTable" Target="../queryTables/queryTable141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0" Type="http://schemas.openxmlformats.org/officeDocument/2006/relationships/queryTable" Target="../queryTables/queryTable87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65" Type="http://schemas.openxmlformats.org/officeDocument/2006/relationships/queryTable" Target="../queryTables/queryTable162.xml"/><Relationship Id="rId181" Type="http://schemas.openxmlformats.org/officeDocument/2006/relationships/queryTable" Target="../queryTables/queryTable178.xml"/><Relationship Id="rId186" Type="http://schemas.openxmlformats.org/officeDocument/2006/relationships/queryTable" Target="../queryTables/queryTable183.xml"/><Relationship Id="rId22" Type="http://schemas.openxmlformats.org/officeDocument/2006/relationships/queryTable" Target="../queryTables/queryTable19.xml"/><Relationship Id="rId27" Type="http://schemas.openxmlformats.org/officeDocument/2006/relationships/queryTable" Target="../queryTables/queryTable24.xml"/><Relationship Id="rId43" Type="http://schemas.openxmlformats.org/officeDocument/2006/relationships/queryTable" Target="../queryTables/queryTable40.xml"/><Relationship Id="rId48" Type="http://schemas.openxmlformats.org/officeDocument/2006/relationships/queryTable" Target="../queryTables/queryTable45.xml"/><Relationship Id="rId64" Type="http://schemas.openxmlformats.org/officeDocument/2006/relationships/queryTable" Target="../queryTables/queryTable61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18" Type="http://schemas.openxmlformats.org/officeDocument/2006/relationships/queryTable" Target="../queryTables/queryTable115.xml"/><Relationship Id="rId134" Type="http://schemas.openxmlformats.org/officeDocument/2006/relationships/queryTable" Target="../queryTables/queryTable131.xml"/><Relationship Id="rId139" Type="http://schemas.openxmlformats.org/officeDocument/2006/relationships/queryTable" Target="../queryTables/queryTable136.xml"/><Relationship Id="rId80" Type="http://schemas.openxmlformats.org/officeDocument/2006/relationships/queryTable" Target="../queryTables/queryTable77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55" Type="http://schemas.openxmlformats.org/officeDocument/2006/relationships/queryTable" Target="../queryTables/queryTable152.xml"/><Relationship Id="rId171" Type="http://schemas.openxmlformats.org/officeDocument/2006/relationships/queryTable" Target="../queryTables/queryTable168.xml"/><Relationship Id="rId176" Type="http://schemas.openxmlformats.org/officeDocument/2006/relationships/queryTable" Target="../queryTables/queryTable173.xml"/><Relationship Id="rId12" Type="http://schemas.openxmlformats.org/officeDocument/2006/relationships/queryTable" Target="../queryTables/queryTable9.xml"/><Relationship Id="rId17" Type="http://schemas.openxmlformats.org/officeDocument/2006/relationships/queryTable" Target="../queryTables/queryTable14.xml"/><Relationship Id="rId33" Type="http://schemas.openxmlformats.org/officeDocument/2006/relationships/queryTable" Target="../queryTables/queryTable30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08" Type="http://schemas.openxmlformats.org/officeDocument/2006/relationships/queryTable" Target="../queryTables/queryTable105.xml"/><Relationship Id="rId124" Type="http://schemas.openxmlformats.org/officeDocument/2006/relationships/queryTable" Target="../queryTables/queryTable121.xml"/><Relationship Id="rId129" Type="http://schemas.openxmlformats.org/officeDocument/2006/relationships/queryTable" Target="../queryTables/queryTable126.xml"/><Relationship Id="rId54" Type="http://schemas.openxmlformats.org/officeDocument/2006/relationships/queryTable" Target="../queryTables/queryTable51.xml"/><Relationship Id="rId70" Type="http://schemas.openxmlformats.org/officeDocument/2006/relationships/queryTable" Target="../queryTables/queryTable67.xml"/><Relationship Id="rId75" Type="http://schemas.openxmlformats.org/officeDocument/2006/relationships/queryTable" Target="../queryTables/queryTable72.xml"/><Relationship Id="rId91" Type="http://schemas.openxmlformats.org/officeDocument/2006/relationships/queryTable" Target="../queryTables/queryTable88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45" Type="http://schemas.openxmlformats.org/officeDocument/2006/relationships/queryTable" Target="../queryTables/queryTable142.xml"/><Relationship Id="rId161" Type="http://schemas.openxmlformats.org/officeDocument/2006/relationships/queryTable" Target="../queryTables/queryTable158.xml"/><Relationship Id="rId166" Type="http://schemas.openxmlformats.org/officeDocument/2006/relationships/queryTable" Target="../queryTables/queryTable163.xml"/><Relationship Id="rId182" Type="http://schemas.openxmlformats.org/officeDocument/2006/relationships/queryTable" Target="../queryTables/queryTable179.xml"/><Relationship Id="rId187" Type="http://schemas.openxmlformats.org/officeDocument/2006/relationships/queryTable" Target="../queryTables/queryTable18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44" Type="http://schemas.openxmlformats.org/officeDocument/2006/relationships/queryTable" Target="../queryTables/queryTable41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72" Type="http://schemas.openxmlformats.org/officeDocument/2006/relationships/queryTable" Target="../queryTables/queryTable169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" Type="http://schemas.openxmlformats.org/officeDocument/2006/relationships/queryTable" Target="../queryTables/queryTable16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3" Type="http://schemas.openxmlformats.org/officeDocument/2006/relationships/table" Target="../tables/table2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0" Type="http://schemas.openxmlformats.org/officeDocument/2006/relationships/queryTable" Target="../queryTables/queryTable187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02.xml"/><Relationship Id="rId21" Type="http://schemas.openxmlformats.org/officeDocument/2006/relationships/queryTable" Target="../queryTables/queryTable206.xml"/><Relationship Id="rId42" Type="http://schemas.openxmlformats.org/officeDocument/2006/relationships/queryTable" Target="../queryTables/queryTable227.xml"/><Relationship Id="rId63" Type="http://schemas.openxmlformats.org/officeDocument/2006/relationships/queryTable" Target="../queryTables/queryTable248.xml"/><Relationship Id="rId84" Type="http://schemas.openxmlformats.org/officeDocument/2006/relationships/queryTable" Target="../queryTables/queryTable269.xml"/><Relationship Id="rId138" Type="http://schemas.openxmlformats.org/officeDocument/2006/relationships/queryTable" Target="../queryTables/queryTable323.xml"/><Relationship Id="rId159" Type="http://schemas.openxmlformats.org/officeDocument/2006/relationships/queryTable" Target="../queryTables/queryTable344.xml"/><Relationship Id="rId170" Type="http://schemas.openxmlformats.org/officeDocument/2006/relationships/queryTable" Target="../queryTables/queryTable355.xml"/><Relationship Id="rId191" Type="http://schemas.openxmlformats.org/officeDocument/2006/relationships/queryTable" Target="../queryTables/queryTable376.xml"/><Relationship Id="rId205" Type="http://schemas.openxmlformats.org/officeDocument/2006/relationships/queryTable" Target="../queryTables/queryTable390.xml"/><Relationship Id="rId226" Type="http://schemas.openxmlformats.org/officeDocument/2006/relationships/queryTable" Target="../queryTables/queryTable411.xml"/><Relationship Id="rId107" Type="http://schemas.openxmlformats.org/officeDocument/2006/relationships/queryTable" Target="../queryTables/queryTable292.xml"/><Relationship Id="rId11" Type="http://schemas.openxmlformats.org/officeDocument/2006/relationships/queryTable" Target="../queryTables/queryTable196.xml"/><Relationship Id="rId32" Type="http://schemas.openxmlformats.org/officeDocument/2006/relationships/queryTable" Target="../queryTables/queryTable217.xml"/><Relationship Id="rId53" Type="http://schemas.openxmlformats.org/officeDocument/2006/relationships/queryTable" Target="../queryTables/queryTable238.xml"/><Relationship Id="rId74" Type="http://schemas.openxmlformats.org/officeDocument/2006/relationships/queryTable" Target="../queryTables/queryTable259.xml"/><Relationship Id="rId128" Type="http://schemas.openxmlformats.org/officeDocument/2006/relationships/queryTable" Target="../queryTables/queryTable313.xml"/><Relationship Id="rId149" Type="http://schemas.openxmlformats.org/officeDocument/2006/relationships/queryTable" Target="../queryTables/queryTable334.xml"/><Relationship Id="rId5" Type="http://schemas.openxmlformats.org/officeDocument/2006/relationships/queryTable" Target="../queryTables/queryTable190.xml"/><Relationship Id="rId95" Type="http://schemas.openxmlformats.org/officeDocument/2006/relationships/queryTable" Target="../queryTables/queryTable280.xml"/><Relationship Id="rId160" Type="http://schemas.openxmlformats.org/officeDocument/2006/relationships/queryTable" Target="../queryTables/queryTable345.xml"/><Relationship Id="rId181" Type="http://schemas.openxmlformats.org/officeDocument/2006/relationships/queryTable" Target="../queryTables/queryTable366.xml"/><Relationship Id="rId216" Type="http://schemas.openxmlformats.org/officeDocument/2006/relationships/queryTable" Target="../queryTables/queryTable401.xml"/><Relationship Id="rId237" Type="http://schemas.openxmlformats.org/officeDocument/2006/relationships/queryTable" Target="../queryTables/queryTable422.xml"/><Relationship Id="rId22" Type="http://schemas.openxmlformats.org/officeDocument/2006/relationships/queryTable" Target="../queryTables/queryTable207.xml"/><Relationship Id="rId43" Type="http://schemas.openxmlformats.org/officeDocument/2006/relationships/queryTable" Target="../queryTables/queryTable228.xml"/><Relationship Id="rId64" Type="http://schemas.openxmlformats.org/officeDocument/2006/relationships/queryTable" Target="../queryTables/queryTable249.xml"/><Relationship Id="rId118" Type="http://schemas.openxmlformats.org/officeDocument/2006/relationships/queryTable" Target="../queryTables/queryTable303.xml"/><Relationship Id="rId139" Type="http://schemas.openxmlformats.org/officeDocument/2006/relationships/queryTable" Target="../queryTables/queryTable324.xml"/><Relationship Id="rId85" Type="http://schemas.openxmlformats.org/officeDocument/2006/relationships/queryTable" Target="../queryTables/queryTable270.xml"/><Relationship Id="rId150" Type="http://schemas.openxmlformats.org/officeDocument/2006/relationships/queryTable" Target="../queryTables/queryTable335.xml"/><Relationship Id="rId171" Type="http://schemas.openxmlformats.org/officeDocument/2006/relationships/queryTable" Target="../queryTables/queryTable356.xml"/><Relationship Id="rId192" Type="http://schemas.openxmlformats.org/officeDocument/2006/relationships/queryTable" Target="../queryTables/queryTable377.xml"/><Relationship Id="rId206" Type="http://schemas.openxmlformats.org/officeDocument/2006/relationships/queryTable" Target="../queryTables/queryTable391.xml"/><Relationship Id="rId227" Type="http://schemas.openxmlformats.org/officeDocument/2006/relationships/queryTable" Target="../queryTables/queryTable412.xml"/><Relationship Id="rId201" Type="http://schemas.openxmlformats.org/officeDocument/2006/relationships/queryTable" Target="../queryTables/queryTable386.xml"/><Relationship Id="rId222" Type="http://schemas.openxmlformats.org/officeDocument/2006/relationships/queryTable" Target="../queryTables/queryTable407.xml"/><Relationship Id="rId243" Type="http://schemas.openxmlformats.org/officeDocument/2006/relationships/queryTable" Target="../queryTables/queryTable428.xml"/><Relationship Id="rId12" Type="http://schemas.openxmlformats.org/officeDocument/2006/relationships/queryTable" Target="../queryTables/queryTable197.xml"/><Relationship Id="rId17" Type="http://schemas.openxmlformats.org/officeDocument/2006/relationships/queryTable" Target="../queryTables/queryTable202.xml"/><Relationship Id="rId33" Type="http://schemas.openxmlformats.org/officeDocument/2006/relationships/queryTable" Target="../queryTables/queryTable218.xml"/><Relationship Id="rId38" Type="http://schemas.openxmlformats.org/officeDocument/2006/relationships/queryTable" Target="../queryTables/queryTable223.xml"/><Relationship Id="rId59" Type="http://schemas.openxmlformats.org/officeDocument/2006/relationships/queryTable" Target="../queryTables/queryTable244.xml"/><Relationship Id="rId103" Type="http://schemas.openxmlformats.org/officeDocument/2006/relationships/queryTable" Target="../queryTables/queryTable288.xml"/><Relationship Id="rId108" Type="http://schemas.openxmlformats.org/officeDocument/2006/relationships/queryTable" Target="../queryTables/queryTable293.xml"/><Relationship Id="rId124" Type="http://schemas.openxmlformats.org/officeDocument/2006/relationships/queryTable" Target="../queryTables/queryTable309.xml"/><Relationship Id="rId129" Type="http://schemas.openxmlformats.org/officeDocument/2006/relationships/queryTable" Target="../queryTables/queryTable314.xml"/><Relationship Id="rId54" Type="http://schemas.openxmlformats.org/officeDocument/2006/relationships/queryTable" Target="../queryTables/queryTable239.xml"/><Relationship Id="rId70" Type="http://schemas.openxmlformats.org/officeDocument/2006/relationships/queryTable" Target="../queryTables/queryTable255.xml"/><Relationship Id="rId75" Type="http://schemas.openxmlformats.org/officeDocument/2006/relationships/queryTable" Target="../queryTables/queryTable260.xml"/><Relationship Id="rId91" Type="http://schemas.openxmlformats.org/officeDocument/2006/relationships/queryTable" Target="../queryTables/queryTable276.xml"/><Relationship Id="rId96" Type="http://schemas.openxmlformats.org/officeDocument/2006/relationships/queryTable" Target="../queryTables/queryTable281.xml"/><Relationship Id="rId140" Type="http://schemas.openxmlformats.org/officeDocument/2006/relationships/queryTable" Target="../queryTables/queryTable325.xml"/><Relationship Id="rId145" Type="http://schemas.openxmlformats.org/officeDocument/2006/relationships/queryTable" Target="../queryTables/queryTable330.xml"/><Relationship Id="rId161" Type="http://schemas.openxmlformats.org/officeDocument/2006/relationships/queryTable" Target="../queryTables/queryTable346.xml"/><Relationship Id="rId166" Type="http://schemas.openxmlformats.org/officeDocument/2006/relationships/queryTable" Target="../queryTables/queryTable351.xml"/><Relationship Id="rId182" Type="http://schemas.openxmlformats.org/officeDocument/2006/relationships/queryTable" Target="../queryTables/queryTable367.xml"/><Relationship Id="rId187" Type="http://schemas.openxmlformats.org/officeDocument/2006/relationships/queryTable" Target="../queryTables/queryTable372.xml"/><Relationship Id="rId217" Type="http://schemas.openxmlformats.org/officeDocument/2006/relationships/queryTable" Target="../queryTables/queryTable402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191.xml"/><Relationship Id="rId212" Type="http://schemas.openxmlformats.org/officeDocument/2006/relationships/queryTable" Target="../queryTables/queryTable397.xml"/><Relationship Id="rId233" Type="http://schemas.openxmlformats.org/officeDocument/2006/relationships/queryTable" Target="../queryTables/queryTable418.xml"/><Relationship Id="rId238" Type="http://schemas.openxmlformats.org/officeDocument/2006/relationships/queryTable" Target="../queryTables/queryTable423.xml"/><Relationship Id="rId23" Type="http://schemas.openxmlformats.org/officeDocument/2006/relationships/queryTable" Target="../queryTables/queryTable208.xml"/><Relationship Id="rId28" Type="http://schemas.openxmlformats.org/officeDocument/2006/relationships/queryTable" Target="../queryTables/queryTable213.xml"/><Relationship Id="rId49" Type="http://schemas.openxmlformats.org/officeDocument/2006/relationships/queryTable" Target="../queryTables/queryTable234.xml"/><Relationship Id="rId114" Type="http://schemas.openxmlformats.org/officeDocument/2006/relationships/queryTable" Target="../queryTables/queryTable299.xml"/><Relationship Id="rId119" Type="http://schemas.openxmlformats.org/officeDocument/2006/relationships/queryTable" Target="../queryTables/queryTable304.xml"/><Relationship Id="rId44" Type="http://schemas.openxmlformats.org/officeDocument/2006/relationships/queryTable" Target="../queryTables/queryTable229.xml"/><Relationship Id="rId60" Type="http://schemas.openxmlformats.org/officeDocument/2006/relationships/queryTable" Target="../queryTables/queryTable245.xml"/><Relationship Id="rId65" Type="http://schemas.openxmlformats.org/officeDocument/2006/relationships/queryTable" Target="../queryTables/queryTable250.xml"/><Relationship Id="rId81" Type="http://schemas.openxmlformats.org/officeDocument/2006/relationships/queryTable" Target="../queryTables/queryTable266.xml"/><Relationship Id="rId86" Type="http://schemas.openxmlformats.org/officeDocument/2006/relationships/queryTable" Target="../queryTables/queryTable271.xml"/><Relationship Id="rId130" Type="http://schemas.openxmlformats.org/officeDocument/2006/relationships/queryTable" Target="../queryTables/queryTable315.xml"/><Relationship Id="rId135" Type="http://schemas.openxmlformats.org/officeDocument/2006/relationships/queryTable" Target="../queryTables/queryTable320.xml"/><Relationship Id="rId151" Type="http://schemas.openxmlformats.org/officeDocument/2006/relationships/queryTable" Target="../queryTables/queryTable336.xml"/><Relationship Id="rId156" Type="http://schemas.openxmlformats.org/officeDocument/2006/relationships/queryTable" Target="../queryTables/queryTable341.xml"/><Relationship Id="rId177" Type="http://schemas.openxmlformats.org/officeDocument/2006/relationships/queryTable" Target="../queryTables/queryTable362.xml"/><Relationship Id="rId198" Type="http://schemas.openxmlformats.org/officeDocument/2006/relationships/queryTable" Target="../queryTables/queryTable383.xml"/><Relationship Id="rId172" Type="http://schemas.openxmlformats.org/officeDocument/2006/relationships/queryTable" Target="../queryTables/queryTable357.xml"/><Relationship Id="rId193" Type="http://schemas.openxmlformats.org/officeDocument/2006/relationships/queryTable" Target="../queryTables/queryTable378.xml"/><Relationship Id="rId202" Type="http://schemas.openxmlformats.org/officeDocument/2006/relationships/queryTable" Target="../queryTables/queryTable387.xml"/><Relationship Id="rId207" Type="http://schemas.openxmlformats.org/officeDocument/2006/relationships/queryTable" Target="../queryTables/queryTable392.xml"/><Relationship Id="rId223" Type="http://schemas.openxmlformats.org/officeDocument/2006/relationships/queryTable" Target="../queryTables/queryTable408.xml"/><Relationship Id="rId228" Type="http://schemas.openxmlformats.org/officeDocument/2006/relationships/queryTable" Target="../queryTables/queryTable413.xml"/><Relationship Id="rId244" Type="http://schemas.openxmlformats.org/officeDocument/2006/relationships/queryTable" Target="../queryTables/queryTable429.xml"/><Relationship Id="rId13" Type="http://schemas.openxmlformats.org/officeDocument/2006/relationships/queryTable" Target="../queryTables/queryTable198.xml"/><Relationship Id="rId18" Type="http://schemas.openxmlformats.org/officeDocument/2006/relationships/queryTable" Target="../queryTables/queryTable203.xml"/><Relationship Id="rId39" Type="http://schemas.openxmlformats.org/officeDocument/2006/relationships/queryTable" Target="../queryTables/queryTable224.xml"/><Relationship Id="rId109" Type="http://schemas.openxmlformats.org/officeDocument/2006/relationships/queryTable" Target="../queryTables/queryTable294.xml"/><Relationship Id="rId34" Type="http://schemas.openxmlformats.org/officeDocument/2006/relationships/queryTable" Target="../queryTables/queryTable219.xml"/><Relationship Id="rId50" Type="http://schemas.openxmlformats.org/officeDocument/2006/relationships/queryTable" Target="../queryTables/queryTable235.xml"/><Relationship Id="rId55" Type="http://schemas.openxmlformats.org/officeDocument/2006/relationships/queryTable" Target="../queryTables/queryTable240.xml"/><Relationship Id="rId76" Type="http://schemas.openxmlformats.org/officeDocument/2006/relationships/queryTable" Target="../queryTables/queryTable261.xml"/><Relationship Id="rId97" Type="http://schemas.openxmlformats.org/officeDocument/2006/relationships/queryTable" Target="../queryTables/queryTable282.xml"/><Relationship Id="rId104" Type="http://schemas.openxmlformats.org/officeDocument/2006/relationships/queryTable" Target="../queryTables/queryTable289.xml"/><Relationship Id="rId120" Type="http://schemas.openxmlformats.org/officeDocument/2006/relationships/queryTable" Target="../queryTables/queryTable305.xml"/><Relationship Id="rId125" Type="http://schemas.openxmlformats.org/officeDocument/2006/relationships/queryTable" Target="../queryTables/queryTable310.xml"/><Relationship Id="rId141" Type="http://schemas.openxmlformats.org/officeDocument/2006/relationships/queryTable" Target="../queryTables/queryTable326.xml"/><Relationship Id="rId146" Type="http://schemas.openxmlformats.org/officeDocument/2006/relationships/queryTable" Target="../queryTables/queryTable331.xml"/><Relationship Id="rId167" Type="http://schemas.openxmlformats.org/officeDocument/2006/relationships/queryTable" Target="../queryTables/queryTable352.xml"/><Relationship Id="rId188" Type="http://schemas.openxmlformats.org/officeDocument/2006/relationships/queryTable" Target="../queryTables/queryTable373.xml"/><Relationship Id="rId7" Type="http://schemas.openxmlformats.org/officeDocument/2006/relationships/queryTable" Target="../queryTables/queryTable192.xml"/><Relationship Id="rId71" Type="http://schemas.openxmlformats.org/officeDocument/2006/relationships/queryTable" Target="../queryTables/queryTable256.xml"/><Relationship Id="rId92" Type="http://schemas.openxmlformats.org/officeDocument/2006/relationships/queryTable" Target="../queryTables/queryTable277.xml"/><Relationship Id="rId162" Type="http://schemas.openxmlformats.org/officeDocument/2006/relationships/queryTable" Target="../queryTables/queryTable347.xml"/><Relationship Id="rId183" Type="http://schemas.openxmlformats.org/officeDocument/2006/relationships/queryTable" Target="../queryTables/queryTable368.xml"/><Relationship Id="rId213" Type="http://schemas.openxmlformats.org/officeDocument/2006/relationships/queryTable" Target="../queryTables/queryTable398.xml"/><Relationship Id="rId218" Type="http://schemas.openxmlformats.org/officeDocument/2006/relationships/queryTable" Target="../queryTables/queryTable403.xml"/><Relationship Id="rId234" Type="http://schemas.openxmlformats.org/officeDocument/2006/relationships/queryTable" Target="../queryTables/queryTable419.xml"/><Relationship Id="rId239" Type="http://schemas.openxmlformats.org/officeDocument/2006/relationships/queryTable" Target="../queryTables/queryTable424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14.xml"/><Relationship Id="rId24" Type="http://schemas.openxmlformats.org/officeDocument/2006/relationships/queryTable" Target="../queryTables/queryTable209.xml"/><Relationship Id="rId40" Type="http://schemas.openxmlformats.org/officeDocument/2006/relationships/queryTable" Target="../queryTables/queryTable225.xml"/><Relationship Id="rId45" Type="http://schemas.openxmlformats.org/officeDocument/2006/relationships/queryTable" Target="../queryTables/queryTable230.xml"/><Relationship Id="rId66" Type="http://schemas.openxmlformats.org/officeDocument/2006/relationships/queryTable" Target="../queryTables/queryTable251.xml"/><Relationship Id="rId87" Type="http://schemas.openxmlformats.org/officeDocument/2006/relationships/queryTable" Target="../queryTables/queryTable272.xml"/><Relationship Id="rId110" Type="http://schemas.openxmlformats.org/officeDocument/2006/relationships/queryTable" Target="../queryTables/queryTable295.xml"/><Relationship Id="rId115" Type="http://schemas.openxmlformats.org/officeDocument/2006/relationships/queryTable" Target="../queryTables/queryTable300.xml"/><Relationship Id="rId131" Type="http://schemas.openxmlformats.org/officeDocument/2006/relationships/queryTable" Target="../queryTables/queryTable316.xml"/><Relationship Id="rId136" Type="http://schemas.openxmlformats.org/officeDocument/2006/relationships/queryTable" Target="../queryTables/queryTable321.xml"/><Relationship Id="rId157" Type="http://schemas.openxmlformats.org/officeDocument/2006/relationships/queryTable" Target="../queryTables/queryTable342.xml"/><Relationship Id="rId178" Type="http://schemas.openxmlformats.org/officeDocument/2006/relationships/queryTable" Target="../queryTables/queryTable363.xml"/><Relationship Id="rId61" Type="http://schemas.openxmlformats.org/officeDocument/2006/relationships/queryTable" Target="../queryTables/queryTable246.xml"/><Relationship Id="rId82" Type="http://schemas.openxmlformats.org/officeDocument/2006/relationships/queryTable" Target="../queryTables/queryTable267.xml"/><Relationship Id="rId152" Type="http://schemas.openxmlformats.org/officeDocument/2006/relationships/queryTable" Target="../queryTables/queryTable337.xml"/><Relationship Id="rId173" Type="http://schemas.openxmlformats.org/officeDocument/2006/relationships/queryTable" Target="../queryTables/queryTable358.xml"/><Relationship Id="rId194" Type="http://schemas.openxmlformats.org/officeDocument/2006/relationships/queryTable" Target="../queryTables/queryTable379.xml"/><Relationship Id="rId199" Type="http://schemas.openxmlformats.org/officeDocument/2006/relationships/queryTable" Target="../queryTables/queryTable384.xml"/><Relationship Id="rId203" Type="http://schemas.openxmlformats.org/officeDocument/2006/relationships/queryTable" Target="../queryTables/queryTable388.xml"/><Relationship Id="rId208" Type="http://schemas.openxmlformats.org/officeDocument/2006/relationships/queryTable" Target="../queryTables/queryTable393.xml"/><Relationship Id="rId229" Type="http://schemas.openxmlformats.org/officeDocument/2006/relationships/queryTable" Target="../queryTables/queryTable414.xml"/><Relationship Id="rId19" Type="http://schemas.openxmlformats.org/officeDocument/2006/relationships/queryTable" Target="../queryTables/queryTable204.xml"/><Relationship Id="rId224" Type="http://schemas.openxmlformats.org/officeDocument/2006/relationships/queryTable" Target="../queryTables/queryTable409.xml"/><Relationship Id="rId240" Type="http://schemas.openxmlformats.org/officeDocument/2006/relationships/queryTable" Target="../queryTables/queryTable425.xml"/><Relationship Id="rId245" Type="http://schemas.openxmlformats.org/officeDocument/2006/relationships/queryTable" Target="../queryTables/queryTable430.xml"/><Relationship Id="rId14" Type="http://schemas.openxmlformats.org/officeDocument/2006/relationships/queryTable" Target="../queryTables/queryTable199.xml"/><Relationship Id="rId30" Type="http://schemas.openxmlformats.org/officeDocument/2006/relationships/queryTable" Target="../queryTables/queryTable215.xml"/><Relationship Id="rId35" Type="http://schemas.openxmlformats.org/officeDocument/2006/relationships/queryTable" Target="../queryTables/queryTable220.xml"/><Relationship Id="rId56" Type="http://schemas.openxmlformats.org/officeDocument/2006/relationships/queryTable" Target="../queryTables/queryTable241.xml"/><Relationship Id="rId77" Type="http://schemas.openxmlformats.org/officeDocument/2006/relationships/queryTable" Target="../queryTables/queryTable262.xml"/><Relationship Id="rId100" Type="http://schemas.openxmlformats.org/officeDocument/2006/relationships/queryTable" Target="../queryTables/queryTable285.xml"/><Relationship Id="rId105" Type="http://schemas.openxmlformats.org/officeDocument/2006/relationships/queryTable" Target="../queryTables/queryTable290.xml"/><Relationship Id="rId126" Type="http://schemas.openxmlformats.org/officeDocument/2006/relationships/queryTable" Target="../queryTables/queryTable311.xml"/><Relationship Id="rId147" Type="http://schemas.openxmlformats.org/officeDocument/2006/relationships/queryTable" Target="../queryTables/queryTable332.xml"/><Relationship Id="rId168" Type="http://schemas.openxmlformats.org/officeDocument/2006/relationships/queryTable" Target="../queryTables/queryTable353.xml"/><Relationship Id="rId8" Type="http://schemas.openxmlformats.org/officeDocument/2006/relationships/queryTable" Target="../queryTables/queryTable193.xml"/><Relationship Id="rId51" Type="http://schemas.openxmlformats.org/officeDocument/2006/relationships/queryTable" Target="../queryTables/queryTable236.xml"/><Relationship Id="rId72" Type="http://schemas.openxmlformats.org/officeDocument/2006/relationships/queryTable" Target="../queryTables/queryTable257.xml"/><Relationship Id="rId93" Type="http://schemas.openxmlformats.org/officeDocument/2006/relationships/queryTable" Target="../queryTables/queryTable278.xml"/><Relationship Id="rId98" Type="http://schemas.openxmlformats.org/officeDocument/2006/relationships/queryTable" Target="../queryTables/queryTable283.xml"/><Relationship Id="rId121" Type="http://schemas.openxmlformats.org/officeDocument/2006/relationships/queryTable" Target="../queryTables/queryTable306.xml"/><Relationship Id="rId142" Type="http://schemas.openxmlformats.org/officeDocument/2006/relationships/queryTable" Target="../queryTables/queryTable327.xml"/><Relationship Id="rId163" Type="http://schemas.openxmlformats.org/officeDocument/2006/relationships/queryTable" Target="../queryTables/queryTable348.xml"/><Relationship Id="rId184" Type="http://schemas.openxmlformats.org/officeDocument/2006/relationships/queryTable" Target="../queryTables/queryTable369.xml"/><Relationship Id="rId189" Type="http://schemas.openxmlformats.org/officeDocument/2006/relationships/queryTable" Target="../queryTables/queryTable374.xml"/><Relationship Id="rId219" Type="http://schemas.openxmlformats.org/officeDocument/2006/relationships/queryTable" Target="../queryTables/queryTable404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399.xml"/><Relationship Id="rId230" Type="http://schemas.openxmlformats.org/officeDocument/2006/relationships/queryTable" Target="../queryTables/queryTable415.xml"/><Relationship Id="rId235" Type="http://schemas.openxmlformats.org/officeDocument/2006/relationships/queryTable" Target="../queryTables/queryTable420.xml"/><Relationship Id="rId25" Type="http://schemas.openxmlformats.org/officeDocument/2006/relationships/queryTable" Target="../queryTables/queryTable210.xml"/><Relationship Id="rId46" Type="http://schemas.openxmlformats.org/officeDocument/2006/relationships/queryTable" Target="../queryTables/queryTable231.xml"/><Relationship Id="rId67" Type="http://schemas.openxmlformats.org/officeDocument/2006/relationships/queryTable" Target="../queryTables/queryTable252.xml"/><Relationship Id="rId116" Type="http://schemas.openxmlformats.org/officeDocument/2006/relationships/queryTable" Target="../queryTables/queryTable301.xml"/><Relationship Id="rId137" Type="http://schemas.openxmlformats.org/officeDocument/2006/relationships/queryTable" Target="../queryTables/queryTable322.xml"/><Relationship Id="rId158" Type="http://schemas.openxmlformats.org/officeDocument/2006/relationships/queryTable" Target="../queryTables/queryTable343.xml"/><Relationship Id="rId20" Type="http://schemas.openxmlformats.org/officeDocument/2006/relationships/queryTable" Target="../queryTables/queryTable205.xml"/><Relationship Id="rId41" Type="http://schemas.openxmlformats.org/officeDocument/2006/relationships/queryTable" Target="../queryTables/queryTable226.xml"/><Relationship Id="rId62" Type="http://schemas.openxmlformats.org/officeDocument/2006/relationships/queryTable" Target="../queryTables/queryTable247.xml"/><Relationship Id="rId83" Type="http://schemas.openxmlformats.org/officeDocument/2006/relationships/queryTable" Target="../queryTables/queryTable268.xml"/><Relationship Id="rId88" Type="http://schemas.openxmlformats.org/officeDocument/2006/relationships/queryTable" Target="../queryTables/queryTable273.xml"/><Relationship Id="rId111" Type="http://schemas.openxmlformats.org/officeDocument/2006/relationships/queryTable" Target="../queryTables/queryTable296.xml"/><Relationship Id="rId132" Type="http://schemas.openxmlformats.org/officeDocument/2006/relationships/queryTable" Target="../queryTables/queryTable317.xml"/><Relationship Id="rId153" Type="http://schemas.openxmlformats.org/officeDocument/2006/relationships/queryTable" Target="../queryTables/queryTable338.xml"/><Relationship Id="rId174" Type="http://schemas.openxmlformats.org/officeDocument/2006/relationships/queryTable" Target="../queryTables/queryTable359.xml"/><Relationship Id="rId179" Type="http://schemas.openxmlformats.org/officeDocument/2006/relationships/queryTable" Target="../queryTables/queryTable364.xml"/><Relationship Id="rId195" Type="http://schemas.openxmlformats.org/officeDocument/2006/relationships/queryTable" Target="../queryTables/queryTable380.xml"/><Relationship Id="rId209" Type="http://schemas.openxmlformats.org/officeDocument/2006/relationships/queryTable" Target="../queryTables/queryTable394.xml"/><Relationship Id="rId190" Type="http://schemas.openxmlformats.org/officeDocument/2006/relationships/queryTable" Target="../queryTables/queryTable375.xml"/><Relationship Id="rId204" Type="http://schemas.openxmlformats.org/officeDocument/2006/relationships/queryTable" Target="../queryTables/queryTable389.xml"/><Relationship Id="rId220" Type="http://schemas.openxmlformats.org/officeDocument/2006/relationships/queryTable" Target="../queryTables/queryTable405.xml"/><Relationship Id="rId225" Type="http://schemas.openxmlformats.org/officeDocument/2006/relationships/queryTable" Target="../queryTables/queryTable410.xml"/><Relationship Id="rId241" Type="http://schemas.openxmlformats.org/officeDocument/2006/relationships/queryTable" Target="../queryTables/queryTable426.xml"/><Relationship Id="rId246" Type="http://schemas.openxmlformats.org/officeDocument/2006/relationships/queryTable" Target="../queryTables/queryTable431.xml"/><Relationship Id="rId15" Type="http://schemas.openxmlformats.org/officeDocument/2006/relationships/queryTable" Target="../queryTables/queryTable200.xml"/><Relationship Id="rId36" Type="http://schemas.openxmlformats.org/officeDocument/2006/relationships/queryTable" Target="../queryTables/queryTable221.xml"/><Relationship Id="rId57" Type="http://schemas.openxmlformats.org/officeDocument/2006/relationships/queryTable" Target="../queryTables/queryTable242.xml"/><Relationship Id="rId106" Type="http://schemas.openxmlformats.org/officeDocument/2006/relationships/queryTable" Target="../queryTables/queryTable291.xml"/><Relationship Id="rId127" Type="http://schemas.openxmlformats.org/officeDocument/2006/relationships/queryTable" Target="../queryTables/queryTable312.xml"/><Relationship Id="rId10" Type="http://schemas.openxmlformats.org/officeDocument/2006/relationships/queryTable" Target="../queryTables/queryTable195.xml"/><Relationship Id="rId31" Type="http://schemas.openxmlformats.org/officeDocument/2006/relationships/queryTable" Target="../queryTables/queryTable216.xml"/><Relationship Id="rId52" Type="http://schemas.openxmlformats.org/officeDocument/2006/relationships/queryTable" Target="../queryTables/queryTable237.xml"/><Relationship Id="rId73" Type="http://schemas.openxmlformats.org/officeDocument/2006/relationships/queryTable" Target="../queryTables/queryTable258.xml"/><Relationship Id="rId78" Type="http://schemas.openxmlformats.org/officeDocument/2006/relationships/queryTable" Target="../queryTables/queryTable263.xml"/><Relationship Id="rId94" Type="http://schemas.openxmlformats.org/officeDocument/2006/relationships/queryTable" Target="../queryTables/queryTable279.xml"/><Relationship Id="rId99" Type="http://schemas.openxmlformats.org/officeDocument/2006/relationships/queryTable" Target="../queryTables/queryTable284.xml"/><Relationship Id="rId101" Type="http://schemas.openxmlformats.org/officeDocument/2006/relationships/queryTable" Target="../queryTables/queryTable286.xml"/><Relationship Id="rId122" Type="http://schemas.openxmlformats.org/officeDocument/2006/relationships/queryTable" Target="../queryTables/queryTable307.xml"/><Relationship Id="rId143" Type="http://schemas.openxmlformats.org/officeDocument/2006/relationships/queryTable" Target="../queryTables/queryTable328.xml"/><Relationship Id="rId148" Type="http://schemas.openxmlformats.org/officeDocument/2006/relationships/queryTable" Target="../queryTables/queryTable333.xml"/><Relationship Id="rId164" Type="http://schemas.openxmlformats.org/officeDocument/2006/relationships/queryTable" Target="../queryTables/queryTable349.xml"/><Relationship Id="rId169" Type="http://schemas.openxmlformats.org/officeDocument/2006/relationships/queryTable" Target="../queryTables/queryTable354.xml"/><Relationship Id="rId185" Type="http://schemas.openxmlformats.org/officeDocument/2006/relationships/queryTable" Target="../queryTables/queryTable370.xml"/><Relationship Id="rId4" Type="http://schemas.openxmlformats.org/officeDocument/2006/relationships/queryTable" Target="../queryTables/queryTable189.xml"/><Relationship Id="rId9" Type="http://schemas.openxmlformats.org/officeDocument/2006/relationships/queryTable" Target="../queryTables/queryTable194.xml"/><Relationship Id="rId180" Type="http://schemas.openxmlformats.org/officeDocument/2006/relationships/queryTable" Target="../queryTables/queryTable365.xml"/><Relationship Id="rId210" Type="http://schemas.openxmlformats.org/officeDocument/2006/relationships/queryTable" Target="../queryTables/queryTable395.xml"/><Relationship Id="rId215" Type="http://schemas.openxmlformats.org/officeDocument/2006/relationships/queryTable" Target="../queryTables/queryTable400.xml"/><Relationship Id="rId236" Type="http://schemas.openxmlformats.org/officeDocument/2006/relationships/queryTable" Target="../queryTables/queryTable421.xml"/><Relationship Id="rId26" Type="http://schemas.openxmlformats.org/officeDocument/2006/relationships/queryTable" Target="../queryTables/queryTable211.xml"/><Relationship Id="rId231" Type="http://schemas.openxmlformats.org/officeDocument/2006/relationships/queryTable" Target="../queryTables/queryTable416.xml"/><Relationship Id="rId47" Type="http://schemas.openxmlformats.org/officeDocument/2006/relationships/queryTable" Target="../queryTables/queryTable232.xml"/><Relationship Id="rId68" Type="http://schemas.openxmlformats.org/officeDocument/2006/relationships/queryTable" Target="../queryTables/queryTable253.xml"/><Relationship Id="rId89" Type="http://schemas.openxmlformats.org/officeDocument/2006/relationships/queryTable" Target="../queryTables/queryTable274.xml"/><Relationship Id="rId112" Type="http://schemas.openxmlformats.org/officeDocument/2006/relationships/queryTable" Target="../queryTables/queryTable297.xml"/><Relationship Id="rId133" Type="http://schemas.openxmlformats.org/officeDocument/2006/relationships/queryTable" Target="../queryTables/queryTable318.xml"/><Relationship Id="rId154" Type="http://schemas.openxmlformats.org/officeDocument/2006/relationships/queryTable" Target="../queryTables/queryTable339.xml"/><Relationship Id="rId175" Type="http://schemas.openxmlformats.org/officeDocument/2006/relationships/queryTable" Target="../queryTables/queryTable360.xml"/><Relationship Id="rId196" Type="http://schemas.openxmlformats.org/officeDocument/2006/relationships/queryTable" Target="../queryTables/queryTable381.xml"/><Relationship Id="rId200" Type="http://schemas.openxmlformats.org/officeDocument/2006/relationships/queryTable" Target="../queryTables/queryTable385.xml"/><Relationship Id="rId16" Type="http://schemas.openxmlformats.org/officeDocument/2006/relationships/queryTable" Target="../queryTables/queryTable201.xml"/><Relationship Id="rId221" Type="http://schemas.openxmlformats.org/officeDocument/2006/relationships/queryTable" Target="../queryTables/queryTable406.xml"/><Relationship Id="rId242" Type="http://schemas.openxmlformats.org/officeDocument/2006/relationships/queryTable" Target="../queryTables/queryTable427.xml"/><Relationship Id="rId37" Type="http://schemas.openxmlformats.org/officeDocument/2006/relationships/queryTable" Target="../queryTables/queryTable222.xml"/><Relationship Id="rId58" Type="http://schemas.openxmlformats.org/officeDocument/2006/relationships/queryTable" Target="../queryTables/queryTable243.xml"/><Relationship Id="rId79" Type="http://schemas.openxmlformats.org/officeDocument/2006/relationships/queryTable" Target="../queryTables/queryTable264.xml"/><Relationship Id="rId102" Type="http://schemas.openxmlformats.org/officeDocument/2006/relationships/queryTable" Target="../queryTables/queryTable287.xml"/><Relationship Id="rId123" Type="http://schemas.openxmlformats.org/officeDocument/2006/relationships/queryTable" Target="../queryTables/queryTable308.xml"/><Relationship Id="rId144" Type="http://schemas.openxmlformats.org/officeDocument/2006/relationships/queryTable" Target="../queryTables/queryTable329.xml"/><Relationship Id="rId90" Type="http://schemas.openxmlformats.org/officeDocument/2006/relationships/queryTable" Target="../queryTables/queryTable275.xml"/><Relationship Id="rId165" Type="http://schemas.openxmlformats.org/officeDocument/2006/relationships/queryTable" Target="../queryTables/queryTable350.xml"/><Relationship Id="rId186" Type="http://schemas.openxmlformats.org/officeDocument/2006/relationships/queryTable" Target="../queryTables/queryTable371.xml"/><Relationship Id="rId211" Type="http://schemas.openxmlformats.org/officeDocument/2006/relationships/queryTable" Target="../queryTables/queryTable396.xml"/><Relationship Id="rId232" Type="http://schemas.openxmlformats.org/officeDocument/2006/relationships/queryTable" Target="../queryTables/queryTable417.xml"/><Relationship Id="rId27" Type="http://schemas.openxmlformats.org/officeDocument/2006/relationships/queryTable" Target="../queryTables/queryTable212.xml"/><Relationship Id="rId48" Type="http://schemas.openxmlformats.org/officeDocument/2006/relationships/queryTable" Target="../queryTables/queryTable233.xml"/><Relationship Id="rId69" Type="http://schemas.openxmlformats.org/officeDocument/2006/relationships/queryTable" Target="../queryTables/queryTable254.xml"/><Relationship Id="rId113" Type="http://schemas.openxmlformats.org/officeDocument/2006/relationships/queryTable" Target="../queryTables/queryTable298.xml"/><Relationship Id="rId134" Type="http://schemas.openxmlformats.org/officeDocument/2006/relationships/queryTable" Target="../queryTables/queryTable319.xml"/><Relationship Id="rId80" Type="http://schemas.openxmlformats.org/officeDocument/2006/relationships/queryTable" Target="../queryTables/queryTable265.xml"/><Relationship Id="rId155" Type="http://schemas.openxmlformats.org/officeDocument/2006/relationships/queryTable" Target="../queryTables/queryTable340.xml"/><Relationship Id="rId176" Type="http://schemas.openxmlformats.org/officeDocument/2006/relationships/queryTable" Target="../queryTables/queryTable361.xml"/><Relationship Id="rId197" Type="http://schemas.openxmlformats.org/officeDocument/2006/relationships/queryTable" Target="../queryTables/queryTable38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Z163"/>
  <sheetViews>
    <sheetView tabSelected="1" workbookViewId="0">
      <pane xSplit="2" topLeftCell="C1" activePane="topRight" state="frozen"/>
      <selection activeCell="B1" sqref="B1"/>
      <selection pane="topRight" activeCell="I9" sqref="I9"/>
    </sheetView>
  </sheetViews>
  <sheetFormatPr defaultRowHeight="11.25"/>
  <cols>
    <col min="1" max="1" width="5.28515625" style="3" customWidth="1"/>
    <col min="2" max="2" width="7.28515625" style="3" bestFit="1" customWidth="1"/>
    <col min="3" max="3" width="5.28515625" style="16" bestFit="1" customWidth="1"/>
    <col min="4" max="4" width="17.85546875" style="5" bestFit="1" customWidth="1"/>
    <col min="5" max="5" width="16.85546875" style="12" bestFit="1" customWidth="1"/>
    <col min="6" max="6" width="12.5703125" style="5" bestFit="1" customWidth="1"/>
    <col min="7" max="7" width="7.7109375" style="5" customWidth="1"/>
    <col min="8" max="8" width="7.42578125" style="5" customWidth="1"/>
    <col min="9" max="9" width="7.7109375" style="18" customWidth="1"/>
    <col min="10" max="10" width="7.7109375" style="5" bestFit="1" customWidth="1"/>
    <col min="11" max="11" width="9.28515625" style="3" bestFit="1" customWidth="1"/>
    <col min="12" max="12" width="7" style="3" bestFit="1" customWidth="1"/>
    <col min="13" max="13" width="6.5703125" style="3" bestFit="1" customWidth="1"/>
    <col min="14" max="14" width="10.28515625" style="3" hidden="1" customWidth="1"/>
    <col min="15" max="15" width="9.42578125" style="5" bestFit="1" customWidth="1"/>
    <col min="16" max="16" width="7.140625" style="18" customWidth="1"/>
    <col min="17" max="17" width="7.85546875" style="5" customWidth="1"/>
    <col min="18" max="18" width="4.28515625" style="5" customWidth="1"/>
    <col min="19" max="19" width="7.85546875" style="3" customWidth="1"/>
    <col min="20" max="20" width="5.85546875" style="3" customWidth="1"/>
    <col min="21" max="21" width="9.140625" style="3" customWidth="1"/>
    <col min="22" max="22" width="9.140625" style="5"/>
    <col min="23" max="23" width="9.140625" style="18"/>
    <col min="24" max="16384" width="9.140625" style="3"/>
  </cols>
  <sheetData>
    <row r="1" spans="1:26">
      <c r="A1" s="5" t="s">
        <v>13</v>
      </c>
      <c r="B1" s="16" t="s">
        <v>9</v>
      </c>
      <c r="C1" s="16" t="s">
        <v>65</v>
      </c>
      <c r="D1" s="5" t="s">
        <v>3</v>
      </c>
      <c r="E1" s="5" t="s">
        <v>53</v>
      </c>
      <c r="F1" s="5" t="s">
        <v>4</v>
      </c>
      <c r="G1" s="5" t="s">
        <v>89</v>
      </c>
      <c r="H1" s="5" t="s">
        <v>66</v>
      </c>
      <c r="I1" s="18" t="s">
        <v>76</v>
      </c>
      <c r="J1" s="5" t="s">
        <v>5</v>
      </c>
      <c r="K1" s="12" t="s">
        <v>6</v>
      </c>
      <c r="L1" s="23" t="s">
        <v>7</v>
      </c>
      <c r="M1" s="37" t="s">
        <v>52</v>
      </c>
      <c r="N1" s="5" t="s">
        <v>281</v>
      </c>
      <c r="O1" s="3" t="s">
        <v>54</v>
      </c>
      <c r="P1" s="18" t="s">
        <v>84</v>
      </c>
      <c r="Q1" s="5" t="s">
        <v>59</v>
      </c>
      <c r="R1" s="3" t="s">
        <v>8</v>
      </c>
      <c r="S1" s="3" t="s">
        <v>366</v>
      </c>
      <c r="T1" s="3" t="s">
        <v>41</v>
      </c>
      <c r="U1" s="5" t="s">
        <v>62</v>
      </c>
      <c r="V1" s="5" t="s">
        <v>295</v>
      </c>
      <c r="W1" s="5" t="s">
        <v>296</v>
      </c>
      <c r="Z1" s="3">
        <v>1000</v>
      </c>
    </row>
    <row r="2" spans="1:26" hidden="1">
      <c r="A2" s="3" t="s">
        <v>651</v>
      </c>
      <c r="B2" s="74" t="s">
        <v>673</v>
      </c>
      <c r="C2" s="16">
        <v>3</v>
      </c>
      <c r="D2" s="5">
        <v>8025139000</v>
      </c>
      <c r="E2" s="5">
        <v>230295000</v>
      </c>
      <c r="F2" s="21">
        <v>312653445</v>
      </c>
      <c r="G2" s="16">
        <f>Tabela3[[#This Row],[Lucro Líquido]]/Tabela3[[#This Row],[Total Ações]]</f>
        <v>0.73658232040270655</v>
      </c>
      <c r="H2" s="16">
        <f>Tabela3[[#This Row],[Lucro/Ação]]/Tabela3[[#This Row],[Ref]]*4</f>
        <v>0.9821097605369421</v>
      </c>
      <c r="I2" s="18">
        <f>IF(GETPIVOTDATA("Payout",'Tabela LL'!$A$3,"Ativo",Tabela3[[#This Row],[PAPEL]])&gt;1,1,GETPIVOTDATA("Payout",'Tabela LL'!$A$3,"Ativo",Tabela3[[#This Row],[PAPEL]]))</f>
        <v>0.11682654188083424</v>
      </c>
      <c r="J2" s="5">
        <f>[Patrimônio Líquido]/[Total Ações]</f>
        <v>25.667841273906323</v>
      </c>
      <c r="K2" s="58">
        <f>MAX(Tabela3[[#This Row],[Cotação 1]],Tabela3[[#This Row],[Cotação 2]])</f>
        <v>17.95</v>
      </c>
      <c r="L2" s="59">
        <f>[Cotação]/[VPA]</f>
        <v>0.69931864578918812</v>
      </c>
      <c r="M2" s="40">
        <f>IF(Tabela3[[#This Row],[Lucro/Ação Ano]]&gt;0,Tabela3[[#This Row],[Cotação]]/Tabela3[[#This Row],[Lucro/Ação Ano]],0)</f>
        <v>18.276979540643524</v>
      </c>
      <c r="N2" s="7">
        <f>ROUND(Tabela3[[#This Row],[Lucro Prev]]/10%,2)</f>
        <v>1.1499999999999999</v>
      </c>
      <c r="O2" s="51">
        <f>MIN(Tabela3[[#This Row],[10% Rent]],Tabela3[[#This Row],[VPA]]*3.5)</f>
        <v>1.1499999999999999</v>
      </c>
      <c r="P2" s="18">
        <f>Tabela3[[#This Row],[P Compra]]/Tabela3[[#This Row],[Cotação]]-1</f>
        <v>-0.93593314763231195</v>
      </c>
      <c r="Q2" s="5">
        <f>Tabela3[[#This Row],[Lucro/Ação Ano]]*Tabela3[[#This Row],[Payout]]</f>
        <v>0.11473648707094515</v>
      </c>
      <c r="R2" s="16" t="str">
        <f>IF(AND([% Yield]&gt;=10%,[PVPA]&lt;=3.5,[PL]&lt;=15,[PL]&gt;0),"Sim","Não")</f>
        <v>Não</v>
      </c>
      <c r="S2" s="22">
        <f>Tabela3[[#This Row],[Lucro Prev]]/Tabela3[[#This Row],[Cotação]]</f>
        <v>6.3920048507490335E-3</v>
      </c>
      <c r="T2" s="10">
        <f>($Z$1/Tabela3[[#This Row],[Cotação]]-MOD($Z$1/Tabela3[[#This Row],[Cotação]],100))</f>
        <v>0</v>
      </c>
      <c r="U2" s="7">
        <f>Tabela3[[#This Row],[Ativos]]*Tabela3[[#This Row],[Lucro Prev]]</f>
        <v>0</v>
      </c>
      <c r="V2" s="51">
        <f>SUMPRODUCT(N(Tabela1[Código]=Tabela3[[#This Row],[PAPEL]]),Tabela1[Fechamento])</f>
        <v>0</v>
      </c>
      <c r="W2" s="60">
        <f>SUMPRODUCT(N(Tabela17[Código]=Tabela3[[#This Row],[PAPEL]]),Tabela17[Fechamento])</f>
        <v>17.95</v>
      </c>
    </row>
    <row r="3" spans="1:26">
      <c r="A3" s="4" t="s">
        <v>485</v>
      </c>
      <c r="B3" s="71" t="s">
        <v>484</v>
      </c>
      <c r="C3" s="15">
        <v>3</v>
      </c>
      <c r="D3" s="6">
        <v>241884000</v>
      </c>
      <c r="E3" s="6">
        <v>56208000</v>
      </c>
      <c r="F3" s="42">
        <v>12587262</v>
      </c>
      <c r="G3" s="6">
        <f>Tabela3[[#This Row],[Lucro Líquido]]/Tabela3[[#This Row],[Total Ações]]</f>
        <v>4.4654667552006151</v>
      </c>
      <c r="H3" s="6">
        <f>Tabela3[[#This Row],[Lucro/Ação]]/Tabela3[[#This Row],[Ref]]*4</f>
        <v>5.9539556736008201</v>
      </c>
      <c r="I3" s="19">
        <f>IF(GETPIVOTDATA("Payout",'Tabela LL'!$A$3,"Ativo",Tabela3[[#This Row],[PAPEL]])&gt;1,1,GETPIVOTDATA("Payout",'Tabela LL'!$A$3,"Ativo",Tabela3[[#This Row],[PAPEL]]))</f>
        <v>0.90821522332465576</v>
      </c>
      <c r="J3" s="6">
        <f>[Patrimônio Líquido]/[Total Ações]</f>
        <v>19.216569894231167</v>
      </c>
      <c r="K3" s="52">
        <f>MAX(Tabela3[[#This Row],[Cotação 1]],Tabela3[[#This Row],[Cotação 2]])</f>
        <v>18.75</v>
      </c>
      <c r="L3" s="48">
        <f>[Cotação]/[VPA]</f>
        <v>0.97572043830927224</v>
      </c>
      <c r="M3" s="44">
        <f>IF(Tabela3[[#This Row],[Lucro/Ação Ano]]&gt;0,Tabela3[[#This Row],[Cotação]]/Tabela3[[#This Row],[Lucro/Ação Ano]],0)</f>
        <v>3.1491668779355249</v>
      </c>
      <c r="N3" s="17">
        <f>ROUND(Tabela3[[#This Row],[Lucro Prev]]/10%,2)</f>
        <v>54.07</v>
      </c>
      <c r="O3" s="13">
        <f>MIN(Tabela3[[#This Row],[10% Rent]],Tabela3[[#This Row],[VPA]]*3.5)</f>
        <v>54.07</v>
      </c>
      <c r="P3" s="19">
        <f>Tabela3[[#This Row],[P Compra]]/Tabela3[[#This Row],[Cotação]]-1</f>
        <v>1.8837333333333333</v>
      </c>
      <c r="Q3" s="6">
        <f>Tabela3[[#This Row],[Lucro/Ação Ano]]*Tabela3[[#This Row],[Payout]]</f>
        <v>5.4074731817644697</v>
      </c>
      <c r="R3" s="15" t="str">
        <f>IF(AND([% Yield]&gt;=10%,[PVPA]&lt;=3.5,[PL]&lt;=15,[PL]&gt;0),"Sim","Não")</f>
        <v>Sim</v>
      </c>
      <c r="S3" s="46">
        <f>Tabela3[[#This Row],[Lucro Prev]]/Tabela3[[#This Row],[Cotação]]</f>
        <v>0.28839856969410504</v>
      </c>
      <c r="T3" s="14">
        <f>($Z$1/Tabela3[[#This Row],[Cotação]]-MOD($Z$1/Tabela3[[#This Row],[Cotação]],100))</f>
        <v>0</v>
      </c>
      <c r="U3" s="17">
        <f>Tabela3[[#This Row],[Ativos]]*Tabela3[[#This Row],[Lucro Prev]]</f>
        <v>0</v>
      </c>
      <c r="V3" s="13">
        <f>SUMPRODUCT(N(Tabela1[Código]=Tabela3[[#This Row],[PAPEL]]),Tabela1[Fechamento])</f>
        <v>0</v>
      </c>
      <c r="W3" s="61">
        <f>SUMPRODUCT(N(Tabela17[Código]=Tabela3[[#This Row],[PAPEL]]),Tabela17[Fechamento])</f>
        <v>18.75</v>
      </c>
    </row>
    <row r="4" spans="1:26">
      <c r="A4" s="25" t="s">
        <v>40</v>
      </c>
      <c r="B4" s="71" t="s">
        <v>39</v>
      </c>
      <c r="C4" s="15">
        <v>3</v>
      </c>
      <c r="D4" s="31">
        <v>740932000</v>
      </c>
      <c r="E4" s="31">
        <v>342727000</v>
      </c>
      <c r="F4" s="28">
        <v>835502072</v>
      </c>
      <c r="G4" s="6">
        <f>Tabela3[[#This Row],[Lucro Líquido]]/Tabela3[[#This Row],[Total Ações]]</f>
        <v>0.4102048474632628</v>
      </c>
      <c r="H4" s="6">
        <f>Tabela3[[#This Row],[Lucro/Ação]]/Tabela3[[#This Row],[Ref]]*4</f>
        <v>0.54693979661768377</v>
      </c>
      <c r="I4" s="19">
        <f>IF(GETPIVOTDATA("Payout",'Tabela LL'!$A$3,"Ativo",Tabela3[[#This Row],[PAPEL]])&gt;1,1,GETPIVOTDATA("Payout",'Tabela LL'!$A$3,"Ativo",Tabela3[[#This Row],[PAPEL]]))</f>
        <v>0.20588880617740807</v>
      </c>
      <c r="J4" s="6">
        <f>[Patrimônio Líquido]/[Total Ações]</f>
        <v>0.88681048776621108</v>
      </c>
      <c r="K4" s="52">
        <f>MAX(Tabela3[[#This Row],[Cotação 1]],Tabela3[[#This Row],[Cotação 2]])</f>
        <v>0.52</v>
      </c>
      <c r="L4" s="48">
        <f>[Cotação]/[VPA]</f>
        <v>0.58637105353797647</v>
      </c>
      <c r="M4" s="44">
        <f>IF(Tabela3[[#This Row],[Lucro/Ação Ano]]&gt;0,Tabela3[[#This Row],[Cotação]]/Tabela3[[#This Row],[Lucro/Ação Ano]],0)</f>
        <v>0.95074449366405323</v>
      </c>
      <c r="N4" s="6">
        <f>ROUND(Tabela3[[#This Row],[Lucro Prev]]/10%,2)</f>
        <v>1.1299999999999999</v>
      </c>
      <c r="O4" s="61">
        <f>MIN(Tabela3[[#This Row],[10% Rent]],Tabela3[[#This Row],[VPA]]*3.5)</f>
        <v>1.1299999999999999</v>
      </c>
      <c r="P4" s="19">
        <f>Tabela3[[#This Row],[P Compra]]/Tabela3[[#This Row],[Cotação]]-1</f>
        <v>1.1730769230769229</v>
      </c>
      <c r="Q4" s="6">
        <f>Tabela3[[#This Row],[Lucro/Ação Ano]]*Tabela3[[#This Row],[Payout]]</f>
        <v>0.11260878177652928</v>
      </c>
      <c r="R4" s="14" t="str">
        <f>IF(AND([% Yield]&gt;=10%,[PVPA]&lt;=3.5,[PL]&lt;=15,[PL]&gt;0),"Sim","Não")</f>
        <v>Sim</v>
      </c>
      <c r="S4" s="46">
        <f>Tabela3[[#This Row],[Lucro Prev]]/Tabela3[[#This Row],[Cotação]]</f>
        <v>0.21655534957024861</v>
      </c>
      <c r="T4" s="14">
        <f>($Z$1/Tabela3[[#This Row],[Cotação]]-MOD($Z$1/Tabela3[[#This Row],[Cotação]],100))</f>
        <v>1900</v>
      </c>
      <c r="U4" s="17">
        <f>Tabela3[[#This Row],[Ativos]]*Tabela3[[#This Row],[Lucro Prev]]</f>
        <v>213.95668537540561</v>
      </c>
      <c r="V4" s="17">
        <f>SUMPRODUCT(N(Tabela1[Código]=Tabela3[[#This Row],[PAPEL]]),Tabela1[Fechamento])</f>
        <v>0.52</v>
      </c>
      <c r="W4" s="17">
        <f>SUMPRODUCT(N(Tabela17[Código]=Tabela3[[#This Row],[PAPEL]]),Tabela17[Fechamento])</f>
        <v>0</v>
      </c>
    </row>
    <row r="5" spans="1:26">
      <c r="A5" s="4" t="s">
        <v>12</v>
      </c>
      <c r="B5" s="71" t="s">
        <v>1</v>
      </c>
      <c r="C5" s="16">
        <v>3</v>
      </c>
      <c r="D5" s="6">
        <v>2577741000</v>
      </c>
      <c r="E5" s="6">
        <v>271448000</v>
      </c>
      <c r="F5" s="8">
        <v>167343887</v>
      </c>
      <c r="G5" s="6">
        <f>Tabela3[[#This Row],[Lucro Líquido]]/Tabela3[[#This Row],[Total Ações]]</f>
        <v>1.6220968979882724</v>
      </c>
      <c r="H5" s="6">
        <f>Tabela3[[#This Row],[Lucro/Ação]]/Tabela3[[#This Row],[Ref]]*4</f>
        <v>2.1627958639843632</v>
      </c>
      <c r="I5" s="19">
        <f>IF(GETPIVOTDATA("Payout",'Tabela LL'!$A$3,"Ativo",Tabela3[[#This Row],[PAPEL]])&gt;1,1,GETPIVOTDATA("Payout",'Tabela LL'!$A$3,"Ativo",Tabela3[[#This Row],[PAPEL]]))</f>
        <v>0.84225014371489515</v>
      </c>
      <c r="J5" s="6">
        <f>[Patrimônio Líquido]/[Total Ações]</f>
        <v>15.403855176377013</v>
      </c>
      <c r="K5" s="11">
        <f>MAX(Tabela3[[#This Row],[Cotação 1]],Tabela3[[#This Row],[Cotação 2]])</f>
        <v>9.3800000000000008</v>
      </c>
      <c r="L5" s="9">
        <f>[Cotação]/[VPA]</f>
        <v>0.60893846979196131</v>
      </c>
      <c r="M5" s="39">
        <f>IF(Tabela3[[#This Row],[Lucro/Ação Ano]]&gt;0,Tabela3[[#This Row],[Cotação]]/Tabela3[[#This Row],[Lucro/Ação Ano]],0)</f>
        <v>4.3369788874664765</v>
      </c>
      <c r="N5" s="6">
        <f>ROUND(Tabela3[[#This Row],[Lucro Prev]]/10%,2)</f>
        <v>18.22</v>
      </c>
      <c r="O5" s="13">
        <f>MIN(Tabela3[[#This Row],[10% Rent]],Tabela3[[#This Row],[VPA]]*3.5)</f>
        <v>18.22</v>
      </c>
      <c r="P5" s="19">
        <f>Tabela3[[#This Row],[P Compra]]/Tabela3[[#This Row],[Cotação]]-1</f>
        <v>0.94243070362473325</v>
      </c>
      <c r="Q5" s="6">
        <f>Tabela3[[#This Row],[Lucro/Ação Ano]]*Tabela3[[#This Row],[Payout]]</f>
        <v>1.8216151272668106</v>
      </c>
      <c r="R5" s="14" t="str">
        <f>IF(AND([% Yield]&gt;=10%,[PVPA]&lt;=3.5,[PL]&lt;=15,[PL]&gt;0),"Sim","Não")</f>
        <v>Sim</v>
      </c>
      <c r="S5" s="19">
        <f>Tabela3[[#This Row],[Lucro Prev]]/Tabela3[[#This Row],[Cotação]]</f>
        <v>0.19420203915424419</v>
      </c>
      <c r="T5" s="10">
        <f>($Z$1/Tabela3[[#This Row],[Cotação]]-MOD($Z$1/Tabela3[[#This Row],[Cotação]],100))</f>
        <v>100</v>
      </c>
      <c r="U5" s="5">
        <f>Tabela3[[#This Row],[Ativos]]*Tabela3[[#This Row],[Lucro Prev]]</f>
        <v>182.16151272668105</v>
      </c>
      <c r="V5" s="5">
        <f>SUMPRODUCT(N(Tabela1[Código]=Tabela3[[#This Row],[PAPEL]]),Tabela1[Fechamento])</f>
        <v>9.3800000000000008</v>
      </c>
      <c r="W5" s="5">
        <f>SUMPRODUCT(N(Tabela17[Código]=Tabela3[[#This Row],[PAPEL]]),Tabela17[Fechamento])</f>
        <v>0</v>
      </c>
    </row>
    <row r="6" spans="1:26">
      <c r="A6" s="4" t="s">
        <v>12</v>
      </c>
      <c r="B6" s="71" t="s">
        <v>75</v>
      </c>
      <c r="C6" s="15">
        <v>3</v>
      </c>
      <c r="D6" s="6">
        <v>10479149000</v>
      </c>
      <c r="E6" s="6">
        <v>795212000</v>
      </c>
      <c r="F6" s="42">
        <v>327502673</v>
      </c>
      <c r="G6" s="6">
        <f>Tabela3[[#This Row],[Lucro Líquido]]/Tabela3[[#This Row],[Total Ações]]</f>
        <v>2.4281084264616064</v>
      </c>
      <c r="H6" s="6">
        <f>Tabela3[[#This Row],[Lucro/Ação]]/Tabela3[[#This Row],[Ref]]*4</f>
        <v>3.2374779019488087</v>
      </c>
      <c r="I6" s="19">
        <f>IF(GETPIVOTDATA("Payout",'Tabela LL'!$A$3,"Ativo",Tabela3[[#This Row],[PAPEL]])&gt;1,1,GETPIVOTDATA("Payout",'Tabela LL'!$A$3,"Ativo",Tabela3[[#This Row],[PAPEL]]))</f>
        <v>1</v>
      </c>
      <c r="J6" s="6">
        <f>[Patrimônio Líquido]/[Total Ações]</f>
        <v>31.99714037143141</v>
      </c>
      <c r="K6" s="52">
        <f>MAX(Tabela3[[#This Row],[Cotação 1]],Tabela3[[#This Row],[Cotação 2]])</f>
        <v>19.989999999999998</v>
      </c>
      <c r="L6" s="48">
        <f>[Cotação]/[VPA]</f>
        <v>0.62474332918350528</v>
      </c>
      <c r="M6" s="44">
        <f>IF(Tabela3[[#This Row],[Lucro/Ação Ano]]&gt;0,Tabela3[[#This Row],[Cotação]]/Tabela3[[#This Row],[Lucro/Ação Ano]],0)</f>
        <v>6.1745595199173291</v>
      </c>
      <c r="N6" s="6">
        <f>ROUND(Tabela3[[#This Row],[Lucro Prev]]/10%,2)</f>
        <v>32.369999999999997</v>
      </c>
      <c r="O6" s="17">
        <f>MIN(Tabela3[[#This Row],[10% Rent]],Tabela3[[#This Row],[VPA]]*3.5)</f>
        <v>32.369999999999997</v>
      </c>
      <c r="P6" s="19">
        <f>Tabela3[[#This Row],[P Compra]]/Tabela3[[#This Row],[Cotação]]-1</f>
        <v>0.61930965482741374</v>
      </c>
      <c r="Q6" s="6">
        <f>Tabela3[[#This Row],[Lucro/Ação Ano]]*Tabela3[[#This Row],[Payout]]</f>
        <v>3.2374779019488087</v>
      </c>
      <c r="R6" s="14" t="str">
        <f>IF(AND([% Yield]&gt;=10%,[PVPA]&lt;=3.5,[PL]&lt;=15,[PL]&gt;0),"Sim","Não")</f>
        <v>Sim</v>
      </c>
      <c r="S6" s="46">
        <f>Tabela3[[#This Row],[Lucro Prev]]/Tabela3[[#This Row],[Cotação]]</f>
        <v>0.1619548725337073</v>
      </c>
      <c r="T6" s="14">
        <f>($Z$1/Tabela3[[#This Row],[Cotação]]-MOD($Z$1/Tabela3[[#This Row],[Cotação]],100))</f>
        <v>0</v>
      </c>
      <c r="U6" s="17">
        <f>Tabela3[[#This Row],[Ativos]]*Tabela3[[#This Row],[Lucro Prev]]</f>
        <v>0</v>
      </c>
      <c r="V6" s="5">
        <f>SUMPRODUCT(N(Tabela1[Código]=Tabela3[[#This Row],[PAPEL]]),Tabela1[Fechamento])</f>
        <v>19.989999999999998</v>
      </c>
      <c r="W6" s="5">
        <f>SUMPRODUCT(N(Tabela17[Código]=Tabela3[[#This Row],[PAPEL]]),Tabela17[Fechamento])</f>
        <v>0</v>
      </c>
    </row>
    <row r="7" spans="1:26">
      <c r="A7" s="4" t="s">
        <v>12</v>
      </c>
      <c r="B7" s="71" t="s">
        <v>188</v>
      </c>
      <c r="C7" s="15">
        <v>3</v>
      </c>
      <c r="D7" s="6">
        <v>2577741000</v>
      </c>
      <c r="E7" s="6">
        <v>271448000</v>
      </c>
      <c r="F7" s="8">
        <v>167343887</v>
      </c>
      <c r="G7" s="6">
        <f>Tabela3[[#This Row],[Lucro Líquido]]/Tabela3[[#This Row],[Total Ações]]</f>
        <v>1.6220968979882724</v>
      </c>
      <c r="H7" s="6">
        <f>Tabela3[[#This Row],[Lucro/Ação]]/Tabela3[[#This Row],[Ref]]*4</f>
        <v>2.1627958639843632</v>
      </c>
      <c r="I7" s="19">
        <f>IF(GETPIVOTDATA("Payout",'Tabela LL'!$A$3,"Ativo",Tabela3[[#This Row],[PAPEL]])&gt;1,1,GETPIVOTDATA("Payout",'Tabela LL'!$A$3,"Ativo",Tabela3[[#This Row],[PAPEL]]))</f>
        <v>0.76568194912363652</v>
      </c>
      <c r="J7" s="6">
        <f>[Patrimônio Líquido]/[Total Ações]</f>
        <v>15.403855176377013</v>
      </c>
      <c r="K7" s="52">
        <f>MAX(Tabela3[[#This Row],[Cotação 1]],Tabela3[[#This Row],[Cotação 2]])</f>
        <v>11</v>
      </c>
      <c r="L7" s="48">
        <f>[Cotação]/[VPA]</f>
        <v>0.71410694751722537</v>
      </c>
      <c r="M7" s="44">
        <f>IF(Tabela3[[#This Row],[Lucro/Ação Ano]]&gt;0,Tabela3[[#This Row],[Cotação]]/Tabela3[[#This Row],[Lucro/Ação Ano]],0)</f>
        <v>5.0860093563039701</v>
      </c>
      <c r="N7" s="6">
        <f>ROUND(Tabela3[[#This Row],[Lucro Prev]]/10%,2)</f>
        <v>16.559999999999999</v>
      </c>
      <c r="O7" s="61">
        <f>MIN(Tabela3[[#This Row],[10% Rent]],Tabela3[[#This Row],[VPA]]*3.5)</f>
        <v>16.559999999999999</v>
      </c>
      <c r="P7" s="19">
        <f>Tabela3[[#This Row],[P Compra]]/Tabela3[[#This Row],[Cotação]]-1</f>
        <v>0.50545454545454538</v>
      </c>
      <c r="Q7" s="6">
        <f>Tabela3[[#This Row],[Lucro/Ação Ano]]*Tabela3[[#This Row],[Payout]]</f>
        <v>1.6560137526920866</v>
      </c>
      <c r="R7" s="15" t="str">
        <f>IF(AND([% Yield]&gt;=10%,[PVPA]&lt;=3.5,[PL]&lt;=15,[PL]&gt;0),"Sim","Não")</f>
        <v>Sim</v>
      </c>
      <c r="S7" s="46">
        <f>Tabela3[[#This Row],[Lucro Prev]]/Tabela3[[#This Row],[Cotação]]</f>
        <v>0.15054670479018969</v>
      </c>
      <c r="T7" s="14">
        <f>($Z$1/Tabela3[[#This Row],[Cotação]]-MOD($Z$1/Tabela3[[#This Row],[Cotação]],100))</f>
        <v>0</v>
      </c>
      <c r="U7" s="17">
        <f>Tabela3[[#This Row],[Ativos]]*Tabela3[[#This Row],[Lucro Prev]]</f>
        <v>0</v>
      </c>
      <c r="V7" s="5">
        <f>SUMPRODUCT(N(Tabela1[Código]=Tabela3[[#This Row],[PAPEL]]),Tabela1[Fechamento])</f>
        <v>11</v>
      </c>
      <c r="W7" s="5">
        <f>SUMPRODUCT(N(Tabela17[Código]=Tabela3[[#This Row],[PAPEL]]),Tabela17[Fechamento])</f>
        <v>0</v>
      </c>
    </row>
    <row r="8" spans="1:26">
      <c r="A8" s="25" t="s">
        <v>12</v>
      </c>
      <c r="B8" s="71" t="s">
        <v>30</v>
      </c>
      <c r="C8" s="15">
        <v>3</v>
      </c>
      <c r="D8" s="31">
        <v>13197926000</v>
      </c>
      <c r="E8" s="31">
        <v>2271426000</v>
      </c>
      <c r="F8" s="28">
        <v>962672385</v>
      </c>
      <c r="G8" s="31">
        <f>Tabela3[[#This Row],[Lucro Líquido]]/Tabela3[[#This Row],[Total Ações]]</f>
        <v>2.3595005272743959</v>
      </c>
      <c r="H8" s="31">
        <f>Tabela3[[#This Row],[Lucro/Ação]]/Tabela3[[#This Row],[Ref]]*4</f>
        <v>3.1460007030325277</v>
      </c>
      <c r="I8" s="19">
        <f>IF(GETPIVOTDATA("Payout",'Tabela LL'!$A$3,"Ativo",Tabela3[[#This Row],[PAPEL]])&gt;1,1,GETPIVOTDATA("Payout",'Tabela LL'!$A$3,"Ativo",Tabela3[[#This Row],[PAPEL]]))</f>
        <v>0.65026428573600636</v>
      </c>
      <c r="J8" s="31">
        <f>[Patrimônio Líquido]/[Total Ações]</f>
        <v>13.709675488406162</v>
      </c>
      <c r="K8" s="32">
        <f>MAX(Tabela3[[#This Row],[Cotação 1]],Tabela3[[#This Row],[Cotação 2]])</f>
        <v>14.03</v>
      </c>
      <c r="L8" s="33">
        <f>[Cotação]/[VPA]</f>
        <v>1.023364850018859</v>
      </c>
      <c r="M8" s="38">
        <f>IF(Tabela3[[#This Row],[Lucro/Ação Ano]]&gt;0,Tabela3[[#This Row],[Cotação]]/Tabela3[[#This Row],[Lucro/Ação Ano]],0)</f>
        <v>4.4596302812253183</v>
      </c>
      <c r="N8" s="31">
        <f>ROUND(Tabela3[[#This Row],[Lucro Prev]]/10%,2)</f>
        <v>20.46</v>
      </c>
      <c r="O8" s="29">
        <f>MIN(Tabela3[[#This Row],[10% Rent]],Tabela3[[#This Row],[VPA]]*3.5)</f>
        <v>20.46</v>
      </c>
      <c r="P8" s="54">
        <f>Tabela3[[#This Row],[P Compra]]/Tabela3[[#This Row],[Cotação]]-1</f>
        <v>0.4583036350677121</v>
      </c>
      <c r="Q8" s="6">
        <f>Tabela3[[#This Row],[Lucro/Ação Ano]]*Tabela3[[#This Row],[Payout]]</f>
        <v>2.0457319000824206</v>
      </c>
      <c r="R8" s="26" t="str">
        <f>IF(AND([% Yield]&gt;=10%,[PVPA]&lt;=3.5,[PL]&lt;=15,[PL]&gt;0),"Sim","Não")</f>
        <v>Sim</v>
      </c>
      <c r="S8" s="30">
        <f>Tabela3[[#This Row],[Lucro Prev]]/Tabela3[[#This Row],[Cotação]]</f>
        <v>0.14581125446061444</v>
      </c>
      <c r="T8" s="10">
        <f>($Z$1/Tabela3[[#This Row],[Cotação]]-MOD($Z$1/Tabela3[[#This Row],[Cotação]],100))</f>
        <v>0</v>
      </c>
      <c r="U8" s="7">
        <f>Tabela3[[#This Row],[Ativos]]*Tabela3[[#This Row],[Lucro Prev]]</f>
        <v>0</v>
      </c>
      <c r="V8" s="5">
        <f>SUMPRODUCT(N(Tabela1[Código]=Tabela3[[#This Row],[PAPEL]]),Tabela1[Fechamento])</f>
        <v>14.03</v>
      </c>
      <c r="W8" s="5">
        <f>SUMPRODUCT(N(Tabela17[Código]=Tabela3[[#This Row],[PAPEL]]),Tabela17[Fechamento])</f>
        <v>0</v>
      </c>
    </row>
    <row r="9" spans="1:26">
      <c r="A9" s="4" t="s">
        <v>12</v>
      </c>
      <c r="B9" s="14" t="s">
        <v>95</v>
      </c>
      <c r="C9" s="15">
        <v>3</v>
      </c>
      <c r="D9" s="6">
        <v>10479149000</v>
      </c>
      <c r="E9" s="6">
        <v>795212000</v>
      </c>
      <c r="F9" s="42">
        <v>327502673</v>
      </c>
      <c r="G9" s="6">
        <f>Tabela3[[#This Row],[Lucro Líquido]]/Tabela3[[#This Row],[Total Ações]]</f>
        <v>2.4281084264616064</v>
      </c>
      <c r="H9" s="6">
        <f>Tabela3[[#This Row],[Lucro/Ação]]/Tabela3[[#This Row],[Ref]]*4</f>
        <v>3.2374779019488087</v>
      </c>
      <c r="I9" s="19">
        <f>IF(GETPIVOTDATA("Payout",'Tabela LL'!$A$3,"Ativo",Tabela3[[#This Row],[PAPEL]])&gt;1,1,GETPIVOTDATA("Payout",'Tabela LL'!$A$3,"Ativo",Tabela3[[#This Row],[PAPEL]]))</f>
        <v>1</v>
      </c>
      <c r="J9" s="6">
        <f>[Patrimônio Líquido]/[Total Ações]</f>
        <v>31.99714037143141</v>
      </c>
      <c r="K9" s="52">
        <f>MAX(Tabela3[[#This Row],[Cotação 1]],Tabela3[[#This Row],[Cotação 2]])</f>
        <v>22.31</v>
      </c>
      <c r="L9" s="48">
        <f>[Cotação]/[VPA]</f>
        <v>0.69724980860850438</v>
      </c>
      <c r="M9" s="44">
        <f>IF(Tabela3[[#This Row],[Lucro/Ação Ano]]&gt;0,Tabela3[[#This Row],[Cotação]]/Tabela3[[#This Row],[Lucro/Ação Ano]],0)</f>
        <v>6.8911667278316964</v>
      </c>
      <c r="N9" s="6">
        <f>ROUND(Tabela3[[#This Row],[Lucro Prev]]/10%,2)</f>
        <v>32.369999999999997</v>
      </c>
      <c r="O9" s="61">
        <f>MIN(Tabela3[[#This Row],[10% Rent]],Tabela3[[#This Row],[VPA]]*3.5)</f>
        <v>32.369999999999997</v>
      </c>
      <c r="P9" s="19">
        <f>Tabela3[[#This Row],[P Compra]]/Tabela3[[#This Row],[Cotação]]-1</f>
        <v>0.45091887046167645</v>
      </c>
      <c r="Q9" s="6">
        <f>Tabela3[[#This Row],[Lucro/Ação Ano]]*Tabela3[[#This Row],[Payout]]</f>
        <v>3.2374779019488087</v>
      </c>
      <c r="R9" s="15" t="str">
        <f>IF(AND([% Yield]&gt;=10%,[PVPA]&lt;=3.5,[PL]&lt;=15,[PL]&gt;0),"Sim","Não")</f>
        <v>Sim</v>
      </c>
      <c r="S9" s="46">
        <f>Tabela3[[#This Row],[Lucro Prev]]/Tabela3[[#This Row],[Cotação]]</f>
        <v>0.14511330802101341</v>
      </c>
      <c r="T9" s="14">
        <f>($Z$1/Tabela3[[#This Row],[Cotação]]-MOD($Z$1/Tabela3[[#This Row],[Cotação]],100))</f>
        <v>0</v>
      </c>
      <c r="U9" s="17">
        <f>Tabela3[[#This Row],[Ativos]]*Tabela3[[#This Row],[Lucro Prev]]</f>
        <v>0</v>
      </c>
      <c r="V9" s="5">
        <f>SUMPRODUCT(N(Tabela1[Código]=Tabela3[[#This Row],[PAPEL]]),Tabela1[Fechamento])</f>
        <v>22.31</v>
      </c>
      <c r="W9" s="5">
        <f>SUMPRODUCT(N(Tabela17[Código]=Tabela3[[#This Row],[PAPEL]]),Tabela17[Fechamento])</f>
        <v>0</v>
      </c>
    </row>
    <row r="10" spans="1:26">
      <c r="A10" s="25" t="s">
        <v>12</v>
      </c>
      <c r="B10" s="15" t="s">
        <v>31</v>
      </c>
      <c r="C10" s="16">
        <v>3</v>
      </c>
      <c r="D10" s="31">
        <v>13197926000</v>
      </c>
      <c r="E10" s="31">
        <v>2271426000</v>
      </c>
      <c r="F10" s="28">
        <v>962672385</v>
      </c>
      <c r="G10" s="31">
        <f>Tabela3[[#This Row],[Lucro Líquido]]/Tabela3[[#This Row],[Total Ações]]</f>
        <v>2.3595005272743959</v>
      </c>
      <c r="H10" s="31">
        <f>Tabela3[[#This Row],[Lucro/Ação]]/Tabela3[[#This Row],[Ref]]*4</f>
        <v>3.1460007030325277</v>
      </c>
      <c r="I10" s="19">
        <f>IF(GETPIVOTDATA("Payout",'Tabela LL'!$A$3,"Ativo",Tabela3[[#This Row],[PAPEL]])&gt;1,1,GETPIVOTDATA("Payout",'Tabela LL'!$A$3,"Ativo",Tabela3[[#This Row],[PAPEL]]))</f>
        <v>0.65026428573600636</v>
      </c>
      <c r="J10" s="31">
        <f>[Patrimônio Líquido]/[Total Ações]</f>
        <v>13.709675488406162</v>
      </c>
      <c r="K10" s="32">
        <f>MAX(Tabela3[[#This Row],[Cotação 1]],Tabela3[[#This Row],[Cotação 2]])</f>
        <v>14.28</v>
      </c>
      <c r="L10" s="33">
        <f>[Cotação]/[VPA]</f>
        <v>1.0416001467048686</v>
      </c>
      <c r="M10" s="38">
        <f>IF(Tabela3[[#This Row],[Lucro/Ação Ano]]&gt;0,Tabela3[[#This Row],[Cotação]]/Tabela3[[#This Row],[Lucro/Ação Ano]],0)</f>
        <v>4.5390962520240583</v>
      </c>
      <c r="N10" s="31">
        <f>ROUND(Tabela3[[#This Row],[Lucro Prev]]/10%,2)</f>
        <v>20.46</v>
      </c>
      <c r="O10" s="29">
        <f>MIN(Tabela3[[#This Row],[10% Rent]],Tabela3[[#This Row],[VPA]]*3.5)</f>
        <v>20.46</v>
      </c>
      <c r="P10" s="54">
        <f>Tabela3[[#This Row],[P Compra]]/Tabela3[[#This Row],[Cotação]]-1</f>
        <v>0.4327731092436975</v>
      </c>
      <c r="Q10" s="6">
        <f>Tabela3[[#This Row],[Lucro/Ação Ano]]*Tabela3[[#This Row],[Payout]]</f>
        <v>2.0457319000824206</v>
      </c>
      <c r="R10" s="26" t="str">
        <f>IF(AND([% Yield]&gt;=10%,[PVPA]&lt;=3.5,[PL]&lt;=15,[PL]&gt;0),"Sim","Não")</f>
        <v>Sim</v>
      </c>
      <c r="S10" s="30">
        <f>Tabela3[[#This Row],[Lucro Prev]]/Tabela3[[#This Row],[Cotação]]</f>
        <v>0.14325853642033759</v>
      </c>
      <c r="T10" s="10">
        <f>($Z$1/Tabela3[[#This Row],[Cotação]]-MOD($Z$1/Tabela3[[#This Row],[Cotação]],100))</f>
        <v>0</v>
      </c>
      <c r="U10" s="7">
        <f>Tabela3[[#This Row],[Ativos]]*Tabela3[[#This Row],[Lucro Prev]]</f>
        <v>0</v>
      </c>
      <c r="V10" s="5">
        <f>SUMPRODUCT(N(Tabela1[Código]=Tabela3[[#This Row],[PAPEL]]),Tabela1[Fechamento])</f>
        <v>14.28</v>
      </c>
      <c r="W10" s="5">
        <f>SUMPRODUCT(N(Tabela17[Código]=Tabela3[[#This Row],[PAPEL]]),Tabela17[Fechamento])</f>
        <v>0</v>
      </c>
    </row>
    <row r="11" spans="1:26">
      <c r="A11" s="4" t="s">
        <v>12</v>
      </c>
      <c r="B11" s="14" t="s">
        <v>94</v>
      </c>
      <c r="C11" s="15">
        <v>3</v>
      </c>
      <c r="D11" s="6">
        <v>10479149000</v>
      </c>
      <c r="E11" s="6">
        <v>795212000</v>
      </c>
      <c r="F11" s="42">
        <v>327502673</v>
      </c>
      <c r="G11" s="6">
        <f>Tabela3[[#This Row],[Lucro Líquido]]/Tabela3[[#This Row],[Total Ações]]</f>
        <v>2.4281084264616064</v>
      </c>
      <c r="H11" s="6">
        <f>Tabela3[[#This Row],[Lucro/Ação]]/Tabela3[[#This Row],[Ref]]*4</f>
        <v>3.2374779019488087</v>
      </c>
      <c r="I11" s="19">
        <f>IF(GETPIVOTDATA("Payout",'Tabela LL'!$A$3,"Ativo",Tabela3[[#This Row],[PAPEL]])&gt;1,1,GETPIVOTDATA("Payout",'Tabela LL'!$A$3,"Ativo",Tabela3[[#This Row],[PAPEL]]))</f>
        <v>1</v>
      </c>
      <c r="J11" s="6">
        <f>[Patrimônio Líquido]/[Total Ações]</f>
        <v>31.99714037143141</v>
      </c>
      <c r="K11" s="52">
        <f>MAX(Tabela3[[#This Row],[Cotação 1]],Tabela3[[#This Row],[Cotação 2]])</f>
        <v>23.25</v>
      </c>
      <c r="L11" s="48">
        <f>[Cotação]/[VPA]</f>
        <v>0.72662743389277129</v>
      </c>
      <c r="M11" s="44">
        <f>IF(Tabela3[[#This Row],[Lucro/Ação Ano]]&gt;0,Tabela3[[#This Row],[Cotação]]/Tabela3[[#This Row],[Lucro/Ação Ano]],0)</f>
        <v>7.1815162000038981</v>
      </c>
      <c r="N11" s="6">
        <f>ROUND(Tabela3[[#This Row],[Lucro Prev]]/10%,2)</f>
        <v>32.369999999999997</v>
      </c>
      <c r="O11" s="61">
        <f>MIN(Tabela3[[#This Row],[10% Rent]],Tabela3[[#This Row],[VPA]]*3.5)</f>
        <v>32.369999999999997</v>
      </c>
      <c r="P11" s="19">
        <f>Tabela3[[#This Row],[P Compra]]/Tabela3[[#This Row],[Cotação]]-1</f>
        <v>0.39225806451612888</v>
      </c>
      <c r="Q11" s="6">
        <f>Tabela3[[#This Row],[Lucro/Ação Ano]]*Tabela3[[#This Row],[Payout]]</f>
        <v>3.2374779019488087</v>
      </c>
      <c r="R11" s="15" t="str">
        <f>IF(AND([% Yield]&gt;=10%,[PVPA]&lt;=3.5,[PL]&lt;=15,[PL]&gt;0),"Sim","Não")</f>
        <v>Sim</v>
      </c>
      <c r="S11" s="46">
        <f>Tabela3[[#This Row],[Lucro Prev]]/Tabela3[[#This Row],[Cotação]]</f>
        <v>0.13924636137414231</v>
      </c>
      <c r="T11" s="14">
        <f>($Z$1/Tabela3[[#This Row],[Cotação]]-MOD($Z$1/Tabela3[[#This Row],[Cotação]],100))</f>
        <v>0</v>
      </c>
      <c r="U11" s="17">
        <f>Tabela3[[#This Row],[Ativos]]*Tabela3[[#This Row],[Lucro Prev]]</f>
        <v>0</v>
      </c>
      <c r="V11" s="5">
        <f>SUMPRODUCT(N(Tabela1[Código]=Tabela3[[#This Row],[PAPEL]]),Tabela1[Fechamento])</f>
        <v>23.25</v>
      </c>
      <c r="W11" s="5">
        <f>SUMPRODUCT(N(Tabela17[Código]=Tabela3[[#This Row],[PAPEL]]),Tabela17[Fechamento])</f>
        <v>0</v>
      </c>
    </row>
    <row r="12" spans="1:26" hidden="1">
      <c r="A12" s="25" t="s">
        <v>12</v>
      </c>
      <c r="B12" s="15" t="s">
        <v>29</v>
      </c>
      <c r="C12" s="16">
        <v>3</v>
      </c>
      <c r="D12" s="31">
        <v>1813045000</v>
      </c>
      <c r="E12" s="31">
        <v>650993000</v>
      </c>
      <c r="F12" s="28">
        <v>381253493</v>
      </c>
      <c r="G12" s="27">
        <f>Tabela3[[#This Row],[Lucro Líquido]]/Tabela3[[#This Row],[Total Ações]]</f>
        <v>1.7075069788278634</v>
      </c>
      <c r="H12" s="27">
        <f>Tabela3[[#This Row],[Lucro/Ação]]/Tabela3[[#This Row],[Ref]]*4</f>
        <v>2.2766759717704845</v>
      </c>
      <c r="I12" s="53">
        <f>IF(GETPIVOTDATA("Payout",'Tabela LL'!$A$3,"Ativo",Tabela3[[#This Row],[PAPEL]])&gt;1,1,GETPIVOTDATA("Payout",'Tabela LL'!$A$3,"Ativo",Tabela3[[#This Row],[PAPEL]]))</f>
        <v>1</v>
      </c>
      <c r="J12" s="31">
        <f>[Patrimônio Líquido]/[Total Ações]</f>
        <v>4.7554842992612265</v>
      </c>
      <c r="K12" s="32">
        <f>MAX(Tabela3[[#This Row],[Cotação 1]],Tabela3[[#This Row],[Cotação 2]])</f>
        <v>17.63</v>
      </c>
      <c r="L12" s="33">
        <f>[Cotação]/[VPA]</f>
        <v>3.7072985400748464</v>
      </c>
      <c r="M12" s="38">
        <f>IF(Tabela3[[#This Row],[Lucro/Ação Ano]]&gt;0,Tabela3[[#This Row],[Cotação]]/Tabela3[[#This Row],[Lucro/Ação Ano]],0)</f>
        <v>7.7437458024779069</v>
      </c>
      <c r="N12" s="31">
        <f>ROUND(Tabela3[[#This Row],[Lucro Prev]]/10%,2)</f>
        <v>22.77</v>
      </c>
      <c r="O12" s="29">
        <f>MIN(Tabela3[[#This Row],[10% Rent]],Tabela3[[#This Row],[VPA]]*3.5)</f>
        <v>16.644195047414293</v>
      </c>
      <c r="P12" s="54">
        <f>Tabela3[[#This Row],[P Compra]]/Tabela3[[#This Row],[Cotação]]-1</f>
        <v>-5.5916333101855176E-2</v>
      </c>
      <c r="Q12" s="6">
        <f>Tabela3[[#This Row],[Lucro/Ação Ano]]*Tabela3[[#This Row],[Payout]]</f>
        <v>2.2766759717704845</v>
      </c>
      <c r="R12" s="26" t="str">
        <f>IF(AND([% Yield]&gt;=10%,[PVPA]&lt;=3.5,[PL]&lt;=15,[PL]&gt;0),"Sim","Não")</f>
        <v>Não</v>
      </c>
      <c r="S12" s="30">
        <f>Tabela3[[#This Row],[Lucro Prev]]/Tabela3[[#This Row],[Cotação]]</f>
        <v>0.12913647032163839</v>
      </c>
      <c r="T12" s="10">
        <f>($Z$1/Tabela3[[#This Row],[Cotação]]-MOD($Z$1/Tabela3[[#This Row],[Cotação]],100))</f>
        <v>0</v>
      </c>
      <c r="U12" s="7">
        <f>Tabela3[[#This Row],[Ativos]]*Tabela3[[#This Row],[Lucro Prev]]</f>
        <v>0</v>
      </c>
      <c r="V12" s="5">
        <f>SUMPRODUCT(N(Tabela1[Código]=Tabela3[[#This Row],[PAPEL]]),Tabela1[Fechamento])</f>
        <v>17.63</v>
      </c>
      <c r="W12" s="5">
        <f>SUMPRODUCT(N(Tabela17[Código]=Tabela3[[#This Row],[PAPEL]]),Tabela17[Fechamento])</f>
        <v>0</v>
      </c>
    </row>
    <row r="13" spans="1:26" hidden="1">
      <c r="A13" s="25" t="s">
        <v>12</v>
      </c>
      <c r="B13" s="15" t="s">
        <v>33</v>
      </c>
      <c r="C13" s="15">
        <v>3</v>
      </c>
      <c r="D13" s="31">
        <v>1813045000</v>
      </c>
      <c r="E13" s="31">
        <v>650993000</v>
      </c>
      <c r="F13" s="28">
        <v>381253493</v>
      </c>
      <c r="G13" s="27">
        <f>Tabela3[[#This Row],[Lucro Líquido]]/Tabela3[[#This Row],[Total Ações]]</f>
        <v>1.7075069788278634</v>
      </c>
      <c r="H13" s="27">
        <f>Tabela3[[#This Row],[Lucro/Ação]]/Tabela3[[#This Row],[Ref]]*4</f>
        <v>2.2766759717704845</v>
      </c>
      <c r="I13" s="53">
        <f>IF(GETPIVOTDATA("Payout",'Tabela LL'!$A$3,"Ativo",Tabela3[[#This Row],[PAPEL]])&gt;1,1,GETPIVOTDATA("Payout",'Tabela LL'!$A$3,"Ativo",Tabela3[[#This Row],[PAPEL]]))</f>
        <v>1</v>
      </c>
      <c r="J13" s="31">
        <f>[Patrimônio Líquido]/[Total Ações]</f>
        <v>4.7554842992612265</v>
      </c>
      <c r="K13" s="32">
        <f>MAX(Tabela3[[#This Row],[Cotação 1]],Tabela3[[#This Row],[Cotação 2]])</f>
        <v>19.2</v>
      </c>
      <c r="L13" s="33">
        <f>[Cotação]/[VPA]</f>
        <v>4.0374436738194586</v>
      </c>
      <c r="M13" s="38">
        <f>IF(Tabela3[[#This Row],[Lucro/Ação Ano]]&gt;0,Tabela3[[#This Row],[Cotação]]/Tabela3[[#This Row],[Lucro/Ação Ano]],0)</f>
        <v>8.4333476691761664</v>
      </c>
      <c r="N13" s="31">
        <f>ROUND(Tabela3[[#This Row],[Lucro Prev]]/10%,2)</f>
        <v>22.77</v>
      </c>
      <c r="O13" s="29">
        <f>MIN(Tabela3[[#This Row],[10% Rent]],Tabela3[[#This Row],[VPA]]*3.5)</f>
        <v>16.644195047414293</v>
      </c>
      <c r="P13" s="54">
        <f>Tabela3[[#This Row],[P Compra]]/Tabela3[[#This Row],[Cotação]]-1</f>
        <v>-0.13311484128050555</v>
      </c>
      <c r="Q13" s="6">
        <f>Tabela3[[#This Row],[Lucro/Ação Ano]]*Tabela3[[#This Row],[Payout]]</f>
        <v>2.2766759717704845</v>
      </c>
      <c r="R13" s="26" t="str">
        <f>IF(AND([% Yield]&gt;=10%,[PVPA]&lt;=3.5,[PL]&lt;=15,[PL]&gt;0),"Sim","Não")</f>
        <v>Não</v>
      </c>
      <c r="S13" s="30">
        <f>Tabela3[[#This Row],[Lucro Prev]]/Tabela3[[#This Row],[Cotação]]</f>
        <v>0.11857687352971275</v>
      </c>
      <c r="T13" s="10">
        <f>($Z$1/Tabela3[[#This Row],[Cotação]]-MOD($Z$1/Tabela3[[#This Row],[Cotação]],100))</f>
        <v>0</v>
      </c>
      <c r="U13" s="7">
        <f>Tabela3[[#This Row],[Ativos]]*Tabela3[[#This Row],[Lucro Prev]]</f>
        <v>0</v>
      </c>
      <c r="V13" s="5">
        <f>SUMPRODUCT(N(Tabela1[Código]=Tabela3[[#This Row],[PAPEL]]),Tabela1[Fechamento])</f>
        <v>19.2</v>
      </c>
      <c r="W13" s="5">
        <f>SUMPRODUCT(N(Tabela17[Código]=Tabela3[[#This Row],[PAPEL]]),Tabela17[Fechamento])</f>
        <v>0</v>
      </c>
    </row>
    <row r="14" spans="1:26">
      <c r="A14" s="4" t="s">
        <v>12</v>
      </c>
      <c r="B14" s="14" t="s">
        <v>28</v>
      </c>
      <c r="C14" s="15">
        <v>3</v>
      </c>
      <c r="D14" s="6">
        <v>6277330000</v>
      </c>
      <c r="E14" s="6">
        <v>451384000</v>
      </c>
      <c r="F14" s="42">
        <v>476415612</v>
      </c>
      <c r="G14" s="6">
        <f>Tabela3[[#This Row],[Lucro Líquido]]/Tabela3[[#This Row],[Total Ações]]</f>
        <v>0.94745845566454689</v>
      </c>
      <c r="H14" s="6">
        <f>Tabela3[[#This Row],[Lucro/Ação]]/Tabela3[[#This Row],[Ref]]*4</f>
        <v>1.2632779408860626</v>
      </c>
      <c r="I14" s="19">
        <f>IF(GETPIVOTDATA("Payout",'Tabela LL'!$A$3,"Ativo",Tabela3[[#This Row],[PAPEL]])&gt;1,1,GETPIVOTDATA("Payout",'Tabela LL'!$A$3,"Ativo",Tabela3[[#This Row],[PAPEL]]))</f>
        <v>1</v>
      </c>
      <c r="J14" s="6">
        <f>[Patrimônio Líquido]/[Total Ações]</f>
        <v>13.176163504902101</v>
      </c>
      <c r="K14" s="52">
        <f>MAX(Tabela3[[#This Row],[Cotação 1]],Tabela3[[#This Row],[Cotação 2]])</f>
        <v>11.14</v>
      </c>
      <c r="L14" s="48">
        <f>[Cotação]/[VPA]</f>
        <v>0.84546613252449698</v>
      </c>
      <c r="M14" s="44">
        <f>IF(Tabela3[[#This Row],[Lucro/Ação Ano]]&gt;0,Tabela3[[#This Row],[Cotação]]/Tabela3[[#This Row],[Lucro/Ação Ano]],0)</f>
        <v>8.8183286032734873</v>
      </c>
      <c r="N14" s="6">
        <f>ROUND(Tabela3[[#This Row],[Lucro Prev]]/10%,2)</f>
        <v>12.63</v>
      </c>
      <c r="O14" s="61">
        <f>MIN(Tabela3[[#This Row],[10% Rent]],Tabela3[[#This Row],[VPA]]*3.5)</f>
        <v>12.63</v>
      </c>
      <c r="P14" s="19">
        <f>Tabela3[[#This Row],[P Compra]]/Tabela3[[#This Row],[Cotação]]-1</f>
        <v>0.13375224416517062</v>
      </c>
      <c r="Q14" s="6">
        <f>Tabela3[[#This Row],[Lucro/Ação Ano]]*Tabela3[[#This Row],[Payout]]</f>
        <v>1.2632779408860626</v>
      </c>
      <c r="R14" s="15" t="str">
        <f>IF(AND([% Yield]&gt;=10%,[PVPA]&lt;=3.5,[PL]&lt;=15,[PL]&gt;0),"Sim","Não")</f>
        <v>Sim</v>
      </c>
      <c r="S14" s="46">
        <f>Tabela3[[#This Row],[Lucro Prev]]/Tabela3[[#This Row],[Cotação]]</f>
        <v>0.11340017422675606</v>
      </c>
      <c r="T14" s="14">
        <f>($Z$1/Tabela3[[#This Row],[Cotação]]-MOD($Z$1/Tabela3[[#This Row],[Cotação]],100))</f>
        <v>0</v>
      </c>
      <c r="U14" s="17">
        <f>Tabela3[[#This Row],[Ativos]]*Tabela3[[#This Row],[Lucro Prev]]</f>
        <v>0</v>
      </c>
      <c r="V14" s="5">
        <f>SUMPRODUCT(N(Tabela1[Código]=Tabela3[[#This Row],[PAPEL]]),Tabela1[Fechamento])</f>
        <v>11.14</v>
      </c>
      <c r="W14" s="5">
        <f>SUMPRODUCT(N(Tabela17[Código]=Tabela3[[#This Row],[PAPEL]]),Tabela17[Fechamento])</f>
        <v>0</v>
      </c>
    </row>
    <row r="15" spans="1:26">
      <c r="A15" s="4" t="s">
        <v>12</v>
      </c>
      <c r="B15" s="14" t="s">
        <v>72</v>
      </c>
      <c r="C15" s="15">
        <v>3</v>
      </c>
      <c r="D15" s="6">
        <v>465994000</v>
      </c>
      <c r="E15" s="6">
        <v>17904000</v>
      </c>
      <c r="F15" s="42">
        <v>9183458</v>
      </c>
      <c r="G15" s="6">
        <f>Tabela3[[#This Row],[Lucro Líquido]]/Tabela3[[#This Row],[Total Ações]]</f>
        <v>1.9495924084369962</v>
      </c>
      <c r="H15" s="6">
        <f>Tabela3[[#This Row],[Lucro/Ação]]/Tabela3[[#This Row],[Ref]]*4</f>
        <v>2.5994565445826616</v>
      </c>
      <c r="I15" s="19">
        <f>IF(GETPIVOTDATA("Payout",'Tabela LL'!$A$3,"Ativo",Tabela3[[#This Row],[PAPEL]])&gt;1,1,GETPIVOTDATA("Payout",'Tabela LL'!$A$3,"Ativo",Tabela3[[#This Row],[PAPEL]]))</f>
        <v>0.7246803815404973</v>
      </c>
      <c r="J15" s="6">
        <f>[Patrimônio Líquido]/[Total Ações]</f>
        <v>50.742759426786726</v>
      </c>
      <c r="K15" s="52">
        <f>MAX(Tabela3[[#This Row],[Cotação 1]],Tabela3[[#This Row],[Cotação 2]])</f>
        <v>17.079999999999998</v>
      </c>
      <c r="L15" s="48">
        <f>[Cotação]/[VPA]</f>
        <v>0.33659974729288356</v>
      </c>
      <c r="M15" s="44">
        <f>IF(Tabela3[[#This Row],[Lucro/Ação Ano]]&gt;0,Tabela3[[#This Row],[Cotação]]/Tabela3[[#This Row],[Lucro/Ação Ano]],0)</f>
        <v>6.5706041655495975</v>
      </c>
      <c r="N15" s="6">
        <f>ROUND(Tabela3[[#This Row],[Lucro Prev]]/10%,2)</f>
        <v>18.84</v>
      </c>
      <c r="O15" s="17">
        <f>MIN(Tabela3[[#This Row],[10% Rent]],Tabela3[[#This Row],[VPA]]*3.5)</f>
        <v>18.84</v>
      </c>
      <c r="P15" s="19">
        <f>Tabela3[[#This Row],[P Compra]]/Tabela3[[#This Row],[Cotação]]-1</f>
        <v>0.10304449648711955</v>
      </c>
      <c r="Q15" s="6">
        <f>Tabela3[[#This Row],[Lucro/Ação Ano]]*Tabela3[[#This Row],[Payout]]</f>
        <v>1.8837751605261059</v>
      </c>
      <c r="R15" s="14" t="str">
        <f>IF(AND([% Yield]&gt;=10%,[PVPA]&lt;=3.5,[PL]&lt;=15,[PL]&gt;0),"Sim","Não")</f>
        <v>Sim</v>
      </c>
      <c r="S15" s="46">
        <f>Tabela3[[#This Row],[Lucro Prev]]/Tabela3[[#This Row],[Cotação]]</f>
        <v>0.11029128574508817</v>
      </c>
      <c r="T15" s="14">
        <f>($Z$1/Tabela3[[#This Row],[Cotação]]-MOD($Z$1/Tabela3[[#This Row],[Cotação]],100))</f>
        <v>0</v>
      </c>
      <c r="U15" s="17">
        <f>Tabela3[[#This Row],[Ativos]]*Tabela3[[#This Row],[Lucro Prev]]</f>
        <v>0</v>
      </c>
      <c r="V15" s="5">
        <f>SUMPRODUCT(N(Tabela1[Código]=Tabela3[[#This Row],[PAPEL]]),Tabela1[Fechamento])</f>
        <v>17.079999999999998</v>
      </c>
      <c r="W15" s="5">
        <f>SUMPRODUCT(N(Tabela17[Código]=Tabela3[[#This Row],[PAPEL]]),Tabela17[Fechamento])</f>
        <v>0</v>
      </c>
    </row>
    <row r="16" spans="1:26">
      <c r="A16" s="4" t="s">
        <v>12</v>
      </c>
      <c r="B16" s="47" t="s">
        <v>56</v>
      </c>
      <c r="C16" s="16">
        <v>3</v>
      </c>
      <c r="D16" s="6">
        <v>3392238000</v>
      </c>
      <c r="E16" s="6">
        <v>458325000</v>
      </c>
      <c r="F16" s="42">
        <v>203934060</v>
      </c>
      <c r="G16" s="6">
        <f>Tabela3[[#This Row],[Lucro Líquido]]/Tabela3[[#This Row],[Total Ações]]</f>
        <v>2.2474176211663712</v>
      </c>
      <c r="H16" s="6">
        <f>Tabela3[[#This Row],[Lucro/Ação]]/Tabela3[[#This Row],[Ref]]*4</f>
        <v>2.9965568282218285</v>
      </c>
      <c r="I16" s="19">
        <f>IF(GETPIVOTDATA("Payout",'Tabela LL'!$A$3,"Ativo",Tabela3[[#This Row],[PAPEL]])&gt;1,1,GETPIVOTDATA("Payout",'Tabela LL'!$A$3,"Ativo",Tabela3[[#This Row],[PAPEL]]))</f>
        <v>0.79479552403967901</v>
      </c>
      <c r="J16" s="6">
        <f>[Patrimônio Líquido]/[Total Ações]</f>
        <v>16.633994341112025</v>
      </c>
      <c r="K16" s="43">
        <f>MAX(Tabela3[[#This Row],[Cotação 1]],Tabela3[[#This Row],[Cotação 2]])</f>
        <v>21.78</v>
      </c>
      <c r="L16" s="48">
        <f>[Cotação]/[VPA]</f>
        <v>1.3093668035084802</v>
      </c>
      <c r="M16" s="44">
        <f>IF(Tabela3[[#This Row],[Lucro/Ação Ano]]&gt;0,Tabela3[[#This Row],[Cotação]]/Tabela3[[#This Row],[Lucro/Ação Ano]],0)</f>
        <v>7.2683420500736373</v>
      </c>
      <c r="N16" s="6">
        <f>ROUND(Tabela3[[#This Row],[Lucro Prev]]/10%,2)</f>
        <v>23.82</v>
      </c>
      <c r="O16" s="17">
        <f>MIN(Tabela3[[#This Row],[10% Rent]],Tabela3[[#This Row],[VPA]]*3.5)</f>
        <v>23.82</v>
      </c>
      <c r="P16" s="19">
        <f>Tabela3[[#This Row],[P Compra]]/Tabela3[[#This Row],[Cotação]]-1</f>
        <v>9.3663911845730086E-2</v>
      </c>
      <c r="Q16" s="6">
        <f>Tabela3[[#This Row],[Lucro/Ação Ano]]*Tabela3[[#This Row],[Payout]]</f>
        <v>2.3816499546012464</v>
      </c>
      <c r="R16" s="14" t="str">
        <f>IF(AND([% Yield]&gt;=10%,[PVPA]&lt;=3.5,[PL]&lt;=15,[PL]&gt;0),"Sim","Não")</f>
        <v>Sim</v>
      </c>
      <c r="S16" s="45">
        <f>Tabela3[[#This Row],[Lucro Prev]]/Tabela3[[#This Row],[Cotação]]</f>
        <v>0.10935031931135199</v>
      </c>
      <c r="T16" s="14">
        <f>($Z$1/Tabela3[[#This Row],[Cotação]]-MOD($Z$1/Tabela3[[#This Row],[Cotação]],100))</f>
        <v>0</v>
      </c>
      <c r="U16" s="17">
        <f>Tabela3[[#This Row],[Ativos]]*Tabela3[[#This Row],[Lucro Prev]]</f>
        <v>0</v>
      </c>
      <c r="V16" s="5">
        <f>SUMPRODUCT(N(Tabela1[Código]=Tabela3[[#This Row],[PAPEL]]),Tabela1[Fechamento])</f>
        <v>21.78</v>
      </c>
      <c r="W16" s="5">
        <f>SUMPRODUCT(N(Tabela17[Código]=Tabela3[[#This Row],[PAPEL]]),Tabela17[Fechamento])</f>
        <v>0</v>
      </c>
    </row>
    <row r="17" spans="1:23">
      <c r="A17" s="4" t="s">
        <v>14</v>
      </c>
      <c r="B17" s="14" t="s">
        <v>244</v>
      </c>
      <c r="C17" s="15">
        <v>3</v>
      </c>
      <c r="D17" s="6">
        <v>2513911000</v>
      </c>
      <c r="E17" s="6">
        <v>303723000</v>
      </c>
      <c r="F17" s="42">
        <v>87001901</v>
      </c>
      <c r="G17" s="6">
        <f>Tabela3[[#This Row],[Lucro Líquido]]/Tabela3[[#This Row],[Total Ações]]</f>
        <v>3.4909926853207494</v>
      </c>
      <c r="H17" s="6">
        <f>Tabela3[[#This Row],[Lucro/Ação]]/Tabela3[[#This Row],[Ref]]*4</f>
        <v>4.6546569137609994</v>
      </c>
      <c r="I17" s="19">
        <f>IF(GETPIVOTDATA("Payout",'Tabela LL'!$A$3,"Ativo",Tabela3[[#This Row],[PAPEL]])&gt;1,1,GETPIVOTDATA("Payout",'Tabela LL'!$A$3,"Ativo",Tabela3[[#This Row],[PAPEL]]))</f>
        <v>0.55176083148968624</v>
      </c>
      <c r="J17" s="6">
        <f>[Patrimônio Líquido]/[Total Ações]</f>
        <v>28.894897365518485</v>
      </c>
      <c r="K17" s="52">
        <f>MAX(Tabela3[[#This Row],[Cotação 1]],Tabela3[[#This Row],[Cotação 2]])</f>
        <v>25</v>
      </c>
      <c r="L17" s="48">
        <f>[Cotação]/[VPA]</f>
        <v>0.86520466516117711</v>
      </c>
      <c r="M17" s="44">
        <f>IF(Tabela3[[#This Row],[Lucro/Ação Ano]]&gt;0,Tabela3[[#This Row],[Cotação]]/Tabela3[[#This Row],[Lucro/Ação Ano]],0)</f>
        <v>5.3709651351725087</v>
      </c>
      <c r="N17" s="6">
        <f>ROUND(Tabela3[[#This Row],[Lucro Prev]]/10%,2)</f>
        <v>25.68</v>
      </c>
      <c r="O17" s="61">
        <f>MIN(Tabela3[[#This Row],[10% Rent]],Tabela3[[#This Row],[VPA]]*3.5)</f>
        <v>25.68</v>
      </c>
      <c r="P17" s="19">
        <f>Tabela3[[#This Row],[P Compra]]/Tabela3[[#This Row],[Cotação]]-1</f>
        <v>2.7199999999999891E-2</v>
      </c>
      <c r="Q17" s="6">
        <f>Tabela3[[#This Row],[Lucro/Ação Ano]]*Tabela3[[#This Row],[Payout]]</f>
        <v>2.5682573690359858</v>
      </c>
      <c r="R17" s="15" t="str">
        <f>IF(AND([% Yield]&gt;=10%,[PVPA]&lt;=3.5,[PL]&lt;=15,[PL]&gt;0),"Sim","Não")</f>
        <v>Sim</v>
      </c>
      <c r="S17" s="46">
        <f>Tabela3[[#This Row],[Lucro Prev]]/Tabela3[[#This Row],[Cotação]]</f>
        <v>0.10273029476143943</v>
      </c>
      <c r="T17" s="14">
        <f>($Z$1/Tabela3[[#This Row],[Cotação]]-MOD($Z$1/Tabela3[[#This Row],[Cotação]],100))</f>
        <v>0</v>
      </c>
      <c r="U17" s="17">
        <f>Tabela3[[#This Row],[Ativos]]*Tabela3[[#This Row],[Lucro Prev]]</f>
        <v>0</v>
      </c>
      <c r="V17" s="5">
        <f>SUMPRODUCT(N(Tabela1[Código]=Tabela3[[#This Row],[PAPEL]]),Tabela1[Fechamento])</f>
        <v>25</v>
      </c>
      <c r="W17" s="5">
        <f>SUMPRODUCT(N(Tabela17[Código]=Tabela3[[#This Row],[PAPEL]]),Tabela17[Fechamento])</f>
        <v>0</v>
      </c>
    </row>
    <row r="18" spans="1:23">
      <c r="A18" s="4" t="s">
        <v>37</v>
      </c>
      <c r="B18" s="14" t="s">
        <v>36</v>
      </c>
      <c r="C18" s="15">
        <v>3</v>
      </c>
      <c r="D18" s="6">
        <v>12509395000</v>
      </c>
      <c r="E18" s="6">
        <v>1332834000</v>
      </c>
      <c r="F18" s="42">
        <v>683509869</v>
      </c>
      <c r="G18" s="6">
        <f>Tabela3[[#This Row],[Lucro Líquido]]/Tabela3[[#This Row],[Total Ações]]</f>
        <v>1.9499850118477222</v>
      </c>
      <c r="H18" s="6">
        <f>Tabela3[[#This Row],[Lucro/Ação]]/Tabela3[[#This Row],[Ref]]*4</f>
        <v>2.5999800157969628</v>
      </c>
      <c r="I18" s="19">
        <f>IF(GETPIVOTDATA("Payout",'Tabela LL'!$A$3,"Ativo",Tabela3[[#This Row],[PAPEL]])&gt;1,1,GETPIVOTDATA("Payout",'Tabela LL'!$A$3,"Ativo",Tabela3[[#This Row],[PAPEL]]))</f>
        <v>1</v>
      </c>
      <c r="J18" s="6">
        <f>[Patrimônio Líquido]/[Total Ações]</f>
        <v>18.301703555943828</v>
      </c>
      <c r="K18" s="52">
        <f>MAX(Tabela3[[#This Row],[Cotação 1]],Tabela3[[#This Row],[Cotação 2]])</f>
        <v>25.26</v>
      </c>
      <c r="L18" s="48">
        <f>[Cotação]/[VPA]</f>
        <v>1.3801993854171206</v>
      </c>
      <c r="M18" s="44">
        <f>IF(Tabela3[[#This Row],[Lucro/Ação Ano]]&gt;0,Tabela3[[#This Row],[Cotação]]/Tabela3[[#This Row],[Lucro/Ação Ano]],0)</f>
        <v>9.715459290658103</v>
      </c>
      <c r="N18" s="6">
        <f>ROUND(Tabela3[[#This Row],[Lucro Prev]]/10%,2)</f>
        <v>26</v>
      </c>
      <c r="O18" s="61">
        <f>MIN(Tabela3[[#This Row],[10% Rent]],Tabela3[[#This Row],[VPA]]*3.5)</f>
        <v>26</v>
      </c>
      <c r="P18" s="19">
        <f>Tabela3[[#This Row],[P Compra]]/Tabela3[[#This Row],[Cotação]]-1</f>
        <v>2.9295328582739533E-2</v>
      </c>
      <c r="Q18" s="6">
        <f>Tabela3[[#This Row],[Lucro/Ação Ano]]*Tabela3[[#This Row],[Payout]]</f>
        <v>2.5999800157969628</v>
      </c>
      <c r="R18" s="15" t="str">
        <f>IF(AND([% Yield]&gt;=10%,[PVPA]&lt;=3.5,[PL]&lt;=15,[PL]&gt;0),"Sim","Não")</f>
        <v>Sim</v>
      </c>
      <c r="S18" s="46">
        <f>Tabela3[[#This Row],[Lucro Prev]]/Tabela3[[#This Row],[Cotação]]</f>
        <v>0.1029287417180112</v>
      </c>
      <c r="T18" s="14">
        <f>($Z$1/Tabela3[[#This Row],[Cotação]]-MOD($Z$1/Tabela3[[#This Row],[Cotação]],100))</f>
        <v>0</v>
      </c>
      <c r="U18" s="17">
        <f>Tabela3[[#This Row],[Ativos]]*Tabela3[[#This Row],[Lucro Prev]]</f>
        <v>0</v>
      </c>
      <c r="V18" s="5">
        <f>SUMPRODUCT(N(Tabela1[Código]=Tabela3[[#This Row],[PAPEL]]),Tabela1[Fechamento])</f>
        <v>25.26</v>
      </c>
      <c r="W18" s="5">
        <f>SUMPRODUCT(N(Tabela17[Código]=Tabela3[[#This Row],[PAPEL]]),Tabela17[Fechamento])</f>
        <v>0</v>
      </c>
    </row>
    <row r="19" spans="1:23" hidden="1">
      <c r="A19" s="4" t="s">
        <v>12</v>
      </c>
      <c r="B19" s="14" t="s">
        <v>107</v>
      </c>
      <c r="C19" s="15">
        <v>3</v>
      </c>
      <c r="D19" s="31">
        <v>12828375000</v>
      </c>
      <c r="E19" s="31">
        <v>898498000</v>
      </c>
      <c r="F19" s="42">
        <v>273655375</v>
      </c>
      <c r="G19" s="15">
        <f>Tabela3[[#This Row],[Lucro Líquido]]/Tabela3[[#This Row],[Total Ações]]</f>
        <v>3.2833193939640322</v>
      </c>
      <c r="H19" s="15">
        <f>Tabela3[[#This Row],[Lucro/Ação]]/Tabela3[[#This Row],[Ref]]*4</f>
        <v>4.3777591919520429</v>
      </c>
      <c r="I19" s="19">
        <f>IF(GETPIVOTDATA("Payout",'Tabela LL'!$A$3,"Ativo",Tabela3[[#This Row],[PAPEL]])&gt;1,1,GETPIVOTDATA("Payout",'Tabela LL'!$A$3,"Ativo",Tabela3[[#This Row],[PAPEL]]))</f>
        <v>0.67976520829611575</v>
      </c>
      <c r="J19" s="6">
        <f>[Patrimônio Líquido]/[Total Ações]</f>
        <v>46.877847730927996</v>
      </c>
      <c r="K19" s="52">
        <f>MAX(Tabela3[[#This Row],[Cotação 1]],Tabela3[[#This Row],[Cotação 2]])</f>
        <v>30</v>
      </c>
      <c r="L19" s="48">
        <f>[Cotação]/[VPA]</f>
        <v>0.63996112134233685</v>
      </c>
      <c r="M19" s="44">
        <f>IF(Tabela3[[#This Row],[Lucro/Ação Ano]]&gt;0,Tabela3[[#This Row],[Cotação]]/Tabela3[[#This Row],[Lucro/Ação Ano]],0)</f>
        <v>6.8528209717773443</v>
      </c>
      <c r="N19" s="6">
        <f>ROUND(Tabela3[[#This Row],[Lucro Prev]]/10%,2)</f>
        <v>29.76</v>
      </c>
      <c r="O19" s="61">
        <f>MIN(Tabela3[[#This Row],[10% Rent]],Tabela3[[#This Row],[VPA]]*3.5)</f>
        <v>29.76</v>
      </c>
      <c r="P19" s="19">
        <f>Tabela3[[#This Row],[P Compra]]/Tabela3[[#This Row],[Cotação]]-1</f>
        <v>-7.9999999999998961E-3</v>
      </c>
      <c r="Q19" s="6">
        <f>Tabela3[[#This Row],[Lucro/Ação Ano]]*Tabela3[[#This Row],[Payout]]</f>
        <v>2.975848388987516</v>
      </c>
      <c r="R19" s="15" t="str">
        <f>IF(AND([% Yield]&gt;=10%,[PVPA]&lt;=3.5,[PL]&lt;=15,[PL]&gt;0),"Sim","Não")</f>
        <v>Não</v>
      </c>
      <c r="S19" s="46">
        <f>Tabela3[[#This Row],[Lucro Prev]]/Tabela3[[#This Row],[Cotação]]</f>
        <v>9.9194946299583864E-2</v>
      </c>
      <c r="T19" s="14">
        <f>($Z$1/Tabela3[[#This Row],[Cotação]]-MOD($Z$1/Tabela3[[#This Row],[Cotação]],100))</f>
        <v>0</v>
      </c>
      <c r="U19" s="17">
        <f>Tabela3[[#This Row],[Ativos]]*Tabela3[[#This Row],[Lucro Prev]]</f>
        <v>0</v>
      </c>
      <c r="V19" s="5">
        <f>SUMPRODUCT(N(Tabela1[Código]=Tabela3[[#This Row],[PAPEL]]),Tabela1[Fechamento])</f>
        <v>30</v>
      </c>
      <c r="W19" s="5">
        <f>SUMPRODUCT(N(Tabela17[Código]=Tabela3[[#This Row],[PAPEL]]),Tabela17[Fechamento])</f>
        <v>0</v>
      </c>
    </row>
    <row r="20" spans="1:23" hidden="1">
      <c r="A20" s="4" t="s">
        <v>14</v>
      </c>
      <c r="B20" s="14" t="s">
        <v>24</v>
      </c>
      <c r="C20" s="15">
        <v>3</v>
      </c>
      <c r="D20" s="6">
        <v>63802635000</v>
      </c>
      <c r="E20" s="6">
        <v>12718352000</v>
      </c>
      <c r="F20" s="42">
        <v>2865417020</v>
      </c>
      <c r="G20" s="15">
        <f>Tabela3[[#This Row],[Lucro Líquido]]/Tabela3[[#This Row],[Total Ações]]</f>
        <v>4.4385692941825274</v>
      </c>
      <c r="H20" s="15">
        <f>Tabela3[[#This Row],[Lucro/Ação]]/Tabela3[[#This Row],[Ref]]*4</f>
        <v>5.9180923922433699</v>
      </c>
      <c r="I20" s="19">
        <f>IF(GETPIVOTDATA("Payout",'Tabela LL'!$A$3,"Ativo",Tabela3[[#This Row],[PAPEL]])&gt;1,1,GETPIVOTDATA("Payout",'Tabela LL'!$A$3,"Ativo",Tabela3[[#This Row],[PAPEL]]))</f>
        <v>0.40025891489587845</v>
      </c>
      <c r="J20" s="6">
        <f>[Patrimônio Líquido]/[Total Ações]</f>
        <v>22.266439598379993</v>
      </c>
      <c r="K20" s="52">
        <f>MAX(Tabela3[[#This Row],[Cotação 1]],Tabela3[[#This Row],[Cotação 2]])</f>
        <v>23.69</v>
      </c>
      <c r="L20" s="48">
        <f>[Cotação]/[VPA]</f>
        <v>1.063933005334341</v>
      </c>
      <c r="M20" s="44">
        <f>IF(Tabela3[[#This Row],[Lucro/Ação Ano]]&gt;0,Tabela3[[#This Row],[Cotação]]/Tabela3[[#This Row],[Lucro/Ação Ano]],0)</f>
        <v>4.0029790732989623</v>
      </c>
      <c r="N20" s="6">
        <f>ROUND(Tabela3[[#This Row],[Lucro Prev]]/10%,2)</f>
        <v>23.69</v>
      </c>
      <c r="O20" s="61">
        <f>MIN(Tabela3[[#This Row],[10% Rent]],Tabela3[[#This Row],[VPA]]*3.5)</f>
        <v>23.69</v>
      </c>
      <c r="P20" s="19">
        <f>Tabela3[[#This Row],[P Compra]]/Tabela3[[#This Row],[Cotação]]-1</f>
        <v>0</v>
      </c>
      <c r="Q20" s="6">
        <f>Tabela3[[#This Row],[Lucro/Ação Ano]]*Tabela3[[#This Row],[Payout]]</f>
        <v>2.3687692391728845</v>
      </c>
      <c r="R20" s="15" t="str">
        <f>IF(AND([% Yield]&gt;=10%,[PVPA]&lt;=3.5,[PL]&lt;=15,[PL]&gt;0),"Sim","Não")</f>
        <v>Não</v>
      </c>
      <c r="S20" s="46">
        <f>Tabela3[[#This Row],[Lucro Prev]]/Tabela3[[#This Row],[Cotação]]</f>
        <v>9.9990259146174945E-2</v>
      </c>
      <c r="T20" s="14">
        <f>($Z$1/Tabela3[[#This Row],[Cotação]]-MOD($Z$1/Tabela3[[#This Row],[Cotação]],100))</f>
        <v>0</v>
      </c>
      <c r="U20" s="17">
        <f>Tabela3[[#This Row],[Ativos]]*Tabela3[[#This Row],[Lucro Prev]]</f>
        <v>0</v>
      </c>
      <c r="V20" s="5">
        <f>SUMPRODUCT(N(Tabela1[Código]=Tabela3[[#This Row],[PAPEL]]),Tabela1[Fechamento])</f>
        <v>23.69</v>
      </c>
      <c r="W20" s="5">
        <f>SUMPRODUCT(N(Tabela17[Código]=Tabela3[[#This Row],[PAPEL]]),Tabela17[Fechamento])</f>
        <v>0</v>
      </c>
    </row>
    <row r="21" spans="1:23" hidden="1">
      <c r="A21" s="4" t="s">
        <v>708</v>
      </c>
      <c r="B21" s="71" t="s">
        <v>707</v>
      </c>
      <c r="C21" s="15">
        <v>3</v>
      </c>
      <c r="D21" s="5">
        <v>162348000</v>
      </c>
      <c r="E21" s="5">
        <v>18569000</v>
      </c>
      <c r="F21" s="21">
        <v>11759999</v>
      </c>
      <c r="G21" s="15">
        <f>Tabela3[[#This Row],[Lucro Líquido]]/Tabela3[[#This Row],[Total Ações]]</f>
        <v>1.5789967329078856</v>
      </c>
      <c r="H21" s="15">
        <f>Tabela3[[#This Row],[Lucro/Ação]]/Tabela3[[#This Row],[Ref]]*4</f>
        <v>2.1053289772105139</v>
      </c>
      <c r="I21" s="19">
        <f>IF(GETPIVOTDATA("Payout",'Tabela LL'!$A$3,"Ativo",Tabela3[[#This Row],[PAPEL]])&gt;1,1,GETPIVOTDATA("Payout",'Tabela LL'!$A$3,"Ativo",Tabela3[[#This Row],[PAPEL]]))</f>
        <v>0.3971899422750666</v>
      </c>
      <c r="J21" s="6">
        <f>[Patrimônio Líquido]/[Total Ações]</f>
        <v>13.805103214719662</v>
      </c>
      <c r="K21" s="52">
        <f>MAX(Tabela3[[#This Row],[Cotação 1]],Tabela3[[#This Row],[Cotação 2]])</f>
        <v>8.5</v>
      </c>
      <c r="L21" s="48">
        <f>[Cotação]/[VPA]</f>
        <v>0.61571433895089556</v>
      </c>
      <c r="M21" s="44">
        <f>IF(Tabela3[[#This Row],[Lucro/Ação Ano]]&gt;0,Tabela3[[#This Row],[Cotação]]/Tabela3[[#This Row],[Lucro/Ação Ano]],0)</f>
        <v>4.0373737748397867</v>
      </c>
      <c r="N21" s="17">
        <f>ROUND(Tabela3[[#This Row],[Lucro Prev]]/10%,2)</f>
        <v>8.36</v>
      </c>
      <c r="O21" s="13">
        <f>MIN(Tabela3[[#This Row],[10% Rent]],Tabela3[[#This Row],[VPA]]*3.5)</f>
        <v>8.36</v>
      </c>
      <c r="P21" s="19">
        <f>Tabela3[[#This Row],[P Compra]]/Tabela3[[#This Row],[Cotação]]-1</f>
        <v>-1.6470588235294237E-2</v>
      </c>
      <c r="Q21" s="6">
        <f>Tabela3[[#This Row],[Lucro/Ação Ano]]*Tabela3[[#This Row],[Payout]]</f>
        <v>0.83621549492826908</v>
      </c>
      <c r="R21" s="15" t="str">
        <f>IF(AND([% Yield]&gt;=10%,[PVPA]&lt;=3.5,[PL]&lt;=15,[PL]&gt;0),"Sim","Não")</f>
        <v>Não</v>
      </c>
      <c r="S21" s="46">
        <f>Tabela3[[#This Row],[Lucro Prev]]/Tabela3[[#This Row],[Cotação]]</f>
        <v>9.8378293520972826E-2</v>
      </c>
      <c r="T21" s="14">
        <f>($Z$1/Tabela3[[#This Row],[Cotação]]-MOD($Z$1/Tabela3[[#This Row],[Cotação]],100))</f>
        <v>100</v>
      </c>
      <c r="U21" s="17">
        <f>Tabela3[[#This Row],[Ativos]]*Tabela3[[#This Row],[Lucro Prev]]</f>
        <v>83.621549492826901</v>
      </c>
      <c r="V21" s="13">
        <f>SUMPRODUCT(N(Tabela1[Código]=Tabela3[[#This Row],[PAPEL]]),Tabela1[Fechamento])</f>
        <v>0</v>
      </c>
      <c r="W21" s="61">
        <f>SUMPRODUCT(N(Tabela17[Código]=Tabela3[[#This Row],[PAPEL]]),Tabela17[Fechamento])</f>
        <v>8.5</v>
      </c>
    </row>
    <row r="22" spans="1:23" hidden="1">
      <c r="A22" s="4" t="s">
        <v>495</v>
      </c>
      <c r="B22" s="71" t="s">
        <v>494</v>
      </c>
      <c r="C22" s="15">
        <v>3</v>
      </c>
      <c r="D22" s="6">
        <v>502819000</v>
      </c>
      <c r="E22" s="6">
        <v>76981000</v>
      </c>
      <c r="F22" s="42">
        <v>89500000</v>
      </c>
      <c r="G22" s="73">
        <f>Tabela3[[#This Row],[Lucro Líquido]]/Tabela3[[#This Row],[Total Ações]]</f>
        <v>0.86012290502793298</v>
      </c>
      <c r="H22" s="15">
        <f>Tabela3[[#This Row],[Lucro/Ação]]/Tabela3[[#This Row],[Ref]]*4</f>
        <v>1.1468305400372441</v>
      </c>
      <c r="I22" s="19">
        <f>IF(GETPIVOTDATA("Payout",'Tabela LL'!$A$3,"Ativo",Tabela3[[#This Row],[PAPEL]])&gt;1,1,GETPIVOTDATA("Payout",'Tabela LL'!$A$3,"Ativo",Tabela3[[#This Row],[PAPEL]]))</f>
        <v>0.72124852747572954</v>
      </c>
      <c r="J22" s="6">
        <f>[Patrimônio Líquido]/[Total Ações]</f>
        <v>5.6180893854748604</v>
      </c>
      <c r="K22" s="52">
        <f>MAX(Tabela3[[#This Row],[Cotação 1]],Tabela3[[#This Row],[Cotação 2]])</f>
        <v>8.65</v>
      </c>
      <c r="L22" s="48">
        <f>[Cotação]/[VPA]</f>
        <v>1.5396693442371907</v>
      </c>
      <c r="M22" s="44">
        <f>IF(Tabela3[[#This Row],[Lucro/Ação Ano]]&gt;0,Tabela3[[#This Row],[Cotação]]/Tabela3[[#This Row],[Lucro/Ação Ano]],0)</f>
        <v>7.5425267273742866</v>
      </c>
      <c r="N22" s="17">
        <f>ROUND(Tabela3[[#This Row],[Lucro Prev]]/10%,2)</f>
        <v>8.27</v>
      </c>
      <c r="O22" s="13">
        <f>MIN(Tabela3[[#This Row],[10% Rent]],Tabela3[[#This Row],[VPA]]*3.5)</f>
        <v>8.27</v>
      </c>
      <c r="P22" s="19">
        <f>Tabela3[[#This Row],[P Compra]]/Tabela3[[#This Row],[Cotação]]-1</f>
        <v>-4.3930635838150378E-2</v>
      </c>
      <c r="Q22" s="6">
        <f>Tabela3[[#This Row],[Lucro/Ação Ano]]*Tabela3[[#This Row],[Payout]]</f>
        <v>0.82714983826605792</v>
      </c>
      <c r="R22" s="15" t="str">
        <f>IF(AND([% Yield]&gt;=10%,[PVPA]&lt;=3.5,[PL]&lt;=15,[PL]&gt;0),"Sim","Não")</f>
        <v>Não</v>
      </c>
      <c r="S22" s="46">
        <f>Tabela3[[#This Row],[Lucro Prev]]/Tabela3[[#This Row],[Cotação]]</f>
        <v>9.5624258759081843E-2</v>
      </c>
      <c r="T22" s="14">
        <f>($Z$1/Tabela3[[#This Row],[Cotação]]-MOD($Z$1/Tabela3[[#This Row],[Cotação]],100))</f>
        <v>100</v>
      </c>
      <c r="U22" s="17">
        <f>Tabela3[[#This Row],[Ativos]]*Tabela3[[#This Row],[Lucro Prev]]</f>
        <v>82.714983826605788</v>
      </c>
      <c r="V22" s="13">
        <f>SUMPRODUCT(N(Tabela1[Código]=Tabela3[[#This Row],[PAPEL]]),Tabela1[Fechamento])</f>
        <v>0</v>
      </c>
      <c r="W22" s="61">
        <f>SUMPRODUCT(N(Tabela17[Código]=Tabela3[[#This Row],[PAPEL]]),Tabela17[Fechamento])</f>
        <v>8.65</v>
      </c>
    </row>
    <row r="23" spans="1:23" hidden="1">
      <c r="A23" s="4" t="s">
        <v>14</v>
      </c>
      <c r="B23" s="14" t="s">
        <v>78</v>
      </c>
      <c r="C23" s="15">
        <v>3</v>
      </c>
      <c r="D23" s="6">
        <v>1277111000</v>
      </c>
      <c r="E23" s="6">
        <v>116149000</v>
      </c>
      <c r="F23" s="42">
        <v>110842313</v>
      </c>
      <c r="G23" s="15">
        <f>Tabela3[[#This Row],[Lucro Líquido]]/Tabela3[[#This Row],[Total Ações]]</f>
        <v>1.0478760038145361</v>
      </c>
      <c r="H23" s="15">
        <f>Tabela3[[#This Row],[Lucro/Ação]]/Tabela3[[#This Row],[Ref]]*4</f>
        <v>1.397168005086048</v>
      </c>
      <c r="I23" s="19">
        <f>IF(GETPIVOTDATA("Payout",'Tabela LL'!$A$3,"Ativo",Tabela3[[#This Row],[PAPEL]])&gt;1,1,GETPIVOTDATA("Payout",'Tabela LL'!$A$3,"Ativo",Tabela3[[#This Row],[PAPEL]]))</f>
        <v>0.66880124529726692</v>
      </c>
      <c r="J23" s="6">
        <f>[Patrimônio Líquido]/[Total Ações]</f>
        <v>11.521872518124013</v>
      </c>
      <c r="K23" s="52">
        <f>MAX(Tabela3[[#This Row],[Cotação 1]],Tabela3[[#This Row],[Cotação 2]])</f>
        <v>10.199999999999999</v>
      </c>
      <c r="L23" s="48">
        <f>[Cotação]/[VPA]</f>
        <v>0.88527277002547144</v>
      </c>
      <c r="M23" s="44">
        <f>IF(Tabela3[[#This Row],[Lucro/Ação Ano]]&gt;0,Tabela3[[#This Row],[Cotação]]/Tabela3[[#This Row],[Lucro/Ação Ano]],0)</f>
        <v>7.3004820915375941</v>
      </c>
      <c r="N23" s="6">
        <f>ROUND(Tabela3[[#This Row],[Lucro Prev]]/10%,2)</f>
        <v>9.34</v>
      </c>
      <c r="O23" s="61">
        <f>MIN(Tabela3[[#This Row],[10% Rent]],Tabela3[[#This Row],[VPA]]*3.5)</f>
        <v>9.34</v>
      </c>
      <c r="P23" s="19">
        <f>Tabela3[[#This Row],[P Compra]]/Tabela3[[#This Row],[Cotação]]-1</f>
        <v>-8.4313725490196001E-2</v>
      </c>
      <c r="Q23" s="6">
        <f>Tabela3[[#This Row],[Lucro/Ação Ano]]*Tabela3[[#This Row],[Payout]]</f>
        <v>0.93442770169104705</v>
      </c>
      <c r="R23" s="15" t="str">
        <f>IF(AND([% Yield]&gt;=10%,[PVPA]&lt;=3.5,[PL]&lt;=15,[PL]&gt;0),"Sim","Não")</f>
        <v>Não</v>
      </c>
      <c r="S23" s="46">
        <f>Tabela3[[#This Row],[Lucro Prev]]/Tabela3[[#This Row],[Cotação]]</f>
        <v>9.1610558989318344E-2</v>
      </c>
      <c r="T23" s="14">
        <f>($Z$1/Tabela3[[#This Row],[Cotação]]-MOD($Z$1/Tabela3[[#This Row],[Cotação]],100))</f>
        <v>0</v>
      </c>
      <c r="U23" s="17">
        <f>Tabela3[[#This Row],[Ativos]]*Tabela3[[#This Row],[Lucro Prev]]</f>
        <v>0</v>
      </c>
      <c r="V23" s="5">
        <f>SUMPRODUCT(N(Tabela1[Código]=Tabela3[[#This Row],[PAPEL]]),Tabela1[Fechamento])</f>
        <v>10.199999999999999</v>
      </c>
      <c r="W23" s="5">
        <f>SUMPRODUCT(N(Tabela17[Código]=Tabela3[[#This Row],[PAPEL]]),Tabela17[Fechamento])</f>
        <v>0</v>
      </c>
    </row>
    <row r="24" spans="1:23" hidden="1">
      <c r="A24" s="4" t="s">
        <v>12</v>
      </c>
      <c r="B24" s="14" t="s">
        <v>68</v>
      </c>
      <c r="C24" s="15">
        <v>3</v>
      </c>
      <c r="D24" s="6">
        <v>463367000</v>
      </c>
      <c r="E24" s="6">
        <v>59974000</v>
      </c>
      <c r="F24" s="42">
        <v>108480828</v>
      </c>
      <c r="G24" s="15">
        <f>Tabela3[[#This Row],[Lucro Líquido]]/Tabela3[[#This Row],[Total Ações]]</f>
        <v>0.55285344982801943</v>
      </c>
      <c r="H24" s="15">
        <f>Tabela3[[#This Row],[Lucro/Ação]]/Tabela3[[#This Row],[Ref]]*4</f>
        <v>0.73713793310402587</v>
      </c>
      <c r="I24" s="19">
        <f>IF(GETPIVOTDATA("Payout",'Tabela LL'!$A$3,"Ativo",Tabela3[[#This Row],[PAPEL]])&gt;1,1,GETPIVOTDATA("Payout",'Tabela LL'!$A$3,"Ativo",Tabela3[[#This Row],[PAPEL]]))</f>
        <v>0.74003580825491566</v>
      </c>
      <c r="J24" s="6">
        <f>[Patrimônio Líquido]/[Total Ações]</f>
        <v>4.2714183560619574</v>
      </c>
      <c r="K24" s="52">
        <f>MAX(Tabela3[[#This Row],[Cotação 1]],Tabela3[[#This Row],[Cotação 2]])</f>
        <v>5.95</v>
      </c>
      <c r="L24" s="48">
        <f>[Cotação]/[VPA]</f>
        <v>1.3929799200202002</v>
      </c>
      <c r="M24" s="44">
        <f>IF(Tabela3[[#This Row],[Lucro/Ação Ano]]&gt;0,Tabela3[[#This Row],[Cotação]]/Tabela3[[#This Row],[Lucro/Ação Ano]],0)</f>
        <v>8.071759344882782</v>
      </c>
      <c r="N24" s="6">
        <f>ROUND(Tabela3[[#This Row],[Lucro Prev]]/10%,2)</f>
        <v>5.46</v>
      </c>
      <c r="O24" s="17">
        <f>MIN(Tabela3[[#This Row],[10% Rent]],Tabela3[[#This Row],[VPA]]*3.5)</f>
        <v>5.46</v>
      </c>
      <c r="P24" s="19">
        <f>Tabela3[[#This Row],[P Compra]]/Tabela3[[#This Row],[Cotação]]-1</f>
        <v>-8.2352941176470629E-2</v>
      </c>
      <c r="Q24" s="6">
        <f>Tabela3[[#This Row],[Lucro/Ação Ano]]*Tabela3[[#This Row],[Payout]]</f>
        <v>0.54550846611999571</v>
      </c>
      <c r="R24" s="14" t="str">
        <f>IF(AND([% Yield]&gt;=10%,[PVPA]&lt;=3.5,[PL]&lt;=15,[PL]&gt;0),"Sim","Não")</f>
        <v>Não</v>
      </c>
      <c r="S24" s="46">
        <f>Tabela3[[#This Row],[Lucro Prev]]/Tabela3[[#This Row],[Cotação]]</f>
        <v>9.1682095146217765E-2</v>
      </c>
      <c r="T24" s="14">
        <f>($Z$1/Tabela3[[#This Row],[Cotação]]-MOD($Z$1/Tabela3[[#This Row],[Cotação]],100))</f>
        <v>100</v>
      </c>
      <c r="U24" s="17">
        <f>Tabela3[[#This Row],[Ativos]]*Tabela3[[#This Row],[Lucro Prev]]</f>
        <v>54.550846611999567</v>
      </c>
      <c r="V24" s="5">
        <f>SUMPRODUCT(N(Tabela1[Código]=Tabela3[[#This Row],[PAPEL]]),Tabela1[Fechamento])</f>
        <v>5.95</v>
      </c>
      <c r="W24" s="5">
        <f>SUMPRODUCT(N(Tabela17[Código]=Tabela3[[#This Row],[PAPEL]]),Tabela17[Fechamento])</f>
        <v>0</v>
      </c>
    </row>
    <row r="25" spans="1:23" hidden="1">
      <c r="A25" s="4" t="s">
        <v>12</v>
      </c>
      <c r="B25" s="14" t="s">
        <v>74</v>
      </c>
      <c r="C25" s="15">
        <v>3</v>
      </c>
      <c r="D25" s="6">
        <v>1927248000</v>
      </c>
      <c r="E25" s="6">
        <v>149553000</v>
      </c>
      <c r="F25" s="42">
        <v>38571591</v>
      </c>
      <c r="G25" s="15">
        <f>Tabela3[[#This Row],[Lucro Líquido]]/Tabela3[[#This Row],[Total Ações]]</f>
        <v>3.8772836723276467</v>
      </c>
      <c r="H25" s="15">
        <f>Tabela3[[#This Row],[Lucro/Ação]]/Tabela3[[#This Row],[Ref]]*4</f>
        <v>5.1697115631035286</v>
      </c>
      <c r="I25" s="19">
        <f>IF(GETPIVOTDATA("Payout",'Tabela LL'!$A$3,"Ativo",Tabela3[[#This Row],[PAPEL]])&gt;1,1,GETPIVOTDATA("Payout",'Tabela LL'!$A$3,"Ativo",Tabela3[[#This Row],[PAPEL]]))</f>
        <v>0.29963156324701223</v>
      </c>
      <c r="J25" s="6">
        <f>[Patrimônio Líquido]/[Total Ações]</f>
        <v>49.965478478707297</v>
      </c>
      <c r="K25" s="52">
        <f>MAX(Tabela3[[#This Row],[Cotação 1]],Tabela3[[#This Row],[Cotação 2]])</f>
        <v>16.88</v>
      </c>
      <c r="L25" s="48">
        <f>[Cotação]/[VPA]</f>
        <v>0.33783325035491019</v>
      </c>
      <c r="M25" s="44">
        <f>IF(Tabela3[[#This Row],[Lucro/Ação Ano]]&gt;0,Tabela3[[#This Row],[Cotação]]/Tabela3[[#This Row],[Lucro/Ação Ano]],0)</f>
        <v>3.2651724944334113</v>
      </c>
      <c r="N25" s="6">
        <f>ROUND(Tabela3[[#This Row],[Lucro Prev]]/10%,2)</f>
        <v>15.49</v>
      </c>
      <c r="O25" s="17">
        <f>MIN(Tabela3[[#This Row],[10% Rent]],Tabela3[[#This Row],[VPA]]*3.5)</f>
        <v>15.49</v>
      </c>
      <c r="P25" s="19">
        <f>Tabela3[[#This Row],[P Compra]]/Tabela3[[#This Row],[Cotação]]-1</f>
        <v>-8.2345971563980935E-2</v>
      </c>
      <c r="Q25" s="6">
        <f>Tabela3[[#This Row],[Lucro/Ação Ano]]*Tabela3[[#This Row],[Payout]]</f>
        <v>1.5490087571888653</v>
      </c>
      <c r="R25" s="14" t="str">
        <f>IF(AND([% Yield]&gt;=10%,[PVPA]&lt;=3.5,[PL]&lt;=15,[PL]&gt;0),"Sim","Não")</f>
        <v>Não</v>
      </c>
      <c r="S25" s="46">
        <f>Tabela3[[#This Row],[Lucro Prev]]/Tabela3[[#This Row],[Cotação]]</f>
        <v>9.1765921634411454E-2</v>
      </c>
      <c r="T25" s="14">
        <f>($Z$1/Tabela3[[#This Row],[Cotação]]-MOD($Z$1/Tabela3[[#This Row],[Cotação]],100))</f>
        <v>0</v>
      </c>
      <c r="U25" s="17">
        <f>Tabela3[[#This Row],[Ativos]]*Tabela3[[#This Row],[Lucro Prev]]</f>
        <v>0</v>
      </c>
      <c r="V25" s="5">
        <f>SUMPRODUCT(N(Tabela1[Código]=Tabela3[[#This Row],[PAPEL]]),Tabela1[Fechamento])</f>
        <v>16.88</v>
      </c>
      <c r="W25" s="5">
        <f>SUMPRODUCT(N(Tabela17[Código]=Tabela3[[#This Row],[PAPEL]]),Tabela17[Fechamento])</f>
        <v>0</v>
      </c>
    </row>
    <row r="26" spans="1:23" hidden="1">
      <c r="A26" s="4" t="s">
        <v>12</v>
      </c>
      <c r="B26" s="14" t="s">
        <v>71</v>
      </c>
      <c r="C26" s="15">
        <v>3</v>
      </c>
      <c r="D26" s="6">
        <v>884793000</v>
      </c>
      <c r="E26" s="6">
        <v>154604000</v>
      </c>
      <c r="F26" s="42">
        <v>168074028</v>
      </c>
      <c r="G26" s="15">
        <f>Tabela3[[#This Row],[Lucro Líquido]]/Tabela3[[#This Row],[Total Ações]]</f>
        <v>0.91985657653186015</v>
      </c>
      <c r="H26" s="15">
        <f>Tabela3[[#This Row],[Lucro/Ação]]/Tabela3[[#This Row],[Ref]]*4</f>
        <v>1.2264754353758136</v>
      </c>
      <c r="I26" s="19">
        <f>IF(GETPIVOTDATA("Payout",'Tabela LL'!$A$3,"Ativo",Tabela3[[#This Row],[PAPEL]])&gt;1,1,GETPIVOTDATA("Payout",'Tabela LL'!$A$3,"Ativo",Tabela3[[#This Row],[PAPEL]]))</f>
        <v>0.65697940671349686</v>
      </c>
      <c r="J26" s="6">
        <f>[Patrimônio Líquido]/[Total Ações]</f>
        <v>5.2643053214622784</v>
      </c>
      <c r="K26" s="52">
        <f>MAX(Tabela3[[#This Row],[Cotação 1]],Tabela3[[#This Row],[Cotação 2]])</f>
        <v>9</v>
      </c>
      <c r="L26" s="48">
        <f>[Cotação]/[VPA]</f>
        <v>1.7096272823134904</v>
      </c>
      <c r="M26" s="44">
        <f>IF(Tabela3[[#This Row],[Lucro/Ação Ano]]&gt;0,Tabela3[[#This Row],[Cotação]]/Tabela3[[#This Row],[Lucro/Ação Ano]],0)</f>
        <v>7.3381004954593667</v>
      </c>
      <c r="N26" s="6">
        <f>ROUND(Tabela3[[#This Row],[Lucro Prev]]/10%,2)</f>
        <v>8.06</v>
      </c>
      <c r="O26" s="17">
        <f>MIN(Tabela3[[#This Row],[10% Rent]],Tabela3[[#This Row],[VPA]]*3.5)</f>
        <v>8.06</v>
      </c>
      <c r="P26" s="19">
        <f>Tabela3[[#This Row],[P Compra]]/Tabela3[[#This Row],[Cotação]]-1</f>
        <v>-0.10444444444444434</v>
      </c>
      <c r="Q26" s="6">
        <f>Tabela3[[#This Row],[Lucro/Ação Ano]]*Tabela3[[#This Row],[Payout]]</f>
        <v>0.80576910388187983</v>
      </c>
      <c r="R26" s="14" t="str">
        <f>IF(AND([% Yield]&gt;=10%,[PVPA]&lt;=3.5,[PL]&lt;=15,[PL]&gt;0),"Sim","Não")</f>
        <v>Não</v>
      </c>
      <c r="S26" s="46">
        <f>Tabela3[[#This Row],[Lucro Prev]]/Tabela3[[#This Row],[Cotação]]</f>
        <v>8.9529900431319975E-2</v>
      </c>
      <c r="T26" s="14">
        <f>($Z$1/Tabela3[[#This Row],[Cotação]]-MOD($Z$1/Tabela3[[#This Row],[Cotação]],100))</f>
        <v>100</v>
      </c>
      <c r="U26" s="17">
        <f>Tabela3[[#This Row],[Ativos]]*Tabela3[[#This Row],[Lucro Prev]]</f>
        <v>80.576910388187983</v>
      </c>
      <c r="V26" s="5">
        <f>SUMPRODUCT(N(Tabela1[Código]=Tabela3[[#This Row],[PAPEL]]),Tabela1[Fechamento])</f>
        <v>9</v>
      </c>
      <c r="W26" s="5">
        <f>SUMPRODUCT(N(Tabela17[Código]=Tabela3[[#This Row],[PAPEL]]),Tabela17[Fechamento])</f>
        <v>0</v>
      </c>
    </row>
    <row r="27" spans="1:23" hidden="1">
      <c r="A27" s="4" t="s">
        <v>12</v>
      </c>
      <c r="B27" s="71" t="s">
        <v>196</v>
      </c>
      <c r="C27" s="15">
        <v>3</v>
      </c>
      <c r="D27" s="6">
        <v>20809000</v>
      </c>
      <c r="E27" s="6">
        <v>1860000</v>
      </c>
      <c r="F27" s="42">
        <v>166355563</v>
      </c>
      <c r="G27" s="6">
        <f>Tabela3[[#This Row],[Lucro Líquido]]/Tabela3[[#This Row],[Total Ações]]</f>
        <v>1.1180870458777505E-2</v>
      </c>
      <c r="H27" s="6">
        <f>Tabela3[[#This Row],[Lucro/Ação]]/Tabela3[[#This Row],[Ref]]*4</f>
        <v>1.4907827278370006E-2</v>
      </c>
      <c r="I27" s="19">
        <f>IF(GETPIVOTDATA("Payout",'Tabela LL'!$A$3,"Ativo",Tabela3[[#This Row],[PAPEL]])&gt;1,1,GETPIVOTDATA("Payout",'Tabela LL'!$A$3,"Ativo",Tabela3[[#This Row],[PAPEL]]))</f>
        <v>0.8237247935120684</v>
      </c>
      <c r="J27" s="6">
        <f>[Patrimônio Líquido]/[Total Ações]</f>
        <v>0.12508749106274253</v>
      </c>
      <c r="K27" s="52">
        <f>MAX(Tabela3[[#This Row],[Cotação 1]],Tabela3[[#This Row],[Cotação 2]])</f>
        <v>0.15</v>
      </c>
      <c r="L27" s="48">
        <f>[Cotação]/[VPA]</f>
        <v>1.1991606732663749</v>
      </c>
      <c r="M27" s="44">
        <f>IF(Tabela3[[#This Row],[Lucro/Ação Ano]]&gt;0,Tabela3[[#This Row],[Cotação]]/Tabela3[[#This Row],[Lucro/Ação Ano]],0)</f>
        <v>10.061828407258064</v>
      </c>
      <c r="N27" s="6">
        <f>ROUND(Tabela3[[#This Row],[Lucro Prev]]/10%,2)</f>
        <v>0.12</v>
      </c>
      <c r="O27" s="61">
        <f>MIN(Tabela3[[#This Row],[10% Rent]],Tabela3[[#This Row],[VPA]]*3.5)</f>
        <v>0.12</v>
      </c>
      <c r="P27" s="19">
        <f>Tabela3[[#This Row],[P Compra]]/Tabela3[[#This Row],[Cotação]]-1</f>
        <v>-0.19999999999999996</v>
      </c>
      <c r="Q27" s="6">
        <f>Tabela3[[#This Row],[Lucro/Ação Ano]]*Tabela3[[#This Row],[Payout]]</f>
        <v>1.2279946946588913E-2</v>
      </c>
      <c r="R27" s="15" t="str">
        <f>IF(AND([% Yield]&gt;=10%,[PVPA]&lt;=3.5,[PL]&lt;=15,[PL]&gt;0),"Sim","Não")</f>
        <v>Não</v>
      </c>
      <c r="S27" s="46">
        <f>Tabela3[[#This Row],[Lucro Prev]]/Tabela3[[#This Row],[Cotação]]</f>
        <v>8.1866312977259423E-2</v>
      </c>
      <c r="T27" s="14">
        <f>($Z$1/Tabela3[[#This Row],[Cotação]]-MOD($Z$1/Tabela3[[#This Row],[Cotação]],100))</f>
        <v>6600</v>
      </c>
      <c r="U27" s="17">
        <f>Tabela3[[#This Row],[Ativos]]*Tabela3[[#This Row],[Lucro Prev]]</f>
        <v>81.047649847486824</v>
      </c>
      <c r="V27" s="5">
        <f>SUMPRODUCT(N(Tabela1[Código]=Tabela3[[#This Row],[PAPEL]]),Tabela1[Fechamento])</f>
        <v>0.15</v>
      </c>
      <c r="W27" s="5">
        <f>SUMPRODUCT(N(Tabela17[Código]=Tabela3[[#This Row],[PAPEL]]),Tabela17[Fechamento])</f>
        <v>0</v>
      </c>
    </row>
    <row r="28" spans="1:23" hidden="1">
      <c r="A28" s="4" t="s">
        <v>14</v>
      </c>
      <c r="B28" s="14" t="s">
        <v>243</v>
      </c>
      <c r="C28" s="15">
        <v>3</v>
      </c>
      <c r="D28" s="6">
        <v>2513911000</v>
      </c>
      <c r="E28" s="6">
        <v>303723000</v>
      </c>
      <c r="F28" s="42">
        <v>87001901</v>
      </c>
      <c r="G28" s="15">
        <f>Tabela3[[#This Row],[Lucro Líquido]]/Tabela3[[#This Row],[Total Ações]]</f>
        <v>3.4909926853207494</v>
      </c>
      <c r="H28" s="15">
        <f>Tabela3[[#This Row],[Lucro/Ação]]/Tabela3[[#This Row],[Ref]]*4</f>
        <v>4.6546569137609994</v>
      </c>
      <c r="I28" s="19">
        <f>IF(GETPIVOTDATA("Payout",'Tabela LL'!$A$3,"Ativo",Tabela3[[#This Row],[PAPEL]])&gt;1,1,GETPIVOTDATA("Payout",'Tabela LL'!$A$3,"Ativo",Tabela3[[#This Row],[PAPEL]]))</f>
        <v>0.50160075598307408</v>
      </c>
      <c r="J28" s="6">
        <f>[Patrimônio Líquido]/[Total Ações]</f>
        <v>28.894897365518485</v>
      </c>
      <c r="K28" s="52">
        <f>MAX(Tabela3[[#This Row],[Cotação 1]],Tabela3[[#This Row],[Cotação 2]])</f>
        <v>28.74</v>
      </c>
      <c r="L28" s="48">
        <f>[Cotação]/[VPA]</f>
        <v>0.99463928306928917</v>
      </c>
      <c r="M28" s="44">
        <f>IF(Tabela3[[#This Row],[Lucro/Ação Ano]]&gt;0,Tabela3[[#This Row],[Cotação]]/Tabela3[[#This Row],[Lucro/Ação Ano]],0)</f>
        <v>6.174461519394316</v>
      </c>
      <c r="N28" s="6">
        <f>ROUND(Tabela3[[#This Row],[Lucro Prev]]/10%,2)</f>
        <v>23.35</v>
      </c>
      <c r="O28" s="61">
        <f>MIN(Tabela3[[#This Row],[10% Rent]],Tabela3[[#This Row],[VPA]]*3.5)</f>
        <v>23.35</v>
      </c>
      <c r="P28" s="19">
        <f>Tabela3[[#This Row],[P Compra]]/Tabela3[[#This Row],[Cotação]]-1</f>
        <v>-0.18754349338900478</v>
      </c>
      <c r="Q28" s="6">
        <f>Tabela3[[#This Row],[Lucro/Ação Ano]]*Tabela3[[#This Row],[Payout]]</f>
        <v>2.3347794267843596</v>
      </c>
      <c r="R28" s="15" t="str">
        <f>IF(AND([% Yield]&gt;=10%,[PVPA]&lt;=3.5,[PL]&lt;=15,[PL]&gt;0),"Sim","Não")</f>
        <v>Não</v>
      </c>
      <c r="S28" s="46">
        <f>Tabela3[[#This Row],[Lucro Prev]]/Tabela3[[#This Row],[Cotação]]</f>
        <v>8.1237975879761989E-2</v>
      </c>
      <c r="T28" s="14">
        <f>($Z$1/Tabela3[[#This Row],[Cotação]]-MOD($Z$1/Tabela3[[#This Row],[Cotação]],100))</f>
        <v>0</v>
      </c>
      <c r="U28" s="17">
        <f>Tabela3[[#This Row],[Ativos]]*Tabela3[[#This Row],[Lucro Prev]]</f>
        <v>0</v>
      </c>
      <c r="V28" s="5">
        <f>SUMPRODUCT(N(Tabela1[Código]=Tabela3[[#This Row],[PAPEL]]),Tabela1[Fechamento])</f>
        <v>28.74</v>
      </c>
      <c r="W28" s="5">
        <f>SUMPRODUCT(N(Tabela17[Código]=Tabela3[[#This Row],[PAPEL]]),Tabela17[Fechamento])</f>
        <v>0</v>
      </c>
    </row>
    <row r="29" spans="1:23" hidden="1">
      <c r="A29" s="4" t="s">
        <v>12</v>
      </c>
      <c r="B29" s="14" t="s">
        <v>195</v>
      </c>
      <c r="C29" s="15">
        <v>3</v>
      </c>
      <c r="D29" s="6">
        <v>20809000</v>
      </c>
      <c r="E29" s="6">
        <v>1860000</v>
      </c>
      <c r="F29" s="42">
        <v>166355563</v>
      </c>
      <c r="G29" s="15">
        <f>Tabela3[[#This Row],[Lucro Líquido]]/Tabela3[[#This Row],[Total Ações]]</f>
        <v>1.1180870458777505E-2</v>
      </c>
      <c r="H29" s="15">
        <f>Tabela3[[#This Row],[Lucro/Ação]]/Tabela3[[#This Row],[Ref]]*4</f>
        <v>1.4907827278370006E-2</v>
      </c>
      <c r="I29" s="19">
        <f>IF(GETPIVOTDATA("Payout",'Tabela LL'!$A$3,"Ativo",Tabela3[[#This Row],[PAPEL]])&gt;1,1,GETPIVOTDATA("Payout",'Tabela LL'!$A$3,"Ativo",Tabela3[[#This Row],[PAPEL]]))</f>
        <v>0.74850005072085457</v>
      </c>
      <c r="J29" s="6">
        <f>[Patrimônio Líquido]/[Total Ações]</f>
        <v>0.12508749106274253</v>
      </c>
      <c r="K29" s="52">
        <f>MAX(Tabela3[[#This Row],[Cotação 1]],Tabela3[[#This Row],[Cotação 2]])</f>
        <v>0.13</v>
      </c>
      <c r="L29" s="48">
        <f>[Cotação]/[VPA]</f>
        <v>1.0392725834975252</v>
      </c>
      <c r="M29" s="44">
        <f>IF(Tabela3[[#This Row],[Lucro/Ação Ano]]&gt;0,Tabela3[[#This Row],[Cotação]]/Tabela3[[#This Row],[Lucro/Ação Ano]],0)</f>
        <v>8.7202512862903223</v>
      </c>
      <c r="N29" s="6">
        <f>ROUND(Tabela3[[#This Row],[Lucro Prev]]/10%,2)</f>
        <v>0.11</v>
      </c>
      <c r="O29" s="61">
        <f>MIN(Tabela3[[#This Row],[10% Rent]],Tabela3[[#This Row],[VPA]]*3.5)</f>
        <v>0.11</v>
      </c>
      <c r="P29" s="19">
        <f>Tabela3[[#This Row],[P Compra]]/Tabela3[[#This Row],[Cotação]]-1</f>
        <v>-0.15384615384615385</v>
      </c>
      <c r="Q29" s="6">
        <f>Tabela3[[#This Row],[Lucro/Ação Ano]]*Tabela3[[#This Row],[Payout]]</f>
        <v>1.1158509473997689E-2</v>
      </c>
      <c r="R29" s="15" t="str">
        <f>IF(AND([% Yield]&gt;=10%,[PVPA]&lt;=3.5,[PL]&lt;=15,[PL]&gt;0),"Sim","Não")</f>
        <v>Não</v>
      </c>
      <c r="S29" s="46">
        <f>Tabela3[[#This Row],[Lucro Prev]]/Tabela3[[#This Row],[Cotação]]</f>
        <v>8.5834688261520686E-2</v>
      </c>
      <c r="T29" s="14">
        <f>($Z$1/Tabela3[[#This Row],[Cotação]]-MOD($Z$1/Tabela3[[#This Row],[Cotação]],100))</f>
        <v>7600</v>
      </c>
      <c r="U29" s="17">
        <f>Tabela3[[#This Row],[Ativos]]*Tabela3[[#This Row],[Lucro Prev]]</f>
        <v>84.804672002382432</v>
      </c>
      <c r="V29" s="5">
        <f>SUMPRODUCT(N(Tabela1[Código]=Tabela3[[#This Row],[PAPEL]]),Tabela1[Fechamento])</f>
        <v>0.13</v>
      </c>
      <c r="W29" s="5">
        <f>SUMPRODUCT(N(Tabela17[Código]=Tabela3[[#This Row],[PAPEL]]),Tabela17[Fechamento])</f>
        <v>0</v>
      </c>
    </row>
    <row r="30" spans="1:23" hidden="1">
      <c r="A30" s="4" t="s">
        <v>12</v>
      </c>
      <c r="B30" s="14" t="s">
        <v>104</v>
      </c>
      <c r="C30" s="15">
        <v>3</v>
      </c>
      <c r="D30" s="6">
        <v>884793000</v>
      </c>
      <c r="E30" s="6">
        <v>154604000</v>
      </c>
      <c r="F30" s="42">
        <v>168074028</v>
      </c>
      <c r="G30" s="15">
        <f>Tabela3[[#This Row],[Lucro Líquido]]/Tabela3[[#This Row],[Total Ações]]</f>
        <v>0.91985657653186015</v>
      </c>
      <c r="H30" s="15">
        <f>Tabela3[[#This Row],[Lucro/Ação]]/Tabela3[[#This Row],[Ref]]*4</f>
        <v>1.2264754353758136</v>
      </c>
      <c r="I30" s="19">
        <f>IF(GETPIVOTDATA("Payout",'Tabela LL'!$A$3,"Ativo",Tabela3[[#This Row],[PAPEL]])&gt;1,1,GETPIVOTDATA("Payout",'Tabela LL'!$A$3,"Ativo",Tabela3[[#This Row],[PAPEL]]))</f>
        <v>0.65697940671349686</v>
      </c>
      <c r="J30" s="6">
        <f>[Patrimônio Líquido]/[Total Ações]</f>
        <v>5.2643053214622784</v>
      </c>
      <c r="K30" s="52">
        <f>MAX(Tabela3[[#This Row],[Cotação 1]],Tabela3[[#This Row],[Cotação 2]])</f>
        <v>10.119999999999999</v>
      </c>
      <c r="L30" s="48">
        <f>[Cotação]/[VPA]</f>
        <v>1.9223808996680578</v>
      </c>
      <c r="M30" s="44">
        <f>IF(Tabela3[[#This Row],[Lucro/Ação Ano]]&gt;0,Tabela3[[#This Row],[Cotação]]/Tabela3[[#This Row],[Lucro/Ação Ano]],0)</f>
        <v>8.25128633489431</v>
      </c>
      <c r="N30" s="6">
        <f>ROUND(Tabela3[[#This Row],[Lucro Prev]]/10%,2)</f>
        <v>8.06</v>
      </c>
      <c r="O30" s="61">
        <f>MIN(Tabela3[[#This Row],[10% Rent]],Tabela3[[#This Row],[VPA]]*3.5)</f>
        <v>8.06</v>
      </c>
      <c r="P30" s="19">
        <f>Tabela3[[#This Row],[P Compra]]/Tabela3[[#This Row],[Cotação]]-1</f>
        <v>-0.20355731225296436</v>
      </c>
      <c r="Q30" s="6">
        <f>Tabela3[[#This Row],[Lucro/Ação Ano]]*Tabela3[[#This Row],[Payout]]</f>
        <v>0.80576910388187983</v>
      </c>
      <c r="R30" s="15" t="str">
        <f>IF(AND([% Yield]&gt;=10%,[PVPA]&lt;=3.5,[PL]&lt;=15,[PL]&gt;0),"Sim","Não")</f>
        <v>Não</v>
      </c>
      <c r="S30" s="46">
        <f>Tabela3[[#This Row],[Lucro Prev]]/Tabela3[[#This Row],[Cotação]]</f>
        <v>7.9621452952754926E-2</v>
      </c>
      <c r="T30" s="14">
        <f>($Z$1/Tabela3[[#This Row],[Cotação]]-MOD($Z$1/Tabela3[[#This Row],[Cotação]],100))</f>
        <v>0</v>
      </c>
      <c r="U30" s="17">
        <f>Tabela3[[#This Row],[Ativos]]*Tabela3[[#This Row],[Lucro Prev]]</f>
        <v>0</v>
      </c>
      <c r="V30" s="5">
        <f>SUMPRODUCT(N(Tabela1[Código]=Tabela3[[#This Row],[PAPEL]]),Tabela1[Fechamento])</f>
        <v>10.119999999999999</v>
      </c>
      <c r="W30" s="5">
        <f>SUMPRODUCT(N(Tabela17[Código]=Tabela3[[#This Row],[PAPEL]]),Tabela17[Fechamento])</f>
        <v>0</v>
      </c>
    </row>
    <row r="31" spans="1:23" hidden="1">
      <c r="A31" s="4" t="s">
        <v>12</v>
      </c>
      <c r="B31" s="14" t="s">
        <v>99</v>
      </c>
      <c r="C31" s="15">
        <v>3</v>
      </c>
      <c r="D31" s="6">
        <v>465994000</v>
      </c>
      <c r="E31" s="6">
        <v>17904000</v>
      </c>
      <c r="F31" s="42">
        <v>9183458</v>
      </c>
      <c r="G31" s="15">
        <f>Tabela3[[#This Row],[Lucro Líquido]]/Tabela3[[#This Row],[Total Ações]]</f>
        <v>1.9495924084369962</v>
      </c>
      <c r="H31" s="15">
        <f>Tabela3[[#This Row],[Lucro/Ação]]/Tabela3[[#This Row],[Ref]]*4</f>
        <v>2.5994565445826616</v>
      </c>
      <c r="I31" s="19">
        <f>IF(GETPIVOTDATA("Payout",'Tabela LL'!$A$3,"Ativo",Tabela3[[#This Row],[PAPEL]])&gt;1,1,GETPIVOTDATA("Payout",'Tabela LL'!$A$3,"Ativo",Tabela3[[#This Row],[PAPEL]]))</f>
        <v>0.76106388540309444</v>
      </c>
      <c r="J31" s="6">
        <f>[Patrimônio Líquido]/[Total Ações]</f>
        <v>50.742759426786726</v>
      </c>
      <c r="K31" s="52">
        <f>MAX(Tabela3[[#This Row],[Cotação 1]],Tabela3[[#This Row],[Cotação 2]])</f>
        <v>25.02</v>
      </c>
      <c r="L31" s="48">
        <f>[Cotação]/[VPA]</f>
        <v>0.49307527384472766</v>
      </c>
      <c r="M31" s="44">
        <f>IF(Tabela3[[#This Row],[Lucro/Ação Ano]]&gt;0,Tabela3[[#This Row],[Cotação]]/Tabela3[[#This Row],[Lucro/Ação Ano]],0)</f>
        <v>9.6250887717828419</v>
      </c>
      <c r="N31" s="6">
        <f>ROUND(Tabela3[[#This Row],[Lucro Prev]]/10%,2)</f>
        <v>19.78</v>
      </c>
      <c r="O31" s="61">
        <f>MIN(Tabela3[[#This Row],[10% Rent]],Tabela3[[#This Row],[VPA]]*3.5)</f>
        <v>19.78</v>
      </c>
      <c r="P31" s="19">
        <f>Tabela3[[#This Row],[P Compra]]/Tabela3[[#This Row],[Cotação]]-1</f>
        <v>-0.20943245403677058</v>
      </c>
      <c r="Q31" s="6">
        <f>Tabela3[[#This Row],[Lucro/Ação Ano]]*Tabela3[[#This Row],[Payout]]</f>
        <v>1.9783524977565827</v>
      </c>
      <c r="R31" s="15" t="str">
        <f>IF(AND([% Yield]&gt;=10%,[PVPA]&lt;=3.5,[PL]&lt;=15,[PL]&gt;0),"Sim","Não")</f>
        <v>Não</v>
      </c>
      <c r="S31" s="46">
        <f>Tabela3[[#This Row],[Lucro Prev]]/Tabela3[[#This Row],[Cotação]]</f>
        <v>7.9070843235674773E-2</v>
      </c>
      <c r="T31" s="14">
        <f>($Z$1/Tabela3[[#This Row],[Cotação]]-MOD($Z$1/Tabela3[[#This Row],[Cotação]],100))</f>
        <v>0</v>
      </c>
      <c r="U31" s="17">
        <f>Tabela3[[#This Row],[Ativos]]*Tabela3[[#This Row],[Lucro Prev]]</f>
        <v>0</v>
      </c>
      <c r="V31" s="5">
        <f>SUMPRODUCT(N(Tabela1[Código]=Tabela3[[#This Row],[PAPEL]]),Tabela1[Fechamento])</f>
        <v>25.02</v>
      </c>
      <c r="W31" s="5">
        <f>SUMPRODUCT(N(Tabela17[Código]=Tabela3[[#This Row],[PAPEL]]),Tabela17[Fechamento])</f>
        <v>0</v>
      </c>
    </row>
    <row r="32" spans="1:23" hidden="1">
      <c r="A32" s="4" t="s">
        <v>12</v>
      </c>
      <c r="B32" s="14" t="s">
        <v>103</v>
      </c>
      <c r="C32" s="15">
        <v>3</v>
      </c>
      <c r="D32" s="6">
        <v>884793000</v>
      </c>
      <c r="E32" s="6">
        <v>154604000</v>
      </c>
      <c r="F32" s="42">
        <v>168074028</v>
      </c>
      <c r="G32" s="15">
        <f>Tabela3[[#This Row],[Lucro Líquido]]/Tabela3[[#This Row],[Total Ações]]</f>
        <v>0.91985657653186015</v>
      </c>
      <c r="H32" s="15">
        <f>Tabela3[[#This Row],[Lucro/Ação]]/Tabela3[[#This Row],[Ref]]*4</f>
        <v>1.2264754353758136</v>
      </c>
      <c r="I32" s="19">
        <f>IF(GETPIVOTDATA("Payout",'Tabela LL'!$A$3,"Ativo",Tabela3[[#This Row],[PAPEL]])&gt;1,1,GETPIVOTDATA("Payout",'Tabela LL'!$A$3,"Ativo",Tabela3[[#This Row],[PAPEL]]))</f>
        <v>0.59725401518756449</v>
      </c>
      <c r="J32" s="6">
        <f>[Patrimônio Líquido]/[Total Ações]</f>
        <v>5.2643053214622784</v>
      </c>
      <c r="K32" s="52">
        <f>MAX(Tabela3[[#This Row],[Cotação 1]],Tabela3[[#This Row],[Cotação 2]])</f>
        <v>9.5</v>
      </c>
      <c r="L32" s="48">
        <f>[Cotação]/[VPA]</f>
        <v>1.8046065757753509</v>
      </c>
      <c r="M32" s="44">
        <f>IF(Tabela3[[#This Row],[Lucro/Ação Ano]]&gt;0,Tabela3[[#This Row],[Cotação]]/Tabela3[[#This Row],[Lucro/Ação Ano]],0)</f>
        <v>7.745772745207109</v>
      </c>
      <c r="N32" s="6">
        <f>ROUND(Tabela3[[#This Row],[Lucro Prev]]/10%,2)</f>
        <v>7.33</v>
      </c>
      <c r="O32" s="61">
        <f>MIN(Tabela3[[#This Row],[10% Rent]],Tabela3[[#This Row],[VPA]]*3.5)</f>
        <v>7.33</v>
      </c>
      <c r="P32" s="19">
        <f>Tabela3[[#This Row],[P Compra]]/Tabela3[[#This Row],[Cotação]]-1</f>
        <v>-0.22842105263157897</v>
      </c>
      <c r="Q32" s="6">
        <f>Tabela3[[#This Row],[Lucro/Ação Ano]]*Tabela3[[#This Row],[Payout]]</f>
        <v>0.73251737830712094</v>
      </c>
      <c r="R32" s="15" t="str">
        <f>IF(AND([% Yield]&gt;=10%,[PVPA]&lt;=3.5,[PL]&lt;=15,[PL]&gt;0),"Sim","Não")</f>
        <v>Não</v>
      </c>
      <c r="S32" s="46">
        <f>Tabela3[[#This Row],[Lucro Prev]]/Tabela3[[#This Row],[Cotação]]</f>
        <v>7.7107092453381154E-2</v>
      </c>
      <c r="T32" s="14">
        <f>($Z$1/Tabela3[[#This Row],[Cotação]]-MOD($Z$1/Tabela3[[#This Row],[Cotação]],100))</f>
        <v>100</v>
      </c>
      <c r="U32" s="17">
        <f>Tabela3[[#This Row],[Ativos]]*Tabela3[[#This Row],[Lucro Prev]]</f>
        <v>73.251737830712088</v>
      </c>
      <c r="V32" s="5">
        <f>SUMPRODUCT(N(Tabela1[Código]=Tabela3[[#This Row],[PAPEL]]),Tabela1[Fechamento])</f>
        <v>9.5</v>
      </c>
      <c r="W32" s="5">
        <f>SUMPRODUCT(N(Tabela17[Código]=Tabela3[[#This Row],[PAPEL]]),Tabela17[Fechamento])</f>
        <v>0</v>
      </c>
    </row>
    <row r="33" spans="1:23" hidden="1">
      <c r="A33" s="4" t="s">
        <v>14</v>
      </c>
      <c r="B33" s="14" t="s">
        <v>231</v>
      </c>
      <c r="C33" s="15">
        <v>3</v>
      </c>
      <c r="D33" s="6">
        <v>273287000</v>
      </c>
      <c r="E33" s="6">
        <v>47071000</v>
      </c>
      <c r="F33" s="42">
        <v>10541442</v>
      </c>
      <c r="G33" s="15">
        <f>Tabela3[[#This Row],[Lucro Líquido]]/Tabela3[[#This Row],[Total Ações]]</f>
        <v>4.4653283677887714</v>
      </c>
      <c r="H33" s="15">
        <f>Tabela3[[#This Row],[Lucro/Ação]]/Tabela3[[#This Row],[Ref]]*4</f>
        <v>5.9537711570516949</v>
      </c>
      <c r="I33" s="19">
        <f>IF(GETPIVOTDATA("Payout",'Tabela LL'!$A$3,"Ativo",Tabela3[[#This Row],[PAPEL]])&gt;1,1,GETPIVOTDATA("Payout",'Tabela LL'!$A$3,"Ativo",Tabela3[[#This Row],[PAPEL]]))</f>
        <v>0.60740107618893502</v>
      </c>
      <c r="J33" s="6">
        <f>[Patrimônio Líquido]/[Total Ações]</f>
        <v>25.925011018416644</v>
      </c>
      <c r="K33" s="52">
        <f>MAX(Tabela3[[#This Row],[Cotação 1]],Tabela3[[#This Row],[Cotação 2]])</f>
        <v>49.99</v>
      </c>
      <c r="L33" s="48">
        <f>[Cotação]/[VPA]</f>
        <v>1.9282537609911925</v>
      </c>
      <c r="M33" s="44">
        <f>IF(Tabela3[[#This Row],[Lucro/Ação Ano]]&gt;0,Tabela3[[#This Row],[Cotação]]/Tabela3[[#This Row],[Lucro/Ação Ano]],0)</f>
        <v>8.3963589935416714</v>
      </c>
      <c r="N33" s="6">
        <f>ROUND(Tabela3[[#This Row],[Lucro Prev]]/10%,2)</f>
        <v>36.159999999999997</v>
      </c>
      <c r="O33" s="61">
        <f>MIN(Tabela3[[#This Row],[10% Rent]],Tabela3[[#This Row],[VPA]]*3.5)</f>
        <v>36.159999999999997</v>
      </c>
      <c r="P33" s="19">
        <f>Tabela3[[#This Row],[P Compra]]/Tabela3[[#This Row],[Cotação]]-1</f>
        <v>-0.27665533106621332</v>
      </c>
      <c r="Q33" s="6">
        <f>Tabela3[[#This Row],[Lucro/Ação Ano]]*Tabela3[[#This Row],[Payout]]</f>
        <v>3.6163270081758405</v>
      </c>
      <c r="R33" s="15" t="str">
        <f>IF(AND([% Yield]&gt;=10%,[PVPA]&lt;=3.5,[PL]&lt;=15,[PL]&gt;0),"Sim","Não")</f>
        <v>Não</v>
      </c>
      <c r="S33" s="46">
        <f>Tabela3[[#This Row],[Lucro Prev]]/Tabela3[[#This Row],[Cotação]]</f>
        <v>7.2341008365189849E-2</v>
      </c>
      <c r="T33" s="14">
        <f>($Z$1/Tabela3[[#This Row],[Cotação]]-MOD($Z$1/Tabela3[[#This Row],[Cotação]],100))</f>
        <v>0</v>
      </c>
      <c r="U33" s="17">
        <f>Tabela3[[#This Row],[Ativos]]*Tabela3[[#This Row],[Lucro Prev]]</f>
        <v>0</v>
      </c>
      <c r="V33" s="5">
        <f>SUMPRODUCT(N(Tabela1[Código]=Tabela3[[#This Row],[PAPEL]]),Tabela1[Fechamento])</f>
        <v>49.99</v>
      </c>
      <c r="W33" s="5">
        <f>SUMPRODUCT(N(Tabela17[Código]=Tabela3[[#This Row],[PAPEL]]),Tabela17[Fechamento])</f>
        <v>0</v>
      </c>
    </row>
    <row r="34" spans="1:23" hidden="1">
      <c r="A34" s="4" t="s">
        <v>12</v>
      </c>
      <c r="B34" s="14" t="s">
        <v>98</v>
      </c>
      <c r="C34" s="15">
        <v>3</v>
      </c>
      <c r="D34" s="6">
        <v>465994000</v>
      </c>
      <c r="E34" s="6">
        <v>17904000</v>
      </c>
      <c r="F34" s="42">
        <v>9183458</v>
      </c>
      <c r="G34" s="15">
        <f>Tabela3[[#This Row],[Lucro Líquido]]/Tabela3[[#This Row],[Total Ações]]</f>
        <v>1.9495924084369962</v>
      </c>
      <c r="H34" s="15">
        <f>Tabela3[[#This Row],[Lucro/Ação]]/Tabela3[[#This Row],[Ref]]*4</f>
        <v>2.5994565445826616</v>
      </c>
      <c r="I34" s="19">
        <f>IF(GETPIVOTDATA("Payout",'Tabela LL'!$A$3,"Ativo",Tabela3[[#This Row],[PAPEL]])&gt;1,1,GETPIVOTDATA("Payout",'Tabela LL'!$A$3,"Ativo",Tabela3[[#This Row],[PAPEL]]))</f>
        <v>0.47419139568365454</v>
      </c>
      <c r="J34" s="6">
        <f>[Patrimônio Líquido]/[Total Ações]</f>
        <v>50.742759426786726</v>
      </c>
      <c r="K34" s="52">
        <f>MAX(Tabela3[[#This Row],[Cotação 1]],Tabela3[[#This Row],[Cotação 2]])</f>
        <v>16.510000000000002</v>
      </c>
      <c r="L34" s="48">
        <f>[Cotação]/[VPA]</f>
        <v>0.32536661755301577</v>
      </c>
      <c r="M34" s="44">
        <f>IF(Tabela3[[#This Row],[Lucro/Ação Ano]]&gt;0,Tabela3[[#This Row],[Cotação]]/Tabela3[[#This Row],[Lucro/Ação Ano]],0)</f>
        <v>6.3513275628351211</v>
      </c>
      <c r="N34" s="6">
        <f>ROUND(Tabela3[[#This Row],[Lucro Prev]]/10%,2)</f>
        <v>12.33</v>
      </c>
      <c r="O34" s="61">
        <f>MIN(Tabela3[[#This Row],[10% Rent]],Tabela3[[#This Row],[VPA]]*3.5)</f>
        <v>12.33</v>
      </c>
      <c r="P34" s="19">
        <f>Tabela3[[#This Row],[P Compra]]/Tabela3[[#This Row],[Cotação]]-1</f>
        <v>-0.25317989097516658</v>
      </c>
      <c r="Q34" s="6">
        <f>Tabela3[[#This Row],[Lucro/Ação Ano]]*Tabela3[[#This Row],[Payout]]</f>
        <v>1.2326399268946622</v>
      </c>
      <c r="R34" s="15" t="str">
        <f>IF(AND([% Yield]&gt;=10%,[PVPA]&lt;=3.5,[PL]&lt;=15,[PL]&gt;0),"Sim","Não")</f>
        <v>Não</v>
      </c>
      <c r="S34" s="46">
        <f>Tabela3[[#This Row],[Lucro Prev]]/Tabela3[[#This Row],[Cotação]]</f>
        <v>7.4660201507853546E-2</v>
      </c>
      <c r="T34" s="14">
        <f>($Z$1/Tabela3[[#This Row],[Cotação]]-MOD($Z$1/Tabela3[[#This Row],[Cotação]],100))</f>
        <v>0</v>
      </c>
      <c r="U34" s="17">
        <f>Tabela3[[#This Row],[Ativos]]*Tabela3[[#This Row],[Lucro Prev]]</f>
        <v>0</v>
      </c>
      <c r="V34" s="5">
        <f>SUMPRODUCT(N(Tabela1[Código]=Tabela3[[#This Row],[PAPEL]]),Tabela1[Fechamento])</f>
        <v>16.510000000000002</v>
      </c>
      <c r="W34" s="5">
        <f>SUMPRODUCT(N(Tabela17[Código]=Tabela3[[#This Row],[PAPEL]]),Tabela17[Fechamento])</f>
        <v>0</v>
      </c>
    </row>
    <row r="35" spans="1:23" hidden="1">
      <c r="A35" s="4" t="s">
        <v>12</v>
      </c>
      <c r="B35" s="14" t="s">
        <v>96</v>
      </c>
      <c r="C35" s="15">
        <v>3</v>
      </c>
      <c r="D35" s="6">
        <v>2778571000</v>
      </c>
      <c r="E35" s="6">
        <v>434008000</v>
      </c>
      <c r="F35" s="42">
        <v>188177338</v>
      </c>
      <c r="G35" s="15">
        <f>Tabela3[[#This Row],[Lucro Líquido]]/Tabela3[[#This Row],[Total Ações]]</f>
        <v>2.3063776149283184</v>
      </c>
      <c r="H35" s="15">
        <f>Tabela3[[#This Row],[Lucro/Ação]]/Tabela3[[#This Row],[Ref]]*4</f>
        <v>3.075170153237758</v>
      </c>
      <c r="I35" s="19">
        <f>IF(GETPIVOTDATA("Payout",'Tabela LL'!$A$3,"Ativo",Tabela3[[#This Row],[PAPEL]])&gt;1,1,GETPIVOTDATA("Payout",'Tabela LL'!$A$3,"Ativo",Tabela3[[#This Row],[PAPEL]]))</f>
        <v>0.76692732207874426</v>
      </c>
      <c r="J35" s="6">
        <f>[Patrimônio Líquido]/[Total Ações]</f>
        <v>14.765704677999006</v>
      </c>
      <c r="K35" s="52">
        <f>MAX(Tabela3[[#This Row],[Cotação 1]],Tabela3[[#This Row],[Cotação 2]])</f>
        <v>32</v>
      </c>
      <c r="L35" s="48">
        <f>[Cotação]/[VPA]</f>
        <v>2.1671840726762066</v>
      </c>
      <c r="M35" s="44">
        <f>IF(Tabela3[[#This Row],[Lucro/Ação Ano]]&gt;0,Tabela3[[#This Row],[Cotação]]/Tabela3[[#This Row],[Lucro/Ação Ano]],0)</f>
        <v>10.405928259386922</v>
      </c>
      <c r="N35" s="6">
        <f>ROUND(Tabela3[[#This Row],[Lucro Prev]]/10%,2)</f>
        <v>23.58</v>
      </c>
      <c r="O35" s="61">
        <f>MIN(Tabela3[[#This Row],[10% Rent]],Tabela3[[#This Row],[VPA]]*3.5)</f>
        <v>23.58</v>
      </c>
      <c r="P35" s="19">
        <f>Tabela3[[#This Row],[P Compra]]/Tabela3[[#This Row],[Cotação]]-1</f>
        <v>-0.26312500000000005</v>
      </c>
      <c r="Q35" s="6">
        <f>Tabela3[[#This Row],[Lucro/Ação Ano]]*Tabela3[[#This Row],[Payout]]</f>
        <v>2.3584320105591154</v>
      </c>
      <c r="R35" s="15" t="str">
        <f>IF(AND([% Yield]&gt;=10%,[PVPA]&lt;=3.5,[PL]&lt;=15,[PL]&gt;0),"Sim","Não")</f>
        <v>Não</v>
      </c>
      <c r="S35" s="46">
        <f>Tabela3[[#This Row],[Lucro Prev]]/Tabela3[[#This Row],[Cotação]]</f>
        <v>7.3701000329972358E-2</v>
      </c>
      <c r="T35" s="14">
        <f>($Z$1/Tabela3[[#This Row],[Cotação]]-MOD($Z$1/Tabela3[[#This Row],[Cotação]],100))</f>
        <v>0</v>
      </c>
      <c r="U35" s="17">
        <f>Tabela3[[#This Row],[Ativos]]*Tabela3[[#This Row],[Lucro Prev]]</f>
        <v>0</v>
      </c>
      <c r="V35" s="5">
        <f>SUMPRODUCT(N(Tabela1[Código]=Tabela3[[#This Row],[PAPEL]]),Tabela1[Fechamento])</f>
        <v>32</v>
      </c>
      <c r="W35" s="5">
        <f>SUMPRODUCT(N(Tabela17[Código]=Tabela3[[#This Row],[PAPEL]]),Tabela17[Fechamento])</f>
        <v>0</v>
      </c>
    </row>
    <row r="36" spans="1:23" hidden="1">
      <c r="A36" s="4" t="s">
        <v>12</v>
      </c>
      <c r="B36" s="14" t="s">
        <v>97</v>
      </c>
      <c r="C36" s="15">
        <v>3</v>
      </c>
      <c r="D36" s="6">
        <v>2778571000</v>
      </c>
      <c r="E36" s="6">
        <v>434008000</v>
      </c>
      <c r="F36" s="42">
        <v>188177338</v>
      </c>
      <c r="G36" s="15">
        <f>Tabela3[[#This Row],[Lucro Líquido]]/Tabela3[[#This Row],[Total Ações]]</f>
        <v>2.3063776149283184</v>
      </c>
      <c r="H36" s="15">
        <f>Tabela3[[#This Row],[Lucro/Ação]]/Tabela3[[#This Row],[Ref]]*4</f>
        <v>3.075170153237758</v>
      </c>
      <c r="I36" s="19">
        <f>IF(GETPIVOTDATA("Payout",'Tabela LL'!$A$3,"Ativo",Tabela3[[#This Row],[PAPEL]])&gt;1,1,GETPIVOTDATA("Payout",'Tabela LL'!$A$3,"Ativo",Tabela3[[#This Row],[PAPEL]]))</f>
        <v>0.76692732207874426</v>
      </c>
      <c r="J36" s="6">
        <f>[Patrimônio Líquido]/[Total Ações]</f>
        <v>14.765704677999006</v>
      </c>
      <c r="K36" s="52">
        <f>MAX(Tabela3[[#This Row],[Cotação 1]],Tabela3[[#This Row],[Cotação 2]])</f>
        <v>32.01</v>
      </c>
      <c r="L36" s="48">
        <f>[Cotação]/[VPA]</f>
        <v>2.1678613176989177</v>
      </c>
      <c r="M36" s="44">
        <f>IF(Tabela3[[#This Row],[Lucro/Ação Ano]]&gt;0,Tabela3[[#This Row],[Cotação]]/Tabela3[[#This Row],[Lucro/Ação Ano]],0)</f>
        <v>10.409180111967981</v>
      </c>
      <c r="N36" s="6">
        <f>ROUND(Tabela3[[#This Row],[Lucro Prev]]/10%,2)</f>
        <v>23.58</v>
      </c>
      <c r="O36" s="61">
        <f>MIN(Tabela3[[#This Row],[10% Rent]],Tabela3[[#This Row],[VPA]]*3.5)</f>
        <v>23.58</v>
      </c>
      <c r="P36" s="19">
        <f>Tabela3[[#This Row],[P Compra]]/Tabela3[[#This Row],[Cotação]]-1</f>
        <v>-0.2633552014995314</v>
      </c>
      <c r="Q36" s="6">
        <f>Tabela3[[#This Row],[Lucro/Ação Ano]]*Tabela3[[#This Row],[Payout]]</f>
        <v>2.3584320105591154</v>
      </c>
      <c r="R36" s="15" t="str">
        <f>IF(AND([% Yield]&gt;=10%,[PVPA]&lt;=3.5,[PL]&lt;=15,[PL]&gt;0),"Sim","Não")</f>
        <v>Não</v>
      </c>
      <c r="S36" s="46">
        <f>Tabela3[[#This Row],[Lucro Prev]]/Tabela3[[#This Row],[Cotação]]</f>
        <v>7.3677975962484085E-2</v>
      </c>
      <c r="T36" s="14">
        <f>($Z$1/Tabela3[[#This Row],[Cotação]]-MOD($Z$1/Tabela3[[#This Row],[Cotação]],100))</f>
        <v>0</v>
      </c>
      <c r="U36" s="17">
        <f>Tabela3[[#This Row],[Ativos]]*Tabela3[[#This Row],[Lucro Prev]]</f>
        <v>0</v>
      </c>
      <c r="V36" s="5">
        <f>SUMPRODUCT(N(Tabela1[Código]=Tabela3[[#This Row],[PAPEL]]),Tabela1[Fechamento])</f>
        <v>32.01</v>
      </c>
      <c r="W36" s="5">
        <f>SUMPRODUCT(N(Tabela17[Código]=Tabela3[[#This Row],[PAPEL]]),Tabela17[Fechamento])</f>
        <v>0</v>
      </c>
    </row>
    <row r="37" spans="1:23" hidden="1">
      <c r="A37" s="3" t="s">
        <v>356</v>
      </c>
      <c r="B37" s="74" t="s">
        <v>357</v>
      </c>
      <c r="C37" s="16">
        <v>3</v>
      </c>
      <c r="D37" s="5">
        <v>43631075000</v>
      </c>
      <c r="E37" s="5">
        <v>2484629000</v>
      </c>
      <c r="F37" s="21">
        <v>1125601930</v>
      </c>
      <c r="G37" s="72">
        <f>Tabela3[[#This Row],[Lucro Líquido]]/Tabela3[[#This Row],[Total Ações]]</f>
        <v>2.2073780559349254</v>
      </c>
      <c r="H37" s="16">
        <f>Tabela3[[#This Row],[Lucro/Ação]]/Tabela3[[#This Row],[Ref]]*4</f>
        <v>2.9431707412465671</v>
      </c>
      <c r="I37" s="18">
        <f>IF(GETPIVOTDATA("Payout",'Tabela LL'!$A$3,"Ativo",Tabela3[[#This Row],[PAPEL]])&gt;1,1,GETPIVOTDATA("Payout",'Tabela LL'!$A$3,"Ativo",Tabela3[[#This Row],[PAPEL]]))</f>
        <v>0.96704817187555625</v>
      </c>
      <c r="J37" s="5">
        <f>[Patrimônio Líquido]/[Total Ações]</f>
        <v>38.762437978406808</v>
      </c>
      <c r="K37" s="58">
        <f>MAX(Tabela3[[#This Row],[Cotação 1]],Tabela3[[#This Row],[Cotação 2]])</f>
        <v>40.200000000000003</v>
      </c>
      <c r="L37" s="59">
        <f>[Cotação]/[VPA]</f>
        <v>1.0370864707321559</v>
      </c>
      <c r="M37" s="40">
        <f>IF(Tabela3[[#This Row],[Lucro/Ação Ano]]&gt;0,Tabela3[[#This Row],[Cotação]]/Tabela3[[#This Row],[Lucro/Ação Ano]],0)</f>
        <v>13.658738664605462</v>
      </c>
      <c r="N37" s="7">
        <f>ROUND(Tabela3[[#This Row],[Lucro Prev]]/10%,2)</f>
        <v>28.46</v>
      </c>
      <c r="O37" s="51">
        <f>MIN(Tabela3[[#This Row],[10% Rent]],Tabela3[[#This Row],[VPA]]*3.5)</f>
        <v>28.46</v>
      </c>
      <c r="P37" s="18">
        <f>Tabela3[[#This Row],[P Compra]]/Tabela3[[#This Row],[Cotação]]-1</f>
        <v>-0.29203980099502491</v>
      </c>
      <c r="Q37" s="5">
        <f>Tabela3[[#This Row],[Lucro/Ação Ano]]*Tabela3[[#This Row],[Payout]]</f>
        <v>2.8461878848401185</v>
      </c>
      <c r="R37" s="16" t="str">
        <f>IF(AND([% Yield]&gt;=10%,[PVPA]&lt;=3.5,[PL]&lt;=15,[PL]&gt;0),"Sim","Não")</f>
        <v>Não</v>
      </c>
      <c r="S37" s="22">
        <f>Tabela3[[#This Row],[Lucro Prev]]/Tabela3[[#This Row],[Cotação]]</f>
        <v>7.0800693652739263E-2</v>
      </c>
      <c r="T37" s="10">
        <f>($Z$1/Tabela3[[#This Row],[Cotação]]-MOD($Z$1/Tabela3[[#This Row],[Cotação]],100))</f>
        <v>0</v>
      </c>
      <c r="U37" s="7">
        <f>Tabela3[[#This Row],[Ativos]]*Tabela3[[#This Row],[Lucro Prev]]</f>
        <v>0</v>
      </c>
      <c r="V37" s="51">
        <f>SUMPRODUCT(N(Tabela1[Código]=Tabela3[[#This Row],[PAPEL]]),Tabela1[Fechamento])</f>
        <v>0</v>
      </c>
      <c r="W37" s="60">
        <f>SUMPRODUCT(N(Tabela17[Código]=Tabela3[[#This Row],[PAPEL]]),Tabela17[Fechamento])</f>
        <v>40.200000000000003</v>
      </c>
    </row>
    <row r="38" spans="1:23" hidden="1">
      <c r="A38" s="4" t="s">
        <v>485</v>
      </c>
      <c r="B38" s="71" t="s">
        <v>491</v>
      </c>
      <c r="C38" s="15">
        <v>3</v>
      </c>
      <c r="D38" s="6">
        <v>222307000</v>
      </c>
      <c r="E38" s="6">
        <v>18125000</v>
      </c>
      <c r="F38" s="42">
        <v>2857301</v>
      </c>
      <c r="G38" s="73">
        <f>Tabela3[[#This Row],[Lucro Líquido]]/Tabela3[[#This Row],[Total Ações]]</f>
        <v>6.3433988928712797</v>
      </c>
      <c r="H38" s="15">
        <f>Tabela3[[#This Row],[Lucro/Ação]]/Tabela3[[#This Row],[Ref]]*4</f>
        <v>8.4578651904950402</v>
      </c>
      <c r="I38" s="19">
        <f>IF(GETPIVOTDATA("Payout",'Tabela LL'!$A$3,"Ativo",Tabela3[[#This Row],[PAPEL]])&gt;1,1,GETPIVOTDATA("Payout",'Tabela LL'!$A$3,"Ativo",Tabela3[[#This Row],[PAPEL]]))</f>
        <v>0.72745804302911377</v>
      </c>
      <c r="J38" s="6">
        <f>[Patrimônio Líquido]/[Total Ações]</f>
        <v>77.803143596001959</v>
      </c>
      <c r="K38" s="52">
        <f>MAX(Tabela3[[#This Row],[Cotação 1]],Tabela3[[#This Row],[Cotação 2]])</f>
        <v>88</v>
      </c>
      <c r="L38" s="48">
        <f>[Cotação]/[VPA]</f>
        <v>1.1310596967256992</v>
      </c>
      <c r="M38" s="44">
        <f>IF(Tabela3[[#This Row],[Lucro/Ação Ano]]&gt;0,Tabela3[[#This Row],[Cotação]]/Tabela3[[#This Row],[Lucro/Ação Ano]],0)</f>
        <v>10.404516744827585</v>
      </c>
      <c r="N38" s="17">
        <f>ROUND(Tabela3[[#This Row],[Lucro Prev]]/10%,2)</f>
        <v>61.53</v>
      </c>
      <c r="O38" s="13">
        <f>MIN(Tabela3[[#This Row],[10% Rent]],Tabela3[[#This Row],[VPA]]*3.5)</f>
        <v>61.53</v>
      </c>
      <c r="P38" s="19">
        <f>Tabela3[[#This Row],[P Compra]]/Tabela3[[#This Row],[Cotação]]-1</f>
        <v>-0.30079545454545453</v>
      </c>
      <c r="Q38" s="6">
        <f>Tabela3[[#This Row],[Lucro/Ação Ano]]*Tabela3[[#This Row],[Payout]]</f>
        <v>6.1527420596815841</v>
      </c>
      <c r="R38" s="15" t="str">
        <f>IF(AND([% Yield]&gt;=10%,[PVPA]&lt;=3.5,[PL]&lt;=15,[PL]&gt;0),"Sim","Não")</f>
        <v>Não</v>
      </c>
      <c r="S38" s="46">
        <f>Tabela3[[#This Row],[Lucro Prev]]/Tabela3[[#This Row],[Cotação]]</f>
        <v>6.991752340547254E-2</v>
      </c>
      <c r="T38" s="14">
        <f>($Z$1/Tabela3[[#This Row],[Cotação]]-MOD($Z$1/Tabela3[[#This Row],[Cotação]],100))</f>
        <v>0</v>
      </c>
      <c r="U38" s="17">
        <f>Tabela3[[#This Row],[Ativos]]*Tabela3[[#This Row],[Lucro Prev]]</f>
        <v>0</v>
      </c>
      <c r="V38" s="13">
        <f>SUMPRODUCT(N(Tabela1[Código]=Tabela3[[#This Row],[PAPEL]]),Tabela1[Fechamento])</f>
        <v>0</v>
      </c>
      <c r="W38" s="61">
        <f>SUMPRODUCT(N(Tabela17[Código]=Tabela3[[#This Row],[PAPEL]]),Tabela17[Fechamento])</f>
        <v>88</v>
      </c>
    </row>
    <row r="39" spans="1:23" hidden="1">
      <c r="A39" s="3" t="s">
        <v>386</v>
      </c>
      <c r="B39" s="74" t="s">
        <v>387</v>
      </c>
      <c r="C39" s="16">
        <v>3</v>
      </c>
      <c r="D39" s="5">
        <v>314080000</v>
      </c>
      <c r="E39" s="5">
        <v>22535000</v>
      </c>
      <c r="F39" s="21">
        <v>65075322</v>
      </c>
      <c r="G39" s="72">
        <f>Tabela3[[#This Row],[Lucro Líquido]]/Tabela3[[#This Row],[Total Ações]]</f>
        <v>0.34629102565178238</v>
      </c>
      <c r="H39" s="16">
        <f>Tabela3[[#This Row],[Lucro/Ação]]/Tabela3[[#This Row],[Ref]]*4</f>
        <v>0.46172136753570986</v>
      </c>
      <c r="I39" s="18">
        <f>IF(GETPIVOTDATA("Payout",'Tabela LL'!$A$3,"Ativo",Tabela3[[#This Row],[PAPEL]])&gt;1,1,GETPIVOTDATA("Payout",'Tabela LL'!$A$3,"Ativo",Tabela3[[#This Row],[PAPEL]]))</f>
        <v>1</v>
      </c>
      <c r="J39" s="5">
        <f>[Patrimônio Líquido]/[Total Ações]</f>
        <v>4.8264071593837059</v>
      </c>
      <c r="K39" s="58">
        <f>MAX(Tabela3[[#This Row],[Cotação 1]],Tabela3[[#This Row],[Cotação 2]])</f>
        <v>6.71</v>
      </c>
      <c r="L39" s="59">
        <f>[Cotação]/[VPA]</f>
        <v>1.3902681183774834</v>
      </c>
      <c r="M39" s="40">
        <f>IF(Tabela3[[#This Row],[Lucro/Ação Ano]]&gt;0,Tabela3[[#This Row],[Cotação]]/Tabela3[[#This Row],[Lucro/Ação Ano]],0)</f>
        <v>14.532574127579322</v>
      </c>
      <c r="N39" s="7">
        <f>ROUND(Tabela3[[#This Row],[Lucro Prev]]/10%,2)</f>
        <v>4.62</v>
      </c>
      <c r="O39" s="51">
        <f>MIN(Tabela3[[#This Row],[10% Rent]],Tabela3[[#This Row],[VPA]]*3.5)</f>
        <v>4.62</v>
      </c>
      <c r="P39" s="18">
        <f>Tabela3[[#This Row],[P Compra]]/Tabela3[[#This Row],[Cotação]]-1</f>
        <v>-0.31147540983606559</v>
      </c>
      <c r="Q39" s="5">
        <f>Tabela3[[#This Row],[Lucro/Ação Ano]]*Tabela3[[#This Row],[Payout]]</f>
        <v>0.46172136753570986</v>
      </c>
      <c r="R39" s="16" t="str">
        <f>IF(AND([% Yield]&gt;=10%,[PVPA]&lt;=3.5,[PL]&lt;=15,[PL]&gt;0),"Sim","Não")</f>
        <v>Não</v>
      </c>
      <c r="S39" s="22">
        <f>Tabela3[[#This Row],[Lucro Prev]]/Tabela3[[#This Row],[Cotação]]</f>
        <v>6.881093405897315E-2</v>
      </c>
      <c r="T39" s="10">
        <f>($Z$1/Tabela3[[#This Row],[Cotação]]-MOD($Z$1/Tabela3[[#This Row],[Cotação]],100))</f>
        <v>100</v>
      </c>
      <c r="U39" s="7">
        <f>Tabela3[[#This Row],[Ativos]]*Tabela3[[#This Row],[Lucro Prev]]</f>
        <v>46.172136753570989</v>
      </c>
      <c r="V39" s="51">
        <f>SUMPRODUCT(N(Tabela1[Código]=Tabela3[[#This Row],[PAPEL]]),Tabela1[Fechamento])</f>
        <v>0</v>
      </c>
      <c r="W39" s="60">
        <f>SUMPRODUCT(N(Tabela17[Código]=Tabela3[[#This Row],[PAPEL]]),Tabela17[Fechamento])</f>
        <v>6.71</v>
      </c>
    </row>
    <row r="40" spans="1:23" hidden="1">
      <c r="A40" s="4" t="s">
        <v>14</v>
      </c>
      <c r="B40" s="14" t="s">
        <v>230</v>
      </c>
      <c r="C40" s="15">
        <v>3</v>
      </c>
      <c r="D40" s="6">
        <v>273287000</v>
      </c>
      <c r="E40" s="6">
        <v>47071000</v>
      </c>
      <c r="F40" s="42">
        <v>10541442</v>
      </c>
      <c r="G40" s="15">
        <f>Tabela3[[#This Row],[Lucro Líquido]]/Tabela3[[#This Row],[Total Ações]]</f>
        <v>4.4653283677887714</v>
      </c>
      <c r="H40" s="15">
        <f>Tabela3[[#This Row],[Lucro/Ação]]/Tabela3[[#This Row],[Ref]]*4</f>
        <v>5.9537711570516949</v>
      </c>
      <c r="I40" s="19">
        <f>IF(GETPIVOTDATA("Payout",'Tabela LL'!$A$3,"Ativo",Tabela3[[#This Row],[PAPEL]])&gt;1,1,GETPIVOTDATA("Payout",'Tabela LL'!$A$3,"Ativo",Tabela3[[#This Row],[PAPEL]]))</f>
        <v>0.55210929465239156</v>
      </c>
      <c r="J40" s="6">
        <f>[Patrimônio Líquido]/[Total Ações]</f>
        <v>25.925011018416644</v>
      </c>
      <c r="K40" s="52">
        <f>MAX(Tabela3[[#This Row],[Cotação 1]],Tabela3[[#This Row],[Cotação 2]])</f>
        <v>48.5</v>
      </c>
      <c r="L40" s="48">
        <f>[Cotação]/[VPA]</f>
        <v>1.8707803042223012</v>
      </c>
      <c r="M40" s="44">
        <f>IF(Tabela3[[#This Row],[Lucro/Ação Ano]]&gt;0,Tabela3[[#This Row],[Cotação]]/Tabela3[[#This Row],[Lucro/Ação Ano]],0)</f>
        <v>8.1460974432240665</v>
      </c>
      <c r="N40" s="6">
        <f>ROUND(Tabela3[[#This Row],[Lucro Prev]]/10%,2)</f>
        <v>32.869999999999997</v>
      </c>
      <c r="O40" s="61">
        <f>MIN(Tabela3[[#This Row],[10% Rent]],Tabela3[[#This Row],[VPA]]*3.5)</f>
        <v>32.869999999999997</v>
      </c>
      <c r="P40" s="19">
        <f>Tabela3[[#This Row],[P Compra]]/Tabela3[[#This Row],[Cotação]]-1</f>
        <v>-0.3222680412371135</v>
      </c>
      <c r="Q40" s="6">
        <f>Tabela3[[#This Row],[Lucro/Ação Ano]]*Tabela3[[#This Row],[Payout]]</f>
        <v>3.2871323940415644</v>
      </c>
      <c r="R40" s="15" t="str">
        <f>IF(AND([% Yield]&gt;=10%,[PVPA]&lt;=3.5,[PL]&lt;=15,[PL]&gt;0),"Sim","Não")</f>
        <v>Não</v>
      </c>
      <c r="S40" s="46">
        <f>Tabela3[[#This Row],[Lucro Prev]]/Tabela3[[#This Row],[Cotação]]</f>
        <v>6.7775925650341531E-2</v>
      </c>
      <c r="T40" s="14">
        <f>($Z$1/Tabela3[[#This Row],[Cotação]]-MOD($Z$1/Tabela3[[#This Row],[Cotação]],100))</f>
        <v>0</v>
      </c>
      <c r="U40" s="17">
        <f>Tabela3[[#This Row],[Ativos]]*Tabela3[[#This Row],[Lucro Prev]]</f>
        <v>0</v>
      </c>
      <c r="V40" s="5">
        <f>SUMPRODUCT(N(Tabela1[Código]=Tabela3[[#This Row],[PAPEL]]),Tabela1[Fechamento])</f>
        <v>48.5</v>
      </c>
      <c r="W40" s="5">
        <f>SUMPRODUCT(N(Tabela17[Código]=Tabela3[[#This Row],[PAPEL]]),Tabela17[Fechamento])</f>
        <v>0</v>
      </c>
    </row>
    <row r="41" spans="1:23" hidden="1">
      <c r="A41" s="3" t="s">
        <v>356</v>
      </c>
      <c r="B41" s="74" t="s">
        <v>358</v>
      </c>
      <c r="C41" s="16">
        <v>3</v>
      </c>
      <c r="D41" s="5">
        <v>43631075000</v>
      </c>
      <c r="E41" s="5">
        <v>2484629000</v>
      </c>
      <c r="F41" s="21">
        <v>1125601930</v>
      </c>
      <c r="G41" s="72">
        <f>Tabela3[[#This Row],[Lucro Líquido]]/Tabela3[[#This Row],[Total Ações]]</f>
        <v>2.2073780559349254</v>
      </c>
      <c r="H41" s="16">
        <f>Tabela3[[#This Row],[Lucro/Ação]]/Tabela3[[#This Row],[Ref]]*4</f>
        <v>2.9431707412465671</v>
      </c>
      <c r="I41" s="18">
        <f>IF(GETPIVOTDATA("Payout",'Tabela LL'!$A$3,"Ativo",Tabela3[[#This Row],[PAPEL]])&gt;1,1,GETPIVOTDATA("Payout",'Tabela LL'!$A$3,"Ativo",Tabela3[[#This Row],[PAPEL]]))</f>
        <v>1</v>
      </c>
      <c r="J41" s="5">
        <f>[Patrimônio Líquido]/[Total Ações]</f>
        <v>38.762437978406808</v>
      </c>
      <c r="K41" s="58">
        <f>MAX(Tabela3[[#This Row],[Cotação 1]],Tabela3[[#This Row],[Cotação 2]])</f>
        <v>45.11</v>
      </c>
      <c r="L41" s="59">
        <f>[Cotação]/[VPA]</f>
        <v>1.1637554899185958</v>
      </c>
      <c r="M41" s="40">
        <f>IF(Tabela3[[#This Row],[Lucro/Ação Ano]]&gt;0,Tabela3[[#This Row],[Cotação]]/Tabela3[[#This Row],[Lucro/Ação Ano]],0)</f>
        <v>15.327007491551052</v>
      </c>
      <c r="N41" s="7">
        <f>ROUND(Tabela3[[#This Row],[Lucro Prev]]/10%,2)</f>
        <v>29.43</v>
      </c>
      <c r="O41" s="51">
        <f>MIN(Tabela3[[#This Row],[10% Rent]],Tabela3[[#This Row],[VPA]]*3.5)</f>
        <v>29.43</v>
      </c>
      <c r="P41" s="18">
        <f>Tabela3[[#This Row],[P Compra]]/Tabela3[[#This Row],[Cotação]]-1</f>
        <v>-0.3475947683440479</v>
      </c>
      <c r="Q41" s="5">
        <f>Tabela3[[#This Row],[Lucro/Ação Ano]]*Tabela3[[#This Row],[Payout]]</f>
        <v>2.9431707412465671</v>
      </c>
      <c r="R41" s="16" t="str">
        <f>IF(AND([% Yield]&gt;=10%,[PVPA]&lt;=3.5,[PL]&lt;=15,[PL]&gt;0),"Sim","Não")</f>
        <v>Não</v>
      </c>
      <c r="S41" s="22">
        <f>Tabela3[[#This Row],[Lucro Prev]]/Tabela3[[#This Row],[Cotação]]</f>
        <v>6.5244308163302303E-2</v>
      </c>
      <c r="T41" s="10">
        <f>($Z$1/Tabela3[[#This Row],[Cotação]]-MOD($Z$1/Tabela3[[#This Row],[Cotação]],100))</f>
        <v>0</v>
      </c>
      <c r="U41" s="7">
        <f>Tabela3[[#This Row],[Ativos]]*Tabela3[[#This Row],[Lucro Prev]]</f>
        <v>0</v>
      </c>
      <c r="V41" s="51">
        <f>SUMPRODUCT(N(Tabela1[Código]=Tabela3[[#This Row],[PAPEL]]),Tabela1[Fechamento])</f>
        <v>0</v>
      </c>
      <c r="W41" s="60">
        <f>SUMPRODUCT(N(Tabela17[Código]=Tabela3[[#This Row],[PAPEL]]),Tabela17[Fechamento])</f>
        <v>45.11</v>
      </c>
    </row>
    <row r="42" spans="1:23" hidden="1">
      <c r="A42" s="4" t="s">
        <v>728</v>
      </c>
      <c r="B42" s="71" t="s">
        <v>727</v>
      </c>
      <c r="C42" s="15">
        <v>3</v>
      </c>
      <c r="D42" s="6">
        <v>39041000</v>
      </c>
      <c r="E42" s="6">
        <v>38084000</v>
      </c>
      <c r="F42" s="42">
        <v>46288258</v>
      </c>
      <c r="G42" s="15">
        <f>Tabela3[[#This Row],[Lucro Líquido]]/Tabela3[[#This Row],[Total Ações]]</f>
        <v>0.82275725303812475</v>
      </c>
      <c r="H42" s="15">
        <f>Tabela3[[#This Row],[Lucro/Ação]]/Tabela3[[#This Row],[Ref]]*4</f>
        <v>1.0970096707174997</v>
      </c>
      <c r="I42" s="19">
        <f>IF(GETPIVOTDATA("Payout",'Tabela LL'!$A$3,"Ativo",Tabela3[[#This Row],[PAPEL]])&gt;1,1,GETPIVOTDATA("Payout",'Tabela LL'!$A$3,"Ativo",Tabela3[[#This Row],[PAPEL]]))</f>
        <v>0.88025940606631048</v>
      </c>
      <c r="J42" s="6">
        <f>[Patrimônio Líquido]/[Total Ações]</f>
        <v>0.84343204274397188</v>
      </c>
      <c r="K42" s="52">
        <f>MAX(Tabela3[[#This Row],[Cotação 1]],Tabela3[[#This Row],[Cotação 2]])</f>
        <v>14.89</v>
      </c>
      <c r="L42" s="48">
        <f>[Cotação]/[VPA]</f>
        <v>17.654060132168748</v>
      </c>
      <c r="M42" s="44">
        <f>IF(Tabela3[[#This Row],[Lucro/Ação Ano]]&gt;0,Tabela3[[#This Row],[Cotação]]/Tabela3[[#This Row],[Lucro/Ação Ano]],0)</f>
        <v>13.57326229427056</v>
      </c>
      <c r="N42" s="17">
        <f>ROUND(Tabela3[[#This Row],[Lucro Prev]]/10%,2)</f>
        <v>9.66</v>
      </c>
      <c r="O42" s="13">
        <f>MIN(Tabela3[[#This Row],[10% Rent]],Tabela3[[#This Row],[VPA]]*3.5)</f>
        <v>2.9520121496039016</v>
      </c>
      <c r="P42" s="19">
        <f>Tabela3[[#This Row],[P Compra]]/Tabela3[[#This Row],[Cotação]]-1</f>
        <v>-0.80174532239060436</v>
      </c>
      <c r="Q42" s="6">
        <f>Tabela3[[#This Row],[Lucro/Ação Ano]]*Tabela3[[#This Row],[Payout]]</f>
        <v>0.9656530811947851</v>
      </c>
      <c r="R42" s="15" t="str">
        <f>IF(AND([% Yield]&gt;=10%,[PVPA]&lt;=3.5,[PL]&lt;=15,[PL]&gt;0),"Sim","Não")</f>
        <v>Não</v>
      </c>
      <c r="S42" s="46">
        <f>Tabela3[[#This Row],[Lucro Prev]]/Tabela3[[#This Row],[Cotação]]</f>
        <v>6.4852456762577906E-2</v>
      </c>
      <c r="T42" s="14">
        <f>($Z$1/Tabela3[[#This Row],[Cotação]]-MOD($Z$1/Tabela3[[#This Row],[Cotação]],100))</f>
        <v>0</v>
      </c>
      <c r="U42" s="17">
        <f>Tabela3[[#This Row],[Ativos]]*Tabela3[[#This Row],[Lucro Prev]]</f>
        <v>0</v>
      </c>
      <c r="V42" s="13">
        <f>SUMPRODUCT(N(Tabela1[Código]=Tabela3[[#This Row],[PAPEL]]),Tabela1[Fechamento])</f>
        <v>0</v>
      </c>
      <c r="W42" s="61">
        <f>SUMPRODUCT(N(Tabela17[Código]=Tabela3[[#This Row],[PAPEL]]),Tabela17[Fechamento])</f>
        <v>14.89</v>
      </c>
    </row>
    <row r="43" spans="1:23" hidden="1">
      <c r="A43" s="4" t="s">
        <v>14</v>
      </c>
      <c r="B43" s="15" t="s">
        <v>81</v>
      </c>
      <c r="C43" s="16">
        <v>3</v>
      </c>
      <c r="D43" s="5">
        <v>843867000</v>
      </c>
      <c r="E43" s="5">
        <v>34502000</v>
      </c>
      <c r="F43" s="21">
        <v>73646388</v>
      </c>
      <c r="G43" s="16">
        <f>Tabela3[[#This Row],[Lucro Líquido]]/Tabela3[[#This Row],[Total Ações]]</f>
        <v>0.46848190300928266</v>
      </c>
      <c r="H43" s="16">
        <f>Tabela3[[#This Row],[Lucro/Ação]]/Tabela3[[#This Row],[Ref]]*4</f>
        <v>0.62464253734571018</v>
      </c>
      <c r="I43" s="18">
        <f>IF(GETPIVOTDATA("Payout",'Tabela LL'!$A$3,"Ativo",Tabela3[[#This Row],[PAPEL]])&gt;1,1,GETPIVOTDATA("Payout",'Tabela LL'!$A$3,"Ativo",Tabela3[[#This Row],[PAPEL]]))</f>
        <v>0.60787593639212112</v>
      </c>
      <c r="J43" s="5">
        <f>[Patrimônio Líquido]/[Total Ações]</f>
        <v>11.45836235716</v>
      </c>
      <c r="K43" s="58">
        <f>MAX(Tabela3[[#This Row],[Cotação 1]],Tabela3[[#This Row],[Cotação 2]])</f>
        <v>5.96</v>
      </c>
      <c r="L43" s="59">
        <f>[Cotação]/[VPA]</f>
        <v>0.52014413702633233</v>
      </c>
      <c r="M43" s="40">
        <f>IF(Tabela3[[#This Row],[Lucro/Ação Ano]]&gt;0,Tabela3[[#This Row],[Cotação]]/Tabela3[[#This Row],[Lucro/Ação Ano]],0)</f>
        <v>9.541457143354009</v>
      </c>
      <c r="N43" s="5">
        <f>ROUND(Tabela3[[#This Row],[Lucro Prev]]/10%,2)</f>
        <v>3.8</v>
      </c>
      <c r="O43" s="60">
        <f>MIN(Tabela3[[#This Row],[10% Rent]],Tabela3[[#This Row],[VPA]]*3.5)</f>
        <v>3.8</v>
      </c>
      <c r="P43" s="18">
        <f>Tabela3[[#This Row],[P Compra]]/Tabela3[[#This Row],[Cotação]]-1</f>
        <v>-0.36241610738255037</v>
      </c>
      <c r="Q43" s="5">
        <f>Tabela3[[#This Row],[Lucro/Ação Ano]]*Tabela3[[#This Row],[Payout]]</f>
        <v>0.37970516729937404</v>
      </c>
      <c r="R43" s="16" t="str">
        <f>IF(AND([% Yield]&gt;=10%,[PVPA]&lt;=3.5,[PL]&lt;=15,[PL]&gt;0),"Sim","Não")</f>
        <v>Não</v>
      </c>
      <c r="S43" s="22">
        <f>Tabela3[[#This Row],[Lucro Prev]]/Tabela3[[#This Row],[Cotação]]</f>
        <v>6.3708920687814433E-2</v>
      </c>
      <c r="T43" s="10">
        <f>($Z$1/Tabela3[[#This Row],[Cotação]]-MOD($Z$1/Tabela3[[#This Row],[Cotação]],100))</f>
        <v>100</v>
      </c>
      <c r="U43" s="7">
        <f>Tabela3[[#This Row],[Ativos]]*Tabela3[[#This Row],[Lucro Prev]]</f>
        <v>37.970516729937401</v>
      </c>
      <c r="V43" s="5">
        <f>SUMPRODUCT(N(Tabela1[Código]=Tabela3[[#This Row],[PAPEL]]),Tabela1[Fechamento])</f>
        <v>5.96</v>
      </c>
      <c r="W43" s="5">
        <f>SUMPRODUCT(N(Tabela17[Código]=Tabela3[[#This Row],[PAPEL]]),Tabela17[Fechamento])</f>
        <v>0</v>
      </c>
    </row>
    <row r="44" spans="1:23" hidden="1">
      <c r="A44" s="25" t="s">
        <v>12</v>
      </c>
      <c r="B44" s="15" t="s">
        <v>38</v>
      </c>
      <c r="C44" s="15">
        <v>3</v>
      </c>
      <c r="D44" s="31">
        <v>2745488000</v>
      </c>
      <c r="E44" s="31">
        <v>276732000</v>
      </c>
      <c r="F44" s="28">
        <v>94433283</v>
      </c>
      <c r="G44" s="27">
        <f>Tabela3[[#This Row],[Lucro Líquido]]/Tabela3[[#This Row],[Total Ações]]</f>
        <v>2.9304498499750347</v>
      </c>
      <c r="H44" s="27">
        <f>Tabela3[[#This Row],[Lucro/Ação]]/Tabela3[[#This Row],[Ref]]*4</f>
        <v>3.9072664666333794</v>
      </c>
      <c r="I44" s="53">
        <f>IF(GETPIVOTDATA("Payout",'Tabela LL'!$A$3,"Ativo",Tabela3[[#This Row],[PAPEL]])&gt;1,1,GETPIVOTDATA("Payout",'Tabela LL'!$A$3,"Ativo",Tabela3[[#This Row],[PAPEL]]))</f>
        <v>1</v>
      </c>
      <c r="J44" s="31">
        <f>[Patrimônio Líquido]/[Total Ações]</f>
        <v>29.073308824813388</v>
      </c>
      <c r="K44" s="32">
        <f>MAX(Tabela3[[#This Row],[Cotação 1]],Tabela3[[#This Row],[Cotação 2]])</f>
        <v>61.99</v>
      </c>
      <c r="L44" s="33">
        <f>[Cotação]/[VPA]</f>
        <v>2.1321962482334653</v>
      </c>
      <c r="M44" s="38">
        <f>IF(Tabela3[[#This Row],[Lucro/Ação Ano]]&gt;0,Tabela3[[#This Row],[Cotação]]/Tabela3[[#This Row],[Lucro/Ação Ano]],0)</f>
        <v>15.865311600673216</v>
      </c>
      <c r="N44" s="31">
        <f>ROUND(Tabela3[[#This Row],[Lucro Prev]]/10%,2)</f>
        <v>39.07</v>
      </c>
      <c r="O44" s="29">
        <f>MIN(Tabela3[[#This Row],[10% Rent]],Tabela3[[#This Row],[VPA]]*3.5)</f>
        <v>39.07</v>
      </c>
      <c r="P44" s="54">
        <f>Tabela3[[#This Row],[P Compra]]/Tabela3[[#This Row],[Cotação]]-1</f>
        <v>-0.36973705436360704</v>
      </c>
      <c r="Q44" s="6">
        <f>Tabela3[[#This Row],[Lucro/Ação Ano]]*Tabela3[[#This Row],[Payout]]</f>
        <v>3.9072664666333794</v>
      </c>
      <c r="R44" s="26" t="str">
        <f>IF(AND([% Yield]&gt;=10%,[PVPA]&lt;=3.5,[PL]&lt;=15,[PL]&gt;0),"Sim","Não")</f>
        <v>Não</v>
      </c>
      <c r="S44" s="30">
        <f>Tabela3[[#This Row],[Lucro Prev]]/Tabela3[[#This Row],[Cotação]]</f>
        <v>6.3030593105878038E-2</v>
      </c>
      <c r="T44" s="10">
        <f>($Z$1/Tabela3[[#This Row],[Cotação]]-MOD($Z$1/Tabela3[[#This Row],[Cotação]],100))</f>
        <v>0</v>
      </c>
      <c r="U44" s="7">
        <f>Tabela3[[#This Row],[Ativos]]*Tabela3[[#This Row],[Lucro Prev]]</f>
        <v>0</v>
      </c>
      <c r="V44" s="5">
        <f>SUMPRODUCT(N(Tabela1[Código]=Tabela3[[#This Row],[PAPEL]]),Tabela1[Fechamento])</f>
        <v>61.99</v>
      </c>
      <c r="W44" s="5">
        <f>SUMPRODUCT(N(Tabela17[Código]=Tabela3[[#This Row],[PAPEL]]),Tabela17[Fechamento])</f>
        <v>0</v>
      </c>
    </row>
    <row r="45" spans="1:23" hidden="1">
      <c r="A45" s="4" t="s">
        <v>12</v>
      </c>
      <c r="B45" s="14" t="s">
        <v>183</v>
      </c>
      <c r="C45" s="15">
        <v>3</v>
      </c>
      <c r="D45" s="6">
        <v>2745488000</v>
      </c>
      <c r="E45" s="6">
        <v>276732000</v>
      </c>
      <c r="F45" s="42">
        <v>94433283</v>
      </c>
      <c r="G45" s="15">
        <f>Tabela3[[#This Row],[Lucro Líquido]]/Tabela3[[#This Row],[Total Ações]]</f>
        <v>2.9304498499750347</v>
      </c>
      <c r="H45" s="15">
        <f>Tabela3[[#This Row],[Lucro/Ação]]/Tabela3[[#This Row],[Ref]]*4</f>
        <v>3.9072664666333794</v>
      </c>
      <c r="I45" s="19">
        <f>IF(GETPIVOTDATA("Payout",'Tabela LL'!$A$3,"Ativo",Tabela3[[#This Row],[PAPEL]])&gt;1,1,GETPIVOTDATA("Payout",'Tabela LL'!$A$3,"Ativo",Tabela3[[#This Row],[PAPEL]]))</f>
        <v>1</v>
      </c>
      <c r="J45" s="6">
        <f>[Patrimônio Líquido]/[Total Ações]</f>
        <v>29.073308824813388</v>
      </c>
      <c r="K45" s="52">
        <f>MAX(Tabela3[[#This Row],[Cotação 1]],Tabela3[[#This Row],[Cotação 2]])</f>
        <v>62.04</v>
      </c>
      <c r="L45" s="48">
        <f>[Cotação]/[VPA]</f>
        <v>2.1339160387224418</v>
      </c>
      <c r="M45" s="44">
        <f>IF(Tabela3[[#This Row],[Lucro/Ação Ano]]&gt;0,Tabela3[[#This Row],[Cotação]]/Tabela3[[#This Row],[Lucro/Ação Ano]],0)</f>
        <v>15.878108270781841</v>
      </c>
      <c r="N45" s="6">
        <f>ROUND(Tabela3[[#This Row],[Lucro Prev]]/10%,2)</f>
        <v>39.07</v>
      </c>
      <c r="O45" s="61">
        <f>MIN(Tabela3[[#This Row],[10% Rent]],Tabela3[[#This Row],[VPA]]*3.5)</f>
        <v>39.07</v>
      </c>
      <c r="P45" s="19">
        <f>Tabela3[[#This Row],[P Compra]]/Tabela3[[#This Row],[Cotação]]-1</f>
        <v>-0.37024500322372667</v>
      </c>
      <c r="Q45" s="6">
        <f>Tabela3[[#This Row],[Lucro/Ação Ano]]*Tabela3[[#This Row],[Payout]]</f>
        <v>3.9072664666333794</v>
      </c>
      <c r="R45" s="15" t="str">
        <f>IF(AND([% Yield]&gt;=10%,[PVPA]&lt;=3.5,[PL]&lt;=15,[PL]&gt;0),"Sim","Não")</f>
        <v>Não</v>
      </c>
      <c r="S45" s="46">
        <f>Tabela3[[#This Row],[Lucro Prev]]/Tabela3[[#This Row],[Cotação]]</f>
        <v>6.2979794755534807E-2</v>
      </c>
      <c r="T45" s="14">
        <f>($Z$1/Tabela3[[#This Row],[Cotação]]-MOD($Z$1/Tabela3[[#This Row],[Cotação]],100))</f>
        <v>0</v>
      </c>
      <c r="U45" s="17">
        <f>Tabela3[[#This Row],[Ativos]]*Tabela3[[#This Row],[Lucro Prev]]</f>
        <v>0</v>
      </c>
      <c r="V45" s="5">
        <f>SUMPRODUCT(N(Tabela1[Código]=Tabela3[[#This Row],[PAPEL]]),Tabela1[Fechamento])</f>
        <v>62.04</v>
      </c>
      <c r="W45" s="5">
        <f>SUMPRODUCT(N(Tabela17[Código]=Tabela3[[#This Row],[PAPEL]]),Tabela17[Fechamento])</f>
        <v>0</v>
      </c>
    </row>
    <row r="46" spans="1:23" hidden="1">
      <c r="A46" s="4" t="s">
        <v>14</v>
      </c>
      <c r="B46" s="15" t="s">
        <v>255</v>
      </c>
      <c r="C46" s="16">
        <v>3</v>
      </c>
      <c r="D46" s="5">
        <v>843867000</v>
      </c>
      <c r="E46" s="5">
        <v>34502000</v>
      </c>
      <c r="F46" s="21">
        <v>73646388</v>
      </c>
      <c r="G46" s="16">
        <f>Tabela3[[#This Row],[Lucro Líquido]]/Tabela3[[#This Row],[Total Ações]]</f>
        <v>0.46848190300928266</v>
      </c>
      <c r="H46" s="16">
        <f>Tabela3[[#This Row],[Lucro/Ação]]/Tabela3[[#This Row],[Ref]]*4</f>
        <v>0.62464253734571018</v>
      </c>
      <c r="I46" s="18">
        <f>IF(GETPIVOTDATA("Payout",'Tabela LL'!$A$3,"Ativo",Tabela3[[#This Row],[PAPEL]])&gt;1,1,GETPIVOTDATA("Payout",'Tabela LL'!$A$3,"Ativo",Tabela3[[#This Row],[PAPEL]]))</f>
        <v>0.35489823087446021</v>
      </c>
      <c r="J46" s="5">
        <f>[Patrimônio Líquido]/[Total Ações]</f>
        <v>11.45836235716</v>
      </c>
      <c r="K46" s="58">
        <f>MAX(Tabela3[[#This Row],[Cotação 1]],Tabela3[[#This Row],[Cotação 2]])</f>
        <v>3.6</v>
      </c>
      <c r="L46" s="59">
        <f>[Cotação]/[VPA]</f>
        <v>0.31418102236489875</v>
      </c>
      <c r="M46" s="40">
        <f>IF(Tabela3[[#This Row],[Lucro/Ação Ano]]&gt;0,Tabela3[[#This Row],[Cotação]]/Tabela3[[#This Row],[Lucro/Ação Ano]],0)</f>
        <v>5.7632962610863148</v>
      </c>
      <c r="N46" s="5">
        <f>ROUND(Tabela3[[#This Row],[Lucro Prev]]/10%,2)</f>
        <v>2.2200000000000002</v>
      </c>
      <c r="O46" s="60">
        <f>MIN(Tabela3[[#This Row],[10% Rent]],Tabela3[[#This Row],[VPA]]*3.5)</f>
        <v>2.2200000000000002</v>
      </c>
      <c r="P46" s="18">
        <f>Tabela3[[#This Row],[P Compra]]/Tabela3[[#This Row],[Cotação]]-1</f>
        <v>-0.3833333333333333</v>
      </c>
      <c r="Q46" s="5">
        <f>Tabela3[[#This Row],[Lucro/Ação Ano]]*Tabela3[[#This Row],[Payout]]</f>
        <v>0.22168453143292649</v>
      </c>
      <c r="R46" s="16" t="str">
        <f>IF(AND([% Yield]&gt;=10%,[PVPA]&lt;=3.5,[PL]&lt;=15,[PL]&gt;0),"Sim","Não")</f>
        <v>Não</v>
      </c>
      <c r="S46" s="22">
        <f>Tabela3[[#This Row],[Lucro Prev]]/Tabela3[[#This Row],[Cotação]]</f>
        <v>6.1579036509146243E-2</v>
      </c>
      <c r="T46" s="10">
        <f>($Z$1/Tabela3[[#This Row],[Cotação]]-MOD($Z$1/Tabela3[[#This Row],[Cotação]],100))</f>
        <v>200</v>
      </c>
      <c r="U46" s="7">
        <f>Tabela3[[#This Row],[Ativos]]*Tabela3[[#This Row],[Lucro Prev]]</f>
        <v>44.336906286585297</v>
      </c>
      <c r="V46" s="5">
        <f>SUMPRODUCT(N(Tabela1[Código]=Tabela3[[#This Row],[PAPEL]]),Tabela1[Fechamento])</f>
        <v>3.6</v>
      </c>
      <c r="W46" s="5">
        <f>SUMPRODUCT(N(Tabela17[Código]=Tabela3[[#This Row],[PAPEL]]),Tabela17[Fechamento])</f>
        <v>0</v>
      </c>
    </row>
    <row r="47" spans="1:23" hidden="1">
      <c r="A47" s="4" t="s">
        <v>14</v>
      </c>
      <c r="B47" s="14" t="s">
        <v>232</v>
      </c>
      <c r="C47" s="15">
        <v>3</v>
      </c>
      <c r="D47" s="6">
        <v>5008604000</v>
      </c>
      <c r="E47" s="6">
        <v>602652000</v>
      </c>
      <c r="F47" s="42">
        <v>408974477</v>
      </c>
      <c r="G47" s="15">
        <f>Tabela3[[#This Row],[Lucro Líquido]]/Tabela3[[#This Row],[Total Ações]]</f>
        <v>1.4735687283487864</v>
      </c>
      <c r="H47" s="15">
        <f>Tabela3[[#This Row],[Lucro/Ação]]/Tabela3[[#This Row],[Ref]]*4</f>
        <v>1.9647583044650485</v>
      </c>
      <c r="I47" s="19">
        <f>IF(GETPIVOTDATA("Payout",'Tabela LL'!$A$3,"Ativo",Tabela3[[#This Row],[PAPEL]])&gt;1,1,GETPIVOTDATA("Payout",'Tabela LL'!$A$3,"Ativo",Tabela3[[#This Row],[PAPEL]]))</f>
        <v>0.38934546499886002</v>
      </c>
      <c r="J47" s="6">
        <f>[Patrimônio Líquido]/[Total Ações]</f>
        <v>12.246739788605439</v>
      </c>
      <c r="K47" s="52">
        <f>MAX(Tabela3[[#This Row],[Cotação 1]],Tabela3[[#This Row],[Cotação 2]])</f>
        <v>12.58</v>
      </c>
      <c r="L47" s="48">
        <f>[Cotação]/[VPA]</f>
        <v>1.0272121574514577</v>
      </c>
      <c r="M47" s="44">
        <f>IF(Tabela3[[#This Row],[Lucro/Ação Ano]]&gt;0,Tabela3[[#This Row],[Cotação]]/Tabela3[[#This Row],[Lucro/Ação Ano]],0)</f>
        <v>6.4028231724029787</v>
      </c>
      <c r="N47" s="6">
        <f>ROUND(Tabela3[[#This Row],[Lucro Prev]]/10%,2)</f>
        <v>7.65</v>
      </c>
      <c r="O47" s="61">
        <f>MIN(Tabela3[[#This Row],[10% Rent]],Tabela3[[#This Row],[VPA]]*3.5)</f>
        <v>7.65</v>
      </c>
      <c r="P47" s="19">
        <f>Tabela3[[#This Row],[P Compra]]/Tabela3[[#This Row],[Cotação]]-1</f>
        <v>-0.39189189189189189</v>
      </c>
      <c r="Q47" s="6">
        <f>Tabela3[[#This Row],[Lucro/Ação Ano]]*Tabela3[[#This Row],[Payout]]</f>
        <v>0.76496973566231607</v>
      </c>
      <c r="R47" s="15" t="str">
        <f>IF(AND([% Yield]&gt;=10%,[PVPA]&lt;=3.5,[PL]&lt;=15,[PL]&gt;0),"Sim","Não")</f>
        <v>Não</v>
      </c>
      <c r="S47" s="46">
        <f>Tabela3[[#This Row],[Lucro Prev]]/Tabela3[[#This Row],[Cotação]]</f>
        <v>6.080840506059746E-2</v>
      </c>
      <c r="T47" s="14">
        <f>($Z$1/Tabela3[[#This Row],[Cotação]]-MOD($Z$1/Tabela3[[#This Row],[Cotação]],100))</f>
        <v>0</v>
      </c>
      <c r="U47" s="17">
        <f>Tabela3[[#This Row],[Ativos]]*Tabela3[[#This Row],[Lucro Prev]]</f>
        <v>0</v>
      </c>
      <c r="V47" s="5">
        <f>SUMPRODUCT(N(Tabela1[Código]=Tabela3[[#This Row],[PAPEL]]),Tabela1[Fechamento])</f>
        <v>12.58</v>
      </c>
      <c r="W47" s="5">
        <f>SUMPRODUCT(N(Tabela17[Código]=Tabela3[[#This Row],[PAPEL]]),Tabela17[Fechamento])</f>
        <v>0</v>
      </c>
    </row>
    <row r="48" spans="1:23" hidden="1">
      <c r="A48" s="4" t="s">
        <v>12</v>
      </c>
      <c r="B48" s="71" t="s">
        <v>70</v>
      </c>
      <c r="C48" s="15">
        <v>3</v>
      </c>
      <c r="D48" s="6">
        <v>1476720000</v>
      </c>
      <c r="E48" s="6">
        <v>48170000</v>
      </c>
      <c r="F48" s="42">
        <v>95061053</v>
      </c>
      <c r="G48" s="15">
        <f>Tabela3[[#This Row],[Lucro Líquido]]/Tabela3[[#This Row],[Total Ações]]</f>
        <v>0.50672697681983392</v>
      </c>
      <c r="H48" s="15">
        <f>Tabela3[[#This Row],[Lucro/Ação]]/Tabela3[[#This Row],[Ref]]*4</f>
        <v>0.67563596909311185</v>
      </c>
      <c r="I48" s="19">
        <f>IF(GETPIVOTDATA("Payout",'Tabela LL'!$A$3,"Ativo",Tabela3[[#This Row],[PAPEL]])&gt;1,1,GETPIVOTDATA("Payout",'Tabela LL'!$A$3,"Ativo",Tabela3[[#This Row],[PAPEL]]))</f>
        <v>0.83226612425770607</v>
      </c>
      <c r="J48" s="6">
        <f>[Patrimônio Líquido]/[Total Ações]</f>
        <v>15.53443764188053</v>
      </c>
      <c r="K48" s="52">
        <f>MAX(Tabela3[[#This Row],[Cotação 1]],Tabela3[[#This Row],[Cotação 2]])</f>
        <v>9.25</v>
      </c>
      <c r="L48" s="48">
        <f>[Cotação]/[VPA]</f>
        <v>0.59545122992171839</v>
      </c>
      <c r="M48" s="44">
        <f>IF(Tabela3[[#This Row],[Lucro/Ação Ano]]&gt;0,Tabela3[[#This Row],[Cotação]]/Tabela3[[#This Row],[Lucro/Ação Ano]],0)</f>
        <v>13.690804550290638</v>
      </c>
      <c r="N48" s="6">
        <f>ROUND(Tabela3[[#This Row],[Lucro Prev]]/10%,2)</f>
        <v>5.62</v>
      </c>
      <c r="O48" s="17">
        <f>MIN(Tabela3[[#This Row],[10% Rent]],Tabela3[[#This Row],[VPA]]*3.5)</f>
        <v>5.62</v>
      </c>
      <c r="P48" s="19">
        <f>Tabela3[[#This Row],[P Compra]]/Tabela3[[#This Row],[Cotação]]-1</f>
        <v>-0.39243243243243242</v>
      </c>
      <c r="Q48" s="6">
        <f>Tabela3[[#This Row],[Lucro/Ação Ano]]*Tabela3[[#This Row],[Payout]]</f>
        <v>0.56230892940622346</v>
      </c>
      <c r="R48" s="14" t="str">
        <f>IF(AND([% Yield]&gt;=10%,[PVPA]&lt;=3.5,[PL]&lt;=15,[PL]&gt;0),"Sim","Não")</f>
        <v>Não</v>
      </c>
      <c r="S48" s="46">
        <f>Tabela3[[#This Row],[Lucro Prev]]/Tabela3[[#This Row],[Cotação]]</f>
        <v>6.0790154530402533E-2</v>
      </c>
      <c r="T48" s="14">
        <f>($Z$1/Tabela3[[#This Row],[Cotação]]-MOD($Z$1/Tabela3[[#This Row],[Cotação]],100))</f>
        <v>100</v>
      </c>
      <c r="U48" s="17">
        <f>Tabela3[[#This Row],[Ativos]]*Tabela3[[#This Row],[Lucro Prev]]</f>
        <v>56.230892940622347</v>
      </c>
      <c r="V48" s="5">
        <f>SUMPRODUCT(N(Tabela1[Código]=Tabela3[[#This Row],[PAPEL]]),Tabela1[Fechamento])</f>
        <v>9.25</v>
      </c>
      <c r="W48" s="5">
        <f>SUMPRODUCT(N(Tabela17[Código]=Tabela3[[#This Row],[PAPEL]]),Tabela17[Fechamento])</f>
        <v>0</v>
      </c>
    </row>
    <row r="49" spans="1:23" hidden="1">
      <c r="A49" s="4" t="s">
        <v>14</v>
      </c>
      <c r="B49" s="14" t="s">
        <v>23</v>
      </c>
      <c r="C49" s="15">
        <v>3</v>
      </c>
      <c r="D49" s="6">
        <v>5008604000</v>
      </c>
      <c r="E49" s="6">
        <v>602652000</v>
      </c>
      <c r="F49" s="42">
        <v>408974477</v>
      </c>
      <c r="G49" s="15">
        <f>Tabela3[[#This Row],[Lucro Líquido]]/Tabela3[[#This Row],[Total Ações]]</f>
        <v>1.4735687283487864</v>
      </c>
      <c r="H49" s="15">
        <f>Tabela3[[#This Row],[Lucro/Ação]]/Tabela3[[#This Row],[Ref]]*4</f>
        <v>1.9647583044650485</v>
      </c>
      <c r="I49" s="19">
        <f>IF(GETPIVOTDATA("Payout",'Tabela LL'!$A$3,"Ativo",Tabela3[[#This Row],[PAPEL]])&gt;1,1,GETPIVOTDATA("Payout",'Tabela LL'!$A$3,"Ativo",Tabela3[[#This Row],[PAPEL]]))</f>
        <v>0.38941510854732531</v>
      </c>
      <c r="J49" s="6">
        <f>[Patrimônio Líquido]/[Total Ações]</f>
        <v>12.246739788605439</v>
      </c>
      <c r="K49" s="52">
        <f>MAX(Tabela3[[#This Row],[Cotação 1]],Tabela3[[#This Row],[Cotação 2]])</f>
        <v>12.41</v>
      </c>
      <c r="L49" s="48">
        <f>[Cotação]/[VPA]</f>
        <v>1.0133309120804919</v>
      </c>
      <c r="M49" s="44">
        <f>IF(Tabela3[[#This Row],[Lucro/Ação Ano]]&gt;0,Tabela3[[#This Row],[Cotação]]/Tabela3[[#This Row],[Lucro/Ação Ano]],0)</f>
        <v>6.316298534938074</v>
      </c>
      <c r="N49" s="6">
        <f>ROUND(Tabela3[[#This Row],[Lucro Prev]]/10%,2)</f>
        <v>7.65</v>
      </c>
      <c r="O49" s="61">
        <f>MIN(Tabela3[[#This Row],[10% Rent]],Tabela3[[#This Row],[VPA]]*3.5)</f>
        <v>7.65</v>
      </c>
      <c r="P49" s="19">
        <f>Tabela3[[#This Row],[P Compra]]/Tabela3[[#This Row],[Cotação]]-1</f>
        <v>-0.38356164383561642</v>
      </c>
      <c r="Q49" s="6">
        <f>Tabela3[[#This Row],[Lucro/Ação Ano]]*Tabela3[[#This Row],[Payout]]</f>
        <v>0.76510656840251567</v>
      </c>
      <c r="R49" s="15" t="str">
        <f>IF(AND([% Yield]&gt;=10%,[PVPA]&lt;=3.5,[PL]&lt;=15,[PL]&gt;0),"Sim","Não")</f>
        <v>Não</v>
      </c>
      <c r="S49" s="46">
        <f>Tabela3[[#This Row],[Lucro Prev]]/Tabela3[[#This Row],[Cotação]]</f>
        <v>6.165242291720513E-2</v>
      </c>
      <c r="T49" s="14">
        <f>($Z$1/Tabela3[[#This Row],[Cotação]]-MOD($Z$1/Tabela3[[#This Row],[Cotação]],100))</f>
        <v>0</v>
      </c>
      <c r="U49" s="17">
        <f>Tabela3[[#This Row],[Ativos]]*Tabela3[[#This Row],[Lucro Prev]]</f>
        <v>0</v>
      </c>
      <c r="V49" s="5">
        <f>SUMPRODUCT(N(Tabela1[Código]=Tabela3[[#This Row],[PAPEL]]),Tabela1[Fechamento])</f>
        <v>12.41</v>
      </c>
      <c r="W49" s="5">
        <f>SUMPRODUCT(N(Tabela17[Código]=Tabela3[[#This Row],[PAPEL]]),Tabela17[Fechamento])</f>
        <v>0</v>
      </c>
    </row>
    <row r="50" spans="1:23" hidden="1">
      <c r="A50" s="4" t="s">
        <v>478</v>
      </c>
      <c r="B50" s="71" t="s">
        <v>479</v>
      </c>
      <c r="C50" s="15">
        <v>3</v>
      </c>
      <c r="D50" s="6">
        <v>165456334000</v>
      </c>
      <c r="E50" s="6">
        <v>14982201000</v>
      </c>
      <c r="F50" s="42">
        <v>5365304100</v>
      </c>
      <c r="G50" s="73">
        <f>Tabela3[[#This Row],[Lucro Líquido]]/Tabela3[[#This Row],[Total Ações]]</f>
        <v>2.7924234527545231</v>
      </c>
      <c r="H50" s="15">
        <f>Tabela3[[#This Row],[Lucro/Ação]]/Tabela3[[#This Row],[Ref]]*4</f>
        <v>3.723231270339364</v>
      </c>
      <c r="I50" s="19">
        <f>IF(GETPIVOTDATA("Payout",'Tabela LL'!$A$3,"Ativo",Tabela3[[#This Row],[PAPEL]])&gt;1,1,GETPIVOTDATA("Payout",'Tabela LL'!$A$3,"Ativo",Tabela3[[#This Row],[PAPEL]]))</f>
        <v>0.50530256504079152</v>
      </c>
      <c r="J50" s="6">
        <f>[Patrimônio Líquido]/[Total Ações]</f>
        <v>30.838202442243674</v>
      </c>
      <c r="K50" s="52">
        <f>MAX(Tabela3[[#This Row],[Cotação 1]],Tabela3[[#This Row],[Cotação 2]])</f>
        <v>31.13</v>
      </c>
      <c r="L50" s="48">
        <f>[Cotação]/[VPA]</f>
        <v>1.0094622103315791</v>
      </c>
      <c r="M50" s="44">
        <f>IF(Tabela3[[#This Row],[Lucro/Ação Ano]]&gt;0,Tabela3[[#This Row],[Cotação]]/Tabela3[[#This Row],[Lucro/Ação Ano]],0)</f>
        <v>8.3610170144393336</v>
      </c>
      <c r="N50" s="17">
        <f>ROUND(Tabela3[[#This Row],[Lucro Prev]]/10%,2)</f>
        <v>18.809999999999999</v>
      </c>
      <c r="O50" s="13">
        <f>MIN(Tabela3[[#This Row],[10% Rent]],Tabela3[[#This Row],[VPA]]*3.5)</f>
        <v>18.809999999999999</v>
      </c>
      <c r="P50" s="19">
        <f>Tabela3[[#This Row],[P Compra]]/Tabela3[[#This Row],[Cotação]]-1</f>
        <v>-0.39575971731448767</v>
      </c>
      <c r="Q50" s="6">
        <f>Tabela3[[#This Row],[Lucro/Ação Ano]]*Tabela3[[#This Row],[Payout]]</f>
        <v>1.8813583111425654</v>
      </c>
      <c r="R50" s="15" t="str">
        <f>IF(AND([% Yield]&gt;=10%,[PVPA]&lt;=3.5,[PL]&lt;=15,[PL]&gt;0),"Sim","Não")</f>
        <v>Não</v>
      </c>
      <c r="S50" s="46">
        <f>Tabela3[[#This Row],[Lucro Prev]]/Tabela3[[#This Row],[Cotação]]</f>
        <v>6.0435538424110681E-2</v>
      </c>
      <c r="T50" s="14">
        <f>($Z$1/Tabela3[[#This Row],[Cotação]]-MOD($Z$1/Tabela3[[#This Row],[Cotação]],100))</f>
        <v>0</v>
      </c>
      <c r="U50" s="17">
        <f>Tabela3[[#This Row],[Ativos]]*Tabela3[[#This Row],[Lucro Prev]]</f>
        <v>0</v>
      </c>
      <c r="V50" s="13">
        <f>SUMPRODUCT(N(Tabela1[Código]=Tabela3[[#This Row],[PAPEL]]),Tabela1[Fechamento])</f>
        <v>0</v>
      </c>
      <c r="W50" s="61">
        <f>SUMPRODUCT(N(Tabela17[Código]=Tabela3[[#This Row],[PAPEL]]),Tabela17[Fechamento])</f>
        <v>31.13</v>
      </c>
    </row>
    <row r="51" spans="1:23" hidden="1">
      <c r="A51" s="25" t="s">
        <v>12</v>
      </c>
      <c r="B51" s="15" t="s">
        <v>34</v>
      </c>
      <c r="C51" s="15">
        <v>3</v>
      </c>
      <c r="D51" s="31">
        <v>12828375000</v>
      </c>
      <c r="E51" s="31">
        <v>898498000</v>
      </c>
      <c r="F51" s="28">
        <v>273655375</v>
      </c>
      <c r="G51" s="27">
        <f>Tabela3[[#This Row],[Lucro Líquido]]/Tabela3[[#This Row],[Total Ações]]</f>
        <v>3.2833193939640322</v>
      </c>
      <c r="H51" s="27">
        <f>Tabela3[[#This Row],[Lucro/Ação]]/Tabela3[[#This Row],[Ref]]*4</f>
        <v>4.3777591919520429</v>
      </c>
      <c r="I51" s="19">
        <f>IF(GETPIVOTDATA("Payout",'Tabela LL'!$A$3,"Ativo",Tabela3[[#This Row],[PAPEL]])&gt;1,1,GETPIVOTDATA("Payout",'Tabela LL'!$A$3,"Ativo",Tabela3[[#This Row],[PAPEL]]))</f>
        <v>0.30524903922734314</v>
      </c>
      <c r="J51" s="31">
        <f>[Patrimônio Líquido]/[Total Ações]</f>
        <v>46.877847730927996</v>
      </c>
      <c r="K51" s="32">
        <f>MAX(Tabela3[[#This Row],[Cotação 1]],Tabela3[[#This Row],[Cotação 2]])</f>
        <v>22.04</v>
      </c>
      <c r="L51" s="33">
        <f>[Cotação]/[VPA]</f>
        <v>0.47015810381283674</v>
      </c>
      <c r="M51" s="38">
        <f>IF(Tabela3[[#This Row],[Lucro/Ação Ano]]&gt;0,Tabela3[[#This Row],[Cotação]]/Tabela3[[#This Row],[Lucro/Ação Ano]],0)</f>
        <v>5.0345391405990885</v>
      </c>
      <c r="N51" s="31">
        <f>ROUND(Tabela3[[#This Row],[Lucro Prev]]/10%,2)</f>
        <v>13.36</v>
      </c>
      <c r="O51" s="29">
        <f>MIN(Tabela3[[#This Row],[10% Rent]],Tabela3[[#This Row],[VPA]]*3.5)</f>
        <v>13.36</v>
      </c>
      <c r="P51" s="54">
        <f>Tabela3[[#This Row],[P Compra]]/Tabela3[[#This Row],[Cotação]]-1</f>
        <v>-0.39382940108892928</v>
      </c>
      <c r="Q51" s="6">
        <f>Tabela3[[#This Row],[Lucro/Ação Ano]]*Tabela3[[#This Row],[Payout]]</f>
        <v>1.3363067873120311</v>
      </c>
      <c r="R51" s="26" t="str">
        <f>IF(AND([% Yield]&gt;=10%,[PVPA]&lt;=3.5,[PL]&lt;=15,[PL]&gt;0),"Sim","Não")</f>
        <v>Não</v>
      </c>
      <c r="S51" s="30">
        <f>Tabela3[[#This Row],[Lucro Prev]]/Tabela3[[#This Row],[Cotação]]</f>
        <v>6.0630979460618475E-2</v>
      </c>
      <c r="T51" s="10">
        <f>($Z$1/Tabela3[[#This Row],[Cotação]]-MOD($Z$1/Tabela3[[#This Row],[Cotação]],100))</f>
        <v>0</v>
      </c>
      <c r="U51" s="5">
        <f>Tabela3[[#This Row],[Ativos]]*Tabela3[[#This Row],[Lucro Prev]]</f>
        <v>0</v>
      </c>
      <c r="V51" s="5">
        <f>SUMPRODUCT(N(Tabela1[Código]=Tabela3[[#This Row],[PAPEL]]),Tabela1[Fechamento])</f>
        <v>22.04</v>
      </c>
      <c r="W51" s="5">
        <f>SUMPRODUCT(N(Tabela17[Código]=Tabela3[[#This Row],[PAPEL]]),Tabela17[Fechamento])</f>
        <v>0</v>
      </c>
    </row>
    <row r="52" spans="1:23" hidden="1">
      <c r="A52" s="4" t="s">
        <v>14</v>
      </c>
      <c r="B52" s="14" t="s">
        <v>64</v>
      </c>
      <c r="C52" s="15">
        <v>3</v>
      </c>
      <c r="D52" s="6">
        <v>1550119000</v>
      </c>
      <c r="E52" s="6">
        <v>56710000</v>
      </c>
      <c r="F52" s="42">
        <v>2964596762</v>
      </c>
      <c r="G52" s="15">
        <f>Tabela3[[#This Row],[Lucro Líquido]]/Tabela3[[#This Row],[Total Ações]]</f>
        <v>1.9129077089641643E-2</v>
      </c>
      <c r="H52" s="15">
        <f>Tabela3[[#This Row],[Lucro/Ação]]/Tabela3[[#This Row],[Ref]]*4</f>
        <v>2.550543611952219E-2</v>
      </c>
      <c r="I52" s="19">
        <f>IF(GETPIVOTDATA("Payout",'Tabela LL'!$A$3,"Ativo",Tabela3[[#This Row],[PAPEL]])&gt;1,1,GETPIVOTDATA("Payout",'Tabela LL'!$A$3,"Ativo",Tabela3[[#This Row],[PAPEL]]))</f>
        <v>0.75262718633546799</v>
      </c>
      <c r="J52" s="6">
        <f>[Patrimônio Líquido]/[Total Ações]</f>
        <v>0.52287684445632543</v>
      </c>
      <c r="K52" s="52">
        <f>MAX(Tabela3[[#This Row],[Cotação 1]],Tabela3[[#This Row],[Cotação 2]])</f>
        <v>0.32</v>
      </c>
      <c r="L52" s="48">
        <f>[Cotação]/[VPA]</f>
        <v>0.61199879740845708</v>
      </c>
      <c r="M52" s="44">
        <f>IF(Tabela3[[#This Row],[Lucro/Ação Ano]]&gt;0,Tabela3[[#This Row],[Cotação]]/Tabela3[[#This Row],[Lucro/Ação Ano]],0)</f>
        <v>12.546344963498502</v>
      </c>
      <c r="N52" s="6">
        <f>ROUND(Tabela3[[#This Row],[Lucro Prev]]/10%,2)</f>
        <v>0.19</v>
      </c>
      <c r="O52" s="61">
        <f>MIN(Tabela3[[#This Row],[10% Rent]],Tabela3[[#This Row],[VPA]]*3.5)</f>
        <v>0.19</v>
      </c>
      <c r="P52" s="19">
        <f>Tabela3[[#This Row],[P Compra]]/Tabela3[[#This Row],[Cotação]]-1</f>
        <v>-0.40625</v>
      </c>
      <c r="Q52" s="6">
        <f>Tabela3[[#This Row],[Lucro/Ação Ano]]*Tabela3[[#This Row],[Payout]]</f>
        <v>1.9196084622895002E-2</v>
      </c>
      <c r="R52" s="15" t="str">
        <f>IF(AND([% Yield]&gt;=10%,[PVPA]&lt;=3.5,[PL]&lt;=15,[PL]&gt;0),"Sim","Não")</f>
        <v>Não</v>
      </c>
      <c r="S52" s="46">
        <f>Tabela3[[#This Row],[Lucro Prev]]/Tabela3[[#This Row],[Cotação]]</f>
        <v>5.9987764446546882E-2</v>
      </c>
      <c r="T52" s="14">
        <f>($Z$1/Tabela3[[#This Row],[Cotação]]-MOD($Z$1/Tabela3[[#This Row],[Cotação]],100))</f>
        <v>3100</v>
      </c>
      <c r="U52" s="17">
        <f>Tabela3[[#This Row],[Ativos]]*Tabela3[[#This Row],[Lucro Prev]]</f>
        <v>59.507862330974504</v>
      </c>
      <c r="V52" s="5">
        <f>SUMPRODUCT(N(Tabela1[Código]=Tabela3[[#This Row],[PAPEL]]),Tabela1[Fechamento])</f>
        <v>0.32</v>
      </c>
      <c r="W52" s="5">
        <f>SUMPRODUCT(N(Tabela17[Código]=Tabela3[[#This Row],[PAPEL]]),Tabela17[Fechamento])</f>
        <v>0</v>
      </c>
    </row>
    <row r="53" spans="1:23" hidden="1">
      <c r="A53" s="4" t="s">
        <v>37</v>
      </c>
      <c r="B53" s="14" t="s">
        <v>69</v>
      </c>
      <c r="C53" s="15">
        <v>3</v>
      </c>
      <c r="D53" s="6">
        <v>3403126000</v>
      </c>
      <c r="E53" s="6">
        <v>314887000</v>
      </c>
      <c r="F53" s="42">
        <v>476620206</v>
      </c>
      <c r="G53" s="15">
        <f>Tabela3[[#This Row],[Lucro Líquido]]/Tabela3[[#This Row],[Total Ações]]</f>
        <v>0.66066649301897196</v>
      </c>
      <c r="H53" s="15">
        <f>Tabela3[[#This Row],[Lucro/Ação]]/Tabela3[[#This Row],[Ref]]*4</f>
        <v>0.88088865735862931</v>
      </c>
      <c r="I53" s="19">
        <f>IF(GETPIVOTDATA("Payout",'Tabela LL'!$A$3,"Ativo",Tabela3[[#This Row],[PAPEL]])&gt;1,1,GETPIVOTDATA("Payout",'Tabela LL'!$A$3,"Ativo",Tabela3[[#This Row],[PAPEL]]))</f>
        <v>0.46297228112835515</v>
      </c>
      <c r="J53" s="6">
        <f>[Patrimônio Líquido]/[Total Ações]</f>
        <v>7.1401211219316201</v>
      </c>
      <c r="K53" s="52">
        <f>MAX(Tabela3[[#This Row],[Cotação 1]],Tabela3[[#This Row],[Cotação 2]])</f>
        <v>6.8</v>
      </c>
      <c r="L53" s="48">
        <f>[Cotação]/[VPA]</f>
        <v>0.95236479660171269</v>
      </c>
      <c r="M53" s="44">
        <f>IF(Tabela3[[#This Row],[Lucro/Ação Ano]]&gt;0,Tabela3[[#This Row],[Cotação]]/Tabela3[[#This Row],[Lucro/Ação Ano]],0)</f>
        <v>7.7194773064623181</v>
      </c>
      <c r="N53" s="6">
        <f>ROUND(Tabela3[[#This Row],[Lucro Prev]]/10%,2)</f>
        <v>4.08</v>
      </c>
      <c r="O53" s="61">
        <f>MIN(Tabela3[[#This Row],[10% Rent]],Tabela3[[#This Row],[VPA]]*3.5)</f>
        <v>4.08</v>
      </c>
      <c r="P53" s="19">
        <f>Tabela3[[#This Row],[P Compra]]/Tabela3[[#This Row],[Cotação]]-1</f>
        <v>-0.4</v>
      </c>
      <c r="Q53" s="6">
        <f>Tabela3[[#This Row],[Lucro/Ação Ano]]*Tabela3[[#This Row],[Payout]]</f>
        <v>0.40782703111741864</v>
      </c>
      <c r="R53" s="15" t="str">
        <f>IF(AND([% Yield]&gt;=10%,[PVPA]&lt;=3.5,[PL]&lt;=15,[PL]&gt;0),"Sim","Não")</f>
        <v>Não</v>
      </c>
      <c r="S53" s="46">
        <f>Tabela3[[#This Row],[Lucro Prev]]/Tabela3[[#This Row],[Cotação]]</f>
        <v>5.9974563399620387E-2</v>
      </c>
      <c r="T53" s="14">
        <f>($Z$1/Tabela3[[#This Row],[Cotação]]-MOD($Z$1/Tabela3[[#This Row],[Cotação]],100))</f>
        <v>100</v>
      </c>
      <c r="U53" s="17">
        <f>Tabela3[[#This Row],[Ativos]]*Tabela3[[#This Row],[Lucro Prev]]</f>
        <v>40.782703111741867</v>
      </c>
      <c r="V53" s="5">
        <f>SUMPRODUCT(N(Tabela1[Código]=Tabela3[[#This Row],[PAPEL]]),Tabela1[Fechamento])</f>
        <v>6.8</v>
      </c>
      <c r="W53" s="5">
        <f>SUMPRODUCT(N(Tabela17[Código]=Tabela3[[#This Row],[PAPEL]]),Tabela17[Fechamento])</f>
        <v>0</v>
      </c>
    </row>
    <row r="54" spans="1:23" hidden="1">
      <c r="A54" s="4" t="s">
        <v>14</v>
      </c>
      <c r="B54" s="14" t="s">
        <v>15</v>
      </c>
      <c r="C54" s="15">
        <v>3</v>
      </c>
      <c r="D54" s="6">
        <v>2365276000</v>
      </c>
      <c r="E54" s="6">
        <v>168016000</v>
      </c>
      <c r="F54" s="42">
        <v>243051520</v>
      </c>
      <c r="G54" s="15">
        <f>Tabela3[[#This Row],[Lucro Líquido]]/Tabela3[[#This Row],[Total Ações]]</f>
        <v>0.6912773061448042</v>
      </c>
      <c r="H54" s="15">
        <f>Tabela3[[#This Row],[Lucro/Ação]]/Tabela3[[#This Row],[Ref]]*4</f>
        <v>0.9217030748597389</v>
      </c>
      <c r="I54" s="19">
        <f>IF(GETPIVOTDATA("Payout",'Tabela LL'!$A$3,"Ativo",Tabela3[[#This Row],[PAPEL]])&gt;1,1,GETPIVOTDATA("Payout",'Tabela LL'!$A$3,"Ativo",Tabela3[[#This Row],[PAPEL]]))</f>
        <v>0.50462500883942174</v>
      </c>
      <c r="J54" s="6">
        <f>[Patrimônio Líquido]/[Total Ações]</f>
        <v>9.7315828347833406</v>
      </c>
      <c r="K54" s="52">
        <f>MAX(Tabela3[[#This Row],[Cotação 1]],Tabela3[[#This Row],[Cotação 2]])</f>
        <v>8</v>
      </c>
      <c r="L54" s="48">
        <f>[Cotação]/[VPA]</f>
        <v>0.82206565322609293</v>
      </c>
      <c r="M54" s="44">
        <f>IF(Tabela3[[#This Row],[Lucro/Ação Ano]]&gt;0,Tabela3[[#This Row],[Cotação]]/Tabela3[[#This Row],[Lucro/Ação Ano]],0)</f>
        <v>8.679584801447481</v>
      </c>
      <c r="N54" s="6">
        <f>ROUND(Tabela3[[#This Row],[Lucro Prev]]/10%,2)</f>
        <v>4.6500000000000004</v>
      </c>
      <c r="O54" s="61">
        <f>MIN(Tabela3[[#This Row],[10% Rent]],Tabela3[[#This Row],[VPA]]*3.5)</f>
        <v>4.6500000000000004</v>
      </c>
      <c r="P54" s="19">
        <f>Tabela3[[#This Row],[P Compra]]/Tabela3[[#This Row],[Cotação]]-1</f>
        <v>-0.41874999999999996</v>
      </c>
      <c r="Q54" s="6">
        <f>Tabela3[[#This Row],[Lucro/Ação Ano]]*Tabela3[[#This Row],[Payout]]</f>
        <v>0.46511442229841793</v>
      </c>
      <c r="R54" s="15" t="str">
        <f>IF(AND([% Yield]&gt;=10%,[PVPA]&lt;=3.5,[PL]&lt;=15,[PL]&gt;0),"Sim","Não")</f>
        <v>Não</v>
      </c>
      <c r="S54" s="46">
        <f>Tabela3[[#This Row],[Lucro Prev]]/Tabela3[[#This Row],[Cotação]]</f>
        <v>5.8139302787302241E-2</v>
      </c>
      <c r="T54" s="14">
        <f>($Z$1/Tabela3[[#This Row],[Cotação]]-MOD($Z$1/Tabela3[[#This Row],[Cotação]],100))</f>
        <v>100</v>
      </c>
      <c r="U54" s="17">
        <f>Tabela3[[#This Row],[Ativos]]*Tabela3[[#This Row],[Lucro Prev]]</f>
        <v>46.511442229841791</v>
      </c>
      <c r="V54" s="5">
        <f>SUMPRODUCT(N(Tabela1[Código]=Tabela3[[#This Row],[PAPEL]]),Tabela1[Fechamento])</f>
        <v>8</v>
      </c>
      <c r="W54" s="5">
        <f>SUMPRODUCT(N(Tabela17[Código]=Tabela3[[#This Row],[PAPEL]]),Tabela17[Fechamento])</f>
        <v>0</v>
      </c>
    </row>
    <row r="55" spans="1:23" hidden="1">
      <c r="A55" s="3" t="s">
        <v>356</v>
      </c>
      <c r="B55" s="74" t="s">
        <v>353</v>
      </c>
      <c r="C55" s="16">
        <v>3</v>
      </c>
      <c r="D55" s="5">
        <v>10322490000</v>
      </c>
      <c r="E55" s="5">
        <v>310353000</v>
      </c>
      <c r="F55" s="21">
        <v>1797086404</v>
      </c>
      <c r="G55" s="72">
        <f>Tabela3[[#This Row],[Lucro Líquido]]/Tabela3[[#This Row],[Total Ações]]</f>
        <v>0.17269787324037872</v>
      </c>
      <c r="H55" s="16">
        <f>Tabela3[[#This Row],[Lucro/Ação]]/Tabela3[[#This Row],[Ref]]*4</f>
        <v>0.23026383098717162</v>
      </c>
      <c r="I55" s="18">
        <f>IF(GETPIVOTDATA("Payout",'Tabela LL'!$A$3,"Ativo",Tabela3[[#This Row],[PAPEL]])&gt;1,1,GETPIVOTDATA("Payout",'Tabela LL'!$A$3,"Ativo",Tabela3[[#This Row],[PAPEL]]))</f>
        <v>1</v>
      </c>
      <c r="J55" s="5">
        <f>[Patrimônio Líquido]/[Total Ações]</f>
        <v>5.7440142983798346</v>
      </c>
      <c r="K55" s="58">
        <f>MAX(Tabela3[[#This Row],[Cotação 1]],Tabela3[[#This Row],[Cotação 2]])</f>
        <v>4.03</v>
      </c>
      <c r="L55" s="59">
        <f>[Cotação]/[VPA]</f>
        <v>0.70159992483596501</v>
      </c>
      <c r="M55" s="40">
        <f>IF(Tabela3[[#This Row],[Lucro/Ação Ano]]&gt;0,Tabela3[[#This Row],[Cotação]]/Tabela3[[#This Row],[Lucro/Ação Ano]],0)</f>
        <v>17.501663125827687</v>
      </c>
      <c r="N55" s="7">
        <f>ROUND(Tabela3[[#This Row],[Lucro Prev]]/10%,2)</f>
        <v>2.2999999999999998</v>
      </c>
      <c r="O55" s="51">
        <f>MIN(Tabela3[[#This Row],[10% Rent]],Tabela3[[#This Row],[VPA]]*3.5)</f>
        <v>2.2999999999999998</v>
      </c>
      <c r="P55" s="18">
        <f>Tabela3[[#This Row],[P Compra]]/Tabela3[[#This Row],[Cotação]]-1</f>
        <v>-0.42928039702233256</v>
      </c>
      <c r="Q55" s="5">
        <f>Tabela3[[#This Row],[Lucro/Ação Ano]]*Tabela3[[#This Row],[Payout]]</f>
        <v>0.23026383098717162</v>
      </c>
      <c r="R55" s="16" t="str">
        <f>IF(AND([% Yield]&gt;=10%,[PVPA]&lt;=3.5,[PL]&lt;=15,[PL]&gt;0),"Sim","Não")</f>
        <v>Não</v>
      </c>
      <c r="S55" s="22">
        <f>Tabela3[[#This Row],[Lucro Prev]]/Tabela3[[#This Row],[Cotação]]</f>
        <v>5.7137427043963178E-2</v>
      </c>
      <c r="T55" s="10">
        <f>($Z$1/Tabela3[[#This Row],[Cotação]]-MOD($Z$1/Tabela3[[#This Row],[Cotação]],100))</f>
        <v>200</v>
      </c>
      <c r="U55" s="7">
        <f>Tabela3[[#This Row],[Ativos]]*Tabela3[[#This Row],[Lucro Prev]]</f>
        <v>46.052766197434323</v>
      </c>
      <c r="V55" s="51">
        <f>SUMPRODUCT(N(Tabela1[Código]=Tabela3[[#This Row],[PAPEL]]),Tabela1[Fechamento])</f>
        <v>0</v>
      </c>
      <c r="W55" s="60">
        <f>SUMPRODUCT(N(Tabela17[Código]=Tabela3[[#This Row],[PAPEL]]),Tabela17[Fechamento])</f>
        <v>4.03</v>
      </c>
    </row>
    <row r="56" spans="1:23" hidden="1">
      <c r="A56" s="3" t="s">
        <v>340</v>
      </c>
      <c r="B56" s="74" t="s">
        <v>336</v>
      </c>
      <c r="C56" s="16">
        <v>3</v>
      </c>
      <c r="D56" s="5">
        <v>264517000</v>
      </c>
      <c r="E56" s="5">
        <v>37183000</v>
      </c>
      <c r="F56" s="21">
        <v>24948000</v>
      </c>
      <c r="G56" s="72">
        <f>Tabela3[[#This Row],[Lucro Líquido]]/Tabela3[[#This Row],[Total Ações]]</f>
        <v>1.490420073753407</v>
      </c>
      <c r="H56" s="16">
        <f>Tabela3[[#This Row],[Lucro/Ação]]/Tabela3[[#This Row],[Ref]]*4</f>
        <v>1.9872267650045428</v>
      </c>
      <c r="I56" s="18">
        <f>IF(GETPIVOTDATA("Payout",'Tabela LL'!$A$3,"Ativo",Tabela3[[#This Row],[PAPEL]])&gt;1,1,GETPIVOTDATA("Payout",'Tabela LL'!$A$3,"Ativo",Tabela3[[#This Row],[PAPEL]]))</f>
        <v>0.2032996796183045</v>
      </c>
      <c r="J56" s="5">
        <f>[Patrimônio Líquido]/[Total Ações]</f>
        <v>10.602733686067019</v>
      </c>
      <c r="K56" s="58">
        <f>MAX(Tabela3[[#This Row],[Cotação 1]],Tabela3[[#This Row],[Cotação 2]])</f>
        <v>7.08</v>
      </c>
      <c r="L56" s="59">
        <f>[Cotação]/[VPA]</f>
        <v>0.66775231837651272</v>
      </c>
      <c r="M56" s="40">
        <f>IF(Tabela3[[#This Row],[Lucro/Ação Ano]]&gt;0,Tabela3[[#This Row],[Cotação]]/Tabela3[[#This Row],[Lucro/Ação Ano]],0)</f>
        <v>3.5627539466960707</v>
      </c>
      <c r="N56" s="7">
        <f>ROUND(Tabela3[[#This Row],[Lucro Prev]]/10%,2)</f>
        <v>4.04</v>
      </c>
      <c r="O56" s="51">
        <f>MIN(Tabela3[[#This Row],[10% Rent]],Tabela3[[#This Row],[VPA]]*3.5)</f>
        <v>4.04</v>
      </c>
      <c r="P56" s="18">
        <f>Tabela3[[#This Row],[P Compra]]/Tabela3[[#This Row],[Cotação]]-1</f>
        <v>-0.42937853107344637</v>
      </c>
      <c r="Q56" s="5">
        <f>Tabela3[[#This Row],[Lucro/Ação Ano]]*Tabela3[[#This Row],[Payout]]</f>
        <v>0.40400256465434325</v>
      </c>
      <c r="R56" s="16" t="str">
        <f>IF(AND([% Yield]&gt;=10%,[PVPA]&lt;=3.5,[PL]&lt;=15,[PL]&gt;0),"Sim","Não")</f>
        <v>Não</v>
      </c>
      <c r="S56" s="22">
        <f>Tabela3[[#This Row],[Lucro Prev]]/Tabela3[[#This Row],[Cotação]]</f>
        <v>5.7062509131969384E-2</v>
      </c>
      <c r="T56" s="10">
        <f>($Z$1/Tabela3[[#This Row],[Cotação]]-MOD($Z$1/Tabela3[[#This Row],[Cotação]],100))</f>
        <v>100</v>
      </c>
      <c r="U56" s="7">
        <f>Tabela3[[#This Row],[Ativos]]*Tabela3[[#This Row],[Lucro Prev]]</f>
        <v>40.400256465434325</v>
      </c>
      <c r="V56" s="51">
        <f>SUMPRODUCT(N(Tabela1[Código]=Tabela3[[#This Row],[PAPEL]]),Tabela1[Fechamento])</f>
        <v>0</v>
      </c>
      <c r="W56" s="60">
        <f>SUMPRODUCT(N(Tabela17[Código]=Tabela3[[#This Row],[PAPEL]]),Tabela17[Fechamento])</f>
        <v>7.08</v>
      </c>
    </row>
    <row r="57" spans="1:23" hidden="1">
      <c r="A57" s="3" t="s">
        <v>361</v>
      </c>
      <c r="B57" s="74" t="s">
        <v>359</v>
      </c>
      <c r="C57" s="16">
        <v>3</v>
      </c>
      <c r="D57" s="5">
        <v>10031194000</v>
      </c>
      <c r="E57" s="5">
        <v>852679000</v>
      </c>
      <c r="F57" s="21">
        <v>349547945</v>
      </c>
      <c r="G57" s="72">
        <f>Tabela3[[#This Row],[Lucro Líquido]]/Tabela3[[#This Row],[Total Ações]]</f>
        <v>2.439376377967263</v>
      </c>
      <c r="H57" s="16">
        <f>Tabela3[[#This Row],[Lucro/Ação]]/Tabela3[[#This Row],[Ref]]*4</f>
        <v>3.2525018372896839</v>
      </c>
      <c r="I57" s="18">
        <f>IF(GETPIVOTDATA("Payout",'Tabela LL'!$A$3,"Ativo",Tabela3[[#This Row],[PAPEL]])&gt;1,1,GETPIVOTDATA("Payout",'Tabela LL'!$A$3,"Ativo",Tabela3[[#This Row],[PAPEL]]))</f>
        <v>0.33996836443315553</v>
      </c>
      <c r="J57" s="5">
        <f>[Patrimônio Líquido]/[Total Ações]</f>
        <v>28.697619721380423</v>
      </c>
      <c r="K57" s="58">
        <f>MAX(Tabela3[[#This Row],[Cotação 1]],Tabela3[[#This Row],[Cotação 2]])</f>
        <v>19.510000000000002</v>
      </c>
      <c r="L57" s="59">
        <f>[Cotação]/[VPA]</f>
        <v>0.67984732494955247</v>
      </c>
      <c r="M57" s="40">
        <f>IF(Tabela3[[#This Row],[Lucro/Ação Ano]]&gt;0,Tabela3[[#This Row],[Cotação]]/Tabela3[[#This Row],[Lucro/Ação Ano]],0)</f>
        <v>5.9984593325419064</v>
      </c>
      <c r="N57" s="7">
        <f>ROUND(Tabela3[[#This Row],[Lucro Prev]]/10%,2)</f>
        <v>11.06</v>
      </c>
      <c r="O57" s="51">
        <f>MIN(Tabela3[[#This Row],[10% Rent]],Tabela3[[#This Row],[VPA]]*3.5)</f>
        <v>11.06</v>
      </c>
      <c r="P57" s="18">
        <f>Tabela3[[#This Row],[P Compra]]/Tabela3[[#This Row],[Cotação]]-1</f>
        <v>-0.43311122501281396</v>
      </c>
      <c r="Q57" s="5">
        <f>Tabela3[[#This Row],[Lucro/Ação Ano]]*Tabela3[[#This Row],[Payout]]</f>
        <v>1.1057477299392071</v>
      </c>
      <c r="R57" s="16" t="str">
        <f>IF(AND([% Yield]&gt;=10%,[PVPA]&lt;=3.5,[PL]&lt;=15,[PL]&gt;0),"Sim","Não")</f>
        <v>Não</v>
      </c>
      <c r="S57" s="22">
        <f>Tabela3[[#This Row],[Lucro Prev]]/Tabela3[[#This Row],[Cotação]]</f>
        <v>5.6675947203444745E-2</v>
      </c>
      <c r="T57" s="10">
        <f>($Z$1/Tabela3[[#This Row],[Cotação]]-MOD($Z$1/Tabela3[[#This Row],[Cotação]],100))</f>
        <v>0</v>
      </c>
      <c r="U57" s="7">
        <f>Tabela3[[#This Row],[Ativos]]*Tabela3[[#This Row],[Lucro Prev]]</f>
        <v>0</v>
      </c>
      <c r="V57" s="51">
        <f>SUMPRODUCT(N(Tabela1[Código]=Tabela3[[#This Row],[PAPEL]]),Tabela1[Fechamento])</f>
        <v>0</v>
      </c>
      <c r="W57" s="60">
        <f>SUMPRODUCT(N(Tabela17[Código]=Tabela3[[#This Row],[PAPEL]]),Tabela17[Fechamento])</f>
        <v>19.510000000000002</v>
      </c>
    </row>
    <row r="58" spans="1:23" hidden="1">
      <c r="A58" s="4" t="s">
        <v>12</v>
      </c>
      <c r="B58" s="14" t="s">
        <v>199</v>
      </c>
      <c r="C58" s="15">
        <v>3</v>
      </c>
      <c r="D58" s="6">
        <v>5308688000</v>
      </c>
      <c r="E58" s="6">
        <v>1150434000</v>
      </c>
      <c r="F58" s="42">
        <v>652742192</v>
      </c>
      <c r="G58" s="15">
        <f>Tabela3[[#This Row],[Lucro Líquido]]/Tabela3[[#This Row],[Total Ações]]</f>
        <v>1.7624630583095509</v>
      </c>
      <c r="H58" s="15">
        <f>Tabela3[[#This Row],[Lucro/Ação]]/Tabela3[[#This Row],[Ref]]*4</f>
        <v>2.3499507444127343</v>
      </c>
      <c r="I58" s="19">
        <f>IF(GETPIVOTDATA("Payout",'Tabela LL'!$A$3,"Ativo",Tabela3[[#This Row],[PAPEL]])&gt;1,1,GETPIVOTDATA("Payout",'Tabela LL'!$A$3,"Ativo",Tabela3[[#This Row],[PAPEL]]))</f>
        <v>0.85565136305393408</v>
      </c>
      <c r="J58" s="6">
        <f>[Patrimônio Líquido]/[Total Ações]</f>
        <v>8.1329015728770297</v>
      </c>
      <c r="K58" s="52">
        <f>MAX(Tabela3[[#This Row],[Cotação 1]],Tabela3[[#This Row],[Cotação 2]])</f>
        <v>35.69</v>
      </c>
      <c r="L58" s="48">
        <f>[Cotação]/[VPA]</f>
        <v>4.3883477108618925</v>
      </c>
      <c r="M58" s="44">
        <f>IF(Tabela3[[#This Row],[Lucro/Ação Ano]]&gt;0,Tabela3[[#This Row],[Cotação]]/Tabela3[[#This Row],[Lucro/Ação Ano]],0)</f>
        <v>15.187552370983472</v>
      </c>
      <c r="N58" s="6">
        <f>ROUND(Tabela3[[#This Row],[Lucro Prev]]/10%,2)</f>
        <v>20.11</v>
      </c>
      <c r="O58" s="61">
        <f>MIN(Tabela3[[#This Row],[10% Rent]],Tabela3[[#This Row],[VPA]]*3.5)</f>
        <v>20.11</v>
      </c>
      <c r="P58" s="19">
        <f>Tabela3[[#This Row],[P Compra]]/Tabela3[[#This Row],[Cotação]]-1</f>
        <v>-0.43653684505463708</v>
      </c>
      <c r="Q58" s="6">
        <f>Tabela3[[#This Row],[Lucro/Ação Ano]]*Tabela3[[#This Row],[Payout]]</f>
        <v>2.0107385575663632</v>
      </c>
      <c r="R58" s="15" t="str">
        <f>IF(AND([% Yield]&gt;=10%,[PVPA]&lt;=3.5,[PL]&lt;=15,[PL]&gt;0),"Sim","Não")</f>
        <v>Não</v>
      </c>
      <c r="S58" s="46">
        <f>Tabela3[[#This Row],[Lucro Prev]]/Tabela3[[#This Row],[Cotação]]</f>
        <v>5.6338990125143269E-2</v>
      </c>
      <c r="T58" s="14">
        <f>($Z$1/Tabela3[[#This Row],[Cotação]]-MOD($Z$1/Tabela3[[#This Row],[Cotação]],100))</f>
        <v>0</v>
      </c>
      <c r="U58" s="17">
        <f>Tabela3[[#This Row],[Ativos]]*Tabela3[[#This Row],[Lucro Prev]]</f>
        <v>0</v>
      </c>
      <c r="V58" s="5">
        <f>SUMPRODUCT(N(Tabela1[Código]=Tabela3[[#This Row],[PAPEL]]),Tabela1[Fechamento])</f>
        <v>35.69</v>
      </c>
      <c r="W58" s="5">
        <f>SUMPRODUCT(N(Tabela17[Código]=Tabela3[[#This Row],[PAPEL]]),Tabela17[Fechamento])</f>
        <v>0</v>
      </c>
    </row>
    <row r="59" spans="1:23" hidden="1">
      <c r="A59" s="4" t="s">
        <v>14</v>
      </c>
      <c r="B59" s="14" t="s">
        <v>22</v>
      </c>
      <c r="C59" s="15">
        <v>3</v>
      </c>
      <c r="D59" s="6">
        <v>1864725000</v>
      </c>
      <c r="E59" s="42">
        <v>192096000</v>
      </c>
      <c r="F59" s="42">
        <v>147232649</v>
      </c>
      <c r="G59" s="15">
        <f>Tabela3[[#This Row],[Lucro Líquido]]/Tabela3[[#This Row],[Total Ações]]</f>
        <v>1.3047106148310896</v>
      </c>
      <c r="H59" s="15">
        <f>Tabela3[[#This Row],[Lucro/Ação]]/Tabela3[[#This Row],[Ref]]*4</f>
        <v>1.7396141531081195</v>
      </c>
      <c r="I59" s="19">
        <f>IF(GETPIVOTDATA("Payout",'Tabela LL'!$A$3,"Ativo",Tabela3[[#This Row],[PAPEL]])&gt;1,1,GETPIVOTDATA("Payout",'Tabela LL'!$A$3,"Ativo",Tabela3[[#This Row],[PAPEL]]))</f>
        <v>0.38903884611110762</v>
      </c>
      <c r="J59" s="6">
        <f>[Patrimônio Líquido]/[Total Ações]</f>
        <v>12.665159614155961</v>
      </c>
      <c r="K59" s="52">
        <f>MAX(Tabela3[[#This Row],[Cotação 1]],Tabela3[[#This Row],[Cotação 2]])</f>
        <v>12.26</v>
      </c>
      <c r="L59" s="48">
        <f>[Cotação]/[VPA]</f>
        <v>0.96800990856024349</v>
      </c>
      <c r="M59" s="44">
        <f>IF(Tabela3[[#This Row],[Lucro/Ação Ano]]&gt;0,Tabela3[[#This Row],[Cotação]]/Tabela3[[#This Row],[Lucro/Ação Ano]],0)</f>
        <v>7.0475398111100693</v>
      </c>
      <c r="N59" s="6">
        <f>ROUND(Tabela3[[#This Row],[Lucro Prev]]/10%,2)</f>
        <v>6.77</v>
      </c>
      <c r="O59" s="61">
        <f>MIN(Tabela3[[#This Row],[10% Rent]],Tabela3[[#This Row],[VPA]]*3.5)</f>
        <v>6.77</v>
      </c>
      <c r="P59" s="19">
        <f>Tabela3[[#This Row],[P Compra]]/Tabela3[[#This Row],[Cotação]]-1</f>
        <v>-0.44779771615008157</v>
      </c>
      <c r="Q59" s="6">
        <f>Tabela3[[#This Row],[Lucro/Ação Ano]]*Tabela3[[#This Row],[Payout]]</f>
        <v>0.67677748280373451</v>
      </c>
      <c r="R59" s="15" t="str">
        <f>IF(AND([% Yield]&gt;=10%,[PVPA]&lt;=3.5,[PL]&lt;=15,[PL]&gt;0),"Sim","Não")</f>
        <v>Não</v>
      </c>
      <c r="S59" s="46">
        <f>Tabela3[[#This Row],[Lucro Prev]]/Tabela3[[#This Row],[Cotação]]</f>
        <v>5.5202078532115374E-2</v>
      </c>
      <c r="T59" s="14">
        <f>($Z$1/Tabela3[[#This Row],[Cotação]]-MOD($Z$1/Tabela3[[#This Row],[Cotação]],100))</f>
        <v>0</v>
      </c>
      <c r="U59" s="17">
        <f>Tabela3[[#This Row],[Ativos]]*Tabela3[[#This Row],[Lucro Prev]]</f>
        <v>0</v>
      </c>
      <c r="V59" s="5">
        <f>SUMPRODUCT(N(Tabela1[Código]=Tabela3[[#This Row],[PAPEL]]),Tabela1[Fechamento])</f>
        <v>12.26</v>
      </c>
      <c r="W59" s="5">
        <f>SUMPRODUCT(N(Tabela17[Código]=Tabela3[[#This Row],[PAPEL]]),Tabela17[Fechamento])</f>
        <v>0</v>
      </c>
    </row>
    <row r="60" spans="1:23" hidden="1">
      <c r="A60" s="3" t="s">
        <v>356</v>
      </c>
      <c r="B60" s="71" t="s">
        <v>352</v>
      </c>
      <c r="C60" s="16">
        <v>3</v>
      </c>
      <c r="D60" s="5">
        <v>10322490000</v>
      </c>
      <c r="E60" s="5">
        <v>310353000</v>
      </c>
      <c r="F60" s="21">
        <v>1797086404</v>
      </c>
      <c r="G60" s="72">
        <f>Tabela3[[#This Row],[Lucro Líquido]]/Tabela3[[#This Row],[Total Ações]]</f>
        <v>0.17269787324037872</v>
      </c>
      <c r="H60" s="16">
        <f>Tabela3[[#This Row],[Lucro/Ação]]/Tabela3[[#This Row],[Ref]]*4</f>
        <v>0.23026383098717162</v>
      </c>
      <c r="I60" s="18">
        <f>IF(GETPIVOTDATA("Payout",'Tabela LL'!$A$3,"Ativo",Tabela3[[#This Row],[PAPEL]])&gt;1,1,GETPIVOTDATA("Payout",'Tabela LL'!$A$3,"Ativo",Tabela3[[#This Row],[PAPEL]]))</f>
        <v>1</v>
      </c>
      <c r="J60" s="5">
        <f>[Patrimônio Líquido]/[Total Ações]</f>
        <v>5.7440142983798346</v>
      </c>
      <c r="K60" s="58">
        <f>MAX(Tabela3[[#This Row],[Cotação 1]],Tabela3[[#This Row],[Cotação 2]])</f>
        <v>4.21</v>
      </c>
      <c r="L60" s="59">
        <f>[Cotação]/[VPA]</f>
        <v>0.73293689418347707</v>
      </c>
      <c r="M60" s="40">
        <f>IF(Tabela3[[#This Row],[Lucro/Ação Ano]]&gt;0,Tabela3[[#This Row],[Cotação]]/Tabela3[[#This Row],[Lucro/Ação Ano]],0)</f>
        <v>18.283375126485002</v>
      </c>
      <c r="N60" s="7">
        <f>ROUND(Tabela3[[#This Row],[Lucro Prev]]/10%,2)</f>
        <v>2.2999999999999998</v>
      </c>
      <c r="O60" s="51">
        <f>MIN(Tabela3[[#This Row],[10% Rent]],Tabela3[[#This Row],[VPA]]*3.5)</f>
        <v>2.2999999999999998</v>
      </c>
      <c r="P60" s="18">
        <f>Tabela3[[#This Row],[P Compra]]/Tabela3[[#This Row],[Cotação]]-1</f>
        <v>-0.45368171021377679</v>
      </c>
      <c r="Q60" s="5">
        <f>Tabela3[[#This Row],[Lucro/Ação Ano]]*Tabela3[[#This Row],[Payout]]</f>
        <v>0.23026383098717162</v>
      </c>
      <c r="R60" s="16" t="str">
        <f>IF(AND([% Yield]&gt;=10%,[PVPA]&lt;=3.5,[PL]&lt;=15,[PL]&gt;0),"Sim","Não")</f>
        <v>Não</v>
      </c>
      <c r="S60" s="22">
        <f>Tabela3[[#This Row],[Lucro Prev]]/Tabela3[[#This Row],[Cotação]]</f>
        <v>5.4694496671537203E-2</v>
      </c>
      <c r="T60" s="10">
        <f>($Z$1/Tabela3[[#This Row],[Cotação]]-MOD($Z$1/Tabela3[[#This Row],[Cotação]],100))</f>
        <v>200</v>
      </c>
      <c r="U60" s="7">
        <f>Tabela3[[#This Row],[Ativos]]*Tabela3[[#This Row],[Lucro Prev]]</f>
        <v>46.052766197434323</v>
      </c>
      <c r="V60" s="51">
        <f>SUMPRODUCT(N(Tabela1[Código]=Tabela3[[#This Row],[PAPEL]]),Tabela1[Fechamento])</f>
        <v>0</v>
      </c>
      <c r="W60" s="60">
        <f>SUMPRODUCT(N(Tabela17[Código]=Tabela3[[#This Row],[PAPEL]]),Tabela17[Fechamento])</f>
        <v>4.21</v>
      </c>
    </row>
    <row r="61" spans="1:23" hidden="1">
      <c r="A61" s="4" t="s">
        <v>14</v>
      </c>
      <c r="B61" s="14" t="s">
        <v>222</v>
      </c>
      <c r="C61" s="15">
        <v>3</v>
      </c>
      <c r="D61" s="6">
        <v>1179411000</v>
      </c>
      <c r="E61" s="6">
        <v>46761000</v>
      </c>
      <c r="F61" s="42">
        <v>90224492</v>
      </c>
      <c r="G61" s="15">
        <f>Tabela3[[#This Row],[Lucro Líquido]]/Tabela3[[#This Row],[Total Ações]]</f>
        <v>0.51827390726677625</v>
      </c>
      <c r="H61" s="15">
        <f>Tabela3[[#This Row],[Lucro/Ação]]/Tabela3[[#This Row],[Ref]]*4</f>
        <v>0.69103187635570162</v>
      </c>
      <c r="I61" s="19">
        <f>IF(GETPIVOTDATA("Payout",'Tabela LL'!$A$3,"Ativo",Tabela3[[#This Row],[PAPEL]])&gt;1,1,GETPIVOTDATA("Payout",'Tabela LL'!$A$3,"Ativo",Tabela3[[#This Row],[PAPEL]]))</f>
        <v>0.45013216229230024</v>
      </c>
      <c r="J61" s="6">
        <f>[Patrimônio Líquido]/[Total Ações]</f>
        <v>13.071960549248645</v>
      </c>
      <c r="K61" s="52">
        <f>MAX(Tabela3[[#This Row],[Cotação 1]],Tabela3[[#This Row],[Cotação 2]])</f>
        <v>5.69</v>
      </c>
      <c r="L61" s="48">
        <f>[Cotação]/[VPA]</f>
        <v>0.43528283141330715</v>
      </c>
      <c r="M61" s="44">
        <f>IF(Tabela3[[#This Row],[Lucro/Ação Ano]]&gt;0,Tabela3[[#This Row],[Cotação]]/Tabela3[[#This Row],[Lucro/Ação Ano]],0)</f>
        <v>8.2340629928786822</v>
      </c>
      <c r="N61" s="6">
        <f>ROUND(Tabela3[[#This Row],[Lucro Prev]]/10%,2)</f>
        <v>3.11</v>
      </c>
      <c r="O61" s="61">
        <f>MIN(Tabela3[[#This Row],[10% Rent]],Tabela3[[#This Row],[VPA]]*3.5)</f>
        <v>3.11</v>
      </c>
      <c r="P61" s="19">
        <f>Tabela3[[#This Row],[P Compra]]/Tabela3[[#This Row],[Cotação]]-1</f>
        <v>-0.4534270650263621</v>
      </c>
      <c r="Q61" s="6">
        <f>Tabela3[[#This Row],[Lucro/Ação Ano]]*Tabela3[[#This Row],[Payout]]</f>
        <v>0.31105567271689744</v>
      </c>
      <c r="R61" s="15" t="str">
        <f>IF(AND([% Yield]&gt;=10%,[PVPA]&lt;=3.5,[PL]&lt;=15,[PL]&gt;0),"Sim","Não")</f>
        <v>Não</v>
      </c>
      <c r="S61" s="46">
        <f>Tabela3[[#This Row],[Lucro Prev]]/Tabela3[[#This Row],[Cotação]]</f>
        <v>5.4667077806133113E-2</v>
      </c>
      <c r="T61" s="14">
        <f>($Z$1/Tabela3[[#This Row],[Cotação]]-MOD($Z$1/Tabela3[[#This Row],[Cotação]],100))</f>
        <v>100</v>
      </c>
      <c r="U61" s="17">
        <f>Tabela3[[#This Row],[Ativos]]*Tabela3[[#This Row],[Lucro Prev]]</f>
        <v>31.105567271689743</v>
      </c>
      <c r="V61" s="5">
        <f>SUMPRODUCT(N(Tabela1[Código]=Tabela3[[#This Row],[PAPEL]]),Tabela1[Fechamento])</f>
        <v>5.69</v>
      </c>
      <c r="W61" s="5">
        <f>SUMPRODUCT(N(Tabela17[Código]=Tabela3[[#This Row],[PAPEL]]),Tabela17[Fechamento])</f>
        <v>0</v>
      </c>
    </row>
    <row r="62" spans="1:23" hidden="1">
      <c r="A62" s="4" t="s">
        <v>12</v>
      </c>
      <c r="B62" s="14" t="s">
        <v>57</v>
      </c>
      <c r="C62" s="15">
        <v>3</v>
      </c>
      <c r="D62" s="6">
        <v>4589097000</v>
      </c>
      <c r="E62" s="6">
        <v>751496000</v>
      </c>
      <c r="F62" s="42">
        <v>1033496721</v>
      </c>
      <c r="G62" s="15">
        <f>Tabela3[[#This Row],[Lucro Líquido]]/Tabela3[[#This Row],[Total Ações]]</f>
        <v>0.72713922040590584</v>
      </c>
      <c r="H62" s="15">
        <f>Tabela3[[#This Row],[Lucro/Ação]]/Tabela3[[#This Row],[Ref]]*4</f>
        <v>0.96951896054120779</v>
      </c>
      <c r="I62" s="19">
        <f>IF(GETPIVOTDATA("Payout",'Tabela LL'!$A$3,"Ativo",Tabela3[[#This Row],[PAPEL]])&gt;1,1,GETPIVOTDATA("Payout",'Tabela LL'!$A$3,"Ativo",Tabela3[[#This Row],[PAPEL]]))</f>
        <v>1</v>
      </c>
      <c r="J62" s="6">
        <f>[Patrimônio Líquido]/[Total Ações]</f>
        <v>4.4403595161478986</v>
      </c>
      <c r="K62" s="52">
        <f>MAX(Tabela3[[#This Row],[Cotação 1]],Tabela3[[#This Row],[Cotação 2]])</f>
        <v>18.399999999999999</v>
      </c>
      <c r="L62" s="48">
        <f>[Cotação]/[VPA]</f>
        <v>4.1438086112365893</v>
      </c>
      <c r="M62" s="44">
        <f>IF(Tabela3[[#This Row],[Lucro/Ação Ano]]&gt;0,Tabela3[[#This Row],[Cotação]]/Tabela3[[#This Row],[Lucro/Ação Ano]],0)</f>
        <v>18.978483917146598</v>
      </c>
      <c r="N62" s="6">
        <f>ROUND(Tabela3[[#This Row],[Lucro Prev]]/10%,2)</f>
        <v>9.6999999999999993</v>
      </c>
      <c r="O62" s="61">
        <f>MIN(Tabela3[[#This Row],[10% Rent]],Tabela3[[#This Row],[VPA]]*3.5)</f>
        <v>9.6999999999999993</v>
      </c>
      <c r="P62" s="19">
        <f>Tabela3[[#This Row],[P Compra]]/Tabela3[[#This Row],[Cotação]]-1</f>
        <v>-0.47282608695652173</v>
      </c>
      <c r="Q62" s="6">
        <f>Tabela3[[#This Row],[Lucro/Ação Ano]]*Tabela3[[#This Row],[Payout]]</f>
        <v>0.96951896054120779</v>
      </c>
      <c r="R62" s="15" t="str">
        <f>IF(AND([% Yield]&gt;=10%,[PVPA]&lt;=3.5,[PL]&lt;=15,[PL]&gt;0),"Sim","Não")</f>
        <v>Não</v>
      </c>
      <c r="S62" s="46">
        <f>Tabela3[[#This Row],[Lucro Prev]]/Tabela3[[#This Row],[Cotação]]</f>
        <v>5.2691247855500424E-2</v>
      </c>
      <c r="T62" s="14">
        <f>($Z$1/Tabela3[[#This Row],[Cotação]]-MOD($Z$1/Tabela3[[#This Row],[Cotação]],100))</f>
        <v>0</v>
      </c>
      <c r="U62" s="17">
        <f>Tabela3[[#This Row],[Ativos]]*Tabela3[[#This Row],[Lucro Prev]]</f>
        <v>0</v>
      </c>
      <c r="V62" s="5">
        <f>SUMPRODUCT(N(Tabela1[Código]=Tabela3[[#This Row],[PAPEL]]),Tabela1[Fechamento])</f>
        <v>18.399999999999999</v>
      </c>
      <c r="W62" s="5">
        <f>SUMPRODUCT(N(Tabela17[Código]=Tabela3[[#This Row],[PAPEL]]),Tabela17[Fechamento])</f>
        <v>0</v>
      </c>
    </row>
    <row r="63" spans="1:23" hidden="1">
      <c r="A63" s="4" t="s">
        <v>14</v>
      </c>
      <c r="B63" s="14" t="s">
        <v>61</v>
      </c>
      <c r="C63" s="15">
        <v>3</v>
      </c>
      <c r="D63" s="6">
        <v>901919000</v>
      </c>
      <c r="E63" s="6">
        <v>77892000</v>
      </c>
      <c r="F63" s="42">
        <v>1579564303</v>
      </c>
      <c r="G63" s="15">
        <f>Tabela3[[#This Row],[Lucro Líquido]]/Tabela3[[#This Row],[Total Ações]]</f>
        <v>4.931233242740609E-2</v>
      </c>
      <c r="H63" s="15">
        <f>Tabela3[[#This Row],[Lucro/Ação]]/Tabela3[[#This Row],[Ref]]*4</f>
        <v>6.5749776569874782E-2</v>
      </c>
      <c r="I63" s="19">
        <f>IF(GETPIVOTDATA("Payout",'Tabela LL'!$A$3,"Ativo",Tabela3[[#This Row],[PAPEL]])&gt;1,1,GETPIVOTDATA("Payout",'Tabela LL'!$A$3,"Ativo",Tabela3[[#This Row],[PAPEL]]))</f>
        <v>0.36351567797691797</v>
      </c>
      <c r="J63" s="6">
        <f>[Patrimônio Líquido]/[Total Ações]</f>
        <v>0.57099226558046623</v>
      </c>
      <c r="K63" s="52">
        <f>MAX(Tabela3[[#This Row],[Cotação 1]],Tabela3[[#This Row],[Cotação 2]])</f>
        <v>0.46</v>
      </c>
      <c r="L63" s="48">
        <f>[Cotação]/[VPA]</f>
        <v>0.80561511552589538</v>
      </c>
      <c r="M63" s="44">
        <f>IF(Tabela3[[#This Row],[Lucro/Ação Ano]]&gt;0,Tabela3[[#This Row],[Cotação]]/Tabela3[[#This Row],[Lucro/Ação Ano]],0)</f>
        <v>6.99622149302881</v>
      </c>
      <c r="N63" s="6">
        <f>ROUND(Tabela3[[#This Row],[Lucro Prev]]/10%,2)</f>
        <v>0.24</v>
      </c>
      <c r="O63" s="61">
        <f>MIN(Tabela3[[#This Row],[10% Rent]],Tabela3[[#This Row],[VPA]]*3.5)</f>
        <v>0.24</v>
      </c>
      <c r="P63" s="19">
        <f>Tabela3[[#This Row],[P Compra]]/Tabela3[[#This Row],[Cotação]]-1</f>
        <v>-0.47826086956521741</v>
      </c>
      <c r="Q63" s="6">
        <f>Tabela3[[#This Row],[Lucro/Ação Ano]]*Tabela3[[#This Row],[Payout]]</f>
        <v>2.3901074606628908E-2</v>
      </c>
      <c r="R63" s="15" t="str">
        <f>IF(AND([% Yield]&gt;=10%,[PVPA]&lt;=3.5,[PL]&lt;=15,[PL]&gt;0),"Sim","Não")</f>
        <v>Não</v>
      </c>
      <c r="S63" s="46">
        <f>Tabela3[[#This Row],[Lucro Prev]]/Tabela3[[#This Row],[Cotação]]</f>
        <v>5.1958857840497627E-2</v>
      </c>
      <c r="T63" s="14">
        <f>($Z$1/Tabela3[[#This Row],[Cotação]]-MOD($Z$1/Tabela3[[#This Row],[Cotação]],100))</f>
        <v>2100</v>
      </c>
      <c r="U63" s="17">
        <f>Tabela3[[#This Row],[Ativos]]*Tabela3[[#This Row],[Lucro Prev]]</f>
        <v>50.19225667392071</v>
      </c>
      <c r="V63" s="5">
        <f>SUMPRODUCT(N(Tabela1[Código]=Tabela3[[#This Row],[PAPEL]]),Tabela1[Fechamento])</f>
        <v>0.46</v>
      </c>
      <c r="W63" s="5">
        <f>SUMPRODUCT(N(Tabela17[Código]=Tabela3[[#This Row],[PAPEL]]),Tabela17[Fechamento])</f>
        <v>0</v>
      </c>
    </row>
    <row r="64" spans="1:23" hidden="1">
      <c r="A64" s="3" t="s">
        <v>361</v>
      </c>
      <c r="B64" s="78" t="s">
        <v>360</v>
      </c>
      <c r="C64" s="16">
        <v>3</v>
      </c>
      <c r="D64" s="5">
        <v>10031194000</v>
      </c>
      <c r="E64" s="5">
        <v>852679000</v>
      </c>
      <c r="F64" s="21">
        <v>349547945</v>
      </c>
      <c r="G64" s="72">
        <f>Tabela3[[#This Row],[Lucro Líquido]]/Tabela3[[#This Row],[Total Ações]]</f>
        <v>2.439376377967263</v>
      </c>
      <c r="H64" s="16">
        <f>Tabela3[[#This Row],[Lucro/Ação]]/Tabela3[[#This Row],[Ref]]*4</f>
        <v>3.2525018372896839</v>
      </c>
      <c r="I64" s="18">
        <f>IF(GETPIVOTDATA("Payout",'Tabela LL'!$A$3,"Ativo",Tabela3[[#This Row],[PAPEL]])&gt;1,1,GETPIVOTDATA("Payout",'Tabela LL'!$A$3,"Ativo",Tabela3[[#This Row],[PAPEL]]))</f>
        <v>0.37396520131393723</v>
      </c>
      <c r="J64" s="5">
        <f>[Patrimônio Líquido]/[Total Ações]</f>
        <v>28.697619721380423</v>
      </c>
      <c r="K64" s="58">
        <f>MAX(Tabela3[[#This Row],[Cotação 1]],Tabela3[[#This Row],[Cotação 2]])</f>
        <v>23.57</v>
      </c>
      <c r="L64" s="59">
        <f>[Cotação]/[VPA]</f>
        <v>0.82132247304259098</v>
      </c>
      <c r="M64" s="40">
        <f>IF(Tabela3[[#This Row],[Lucro/Ação Ano]]&gt;0,Tabela3[[#This Row],[Cotação]]/Tabela3[[#This Row],[Lucro/Ação Ano]],0)</f>
        <v>7.2467291885193603</v>
      </c>
      <c r="N64" s="7">
        <f>ROUND(Tabela3[[#This Row],[Lucro Prev]]/10%,2)</f>
        <v>12.16</v>
      </c>
      <c r="O64" s="51">
        <f>MIN(Tabela3[[#This Row],[10% Rent]],Tabela3[[#This Row],[VPA]]*3.5)</f>
        <v>12.16</v>
      </c>
      <c r="P64" s="18">
        <f>Tabela3[[#This Row],[P Compra]]/Tabela3[[#This Row],[Cotação]]-1</f>
        <v>-0.48408994484514212</v>
      </c>
      <c r="Q64" s="5">
        <f>Tabela3[[#This Row],[Lucro/Ação Ano]]*Tabela3[[#This Row],[Payout]]</f>
        <v>1.2163225043559873</v>
      </c>
      <c r="R64" s="16" t="str">
        <f>IF(AND([% Yield]&gt;=10%,[PVPA]&lt;=3.5,[PL]&lt;=15,[PL]&gt;0),"Sim","Não")</f>
        <v>Não</v>
      </c>
      <c r="S64" s="22">
        <f>Tabela3[[#This Row],[Lucro Prev]]/Tabela3[[#This Row],[Cotação]]</f>
        <v>5.1604688347729626E-2</v>
      </c>
      <c r="T64" s="10">
        <f>($Z$1/Tabela3[[#This Row],[Cotação]]-MOD($Z$1/Tabela3[[#This Row],[Cotação]],100))</f>
        <v>0</v>
      </c>
      <c r="U64" s="7">
        <f>Tabela3[[#This Row],[Ativos]]*Tabela3[[#This Row],[Lucro Prev]]</f>
        <v>0</v>
      </c>
      <c r="V64" s="51">
        <f>SUMPRODUCT(N(Tabela1[Código]=Tabela3[[#This Row],[PAPEL]]),Tabela1[Fechamento])</f>
        <v>0</v>
      </c>
      <c r="W64" s="60">
        <f>SUMPRODUCT(N(Tabela17[Código]=Tabela3[[#This Row],[PAPEL]]),Tabela17[Fechamento])</f>
        <v>23.57</v>
      </c>
    </row>
    <row r="65" spans="1:23" hidden="1">
      <c r="A65" s="4" t="s">
        <v>14</v>
      </c>
      <c r="B65" s="14" t="s">
        <v>248</v>
      </c>
      <c r="C65" s="15">
        <v>3</v>
      </c>
      <c r="D65" s="5">
        <v>1002748000</v>
      </c>
      <c r="E65" s="5">
        <v>143437000</v>
      </c>
      <c r="F65" s="21">
        <v>36304650</v>
      </c>
      <c r="G65" s="15">
        <f>Tabela3[[#This Row],[Lucro Líquido]]/Tabela3[[#This Row],[Total Ações]]</f>
        <v>3.9509263964808916</v>
      </c>
      <c r="H65" s="15">
        <f>Tabela3[[#This Row],[Lucro/Ação]]/Tabela3[[#This Row],[Ref]]*4</f>
        <v>5.2679018619745221</v>
      </c>
      <c r="I65" s="19">
        <f>IF(GETPIVOTDATA("Payout",'Tabela LL'!$A$3,"Ativo",Tabela3[[#This Row],[PAPEL]])&gt;1,1,GETPIVOTDATA("Payout",'Tabela LL'!$A$3,"Ativo",Tabela3[[#This Row],[PAPEL]]))</f>
        <v>0.28664546825986631</v>
      </c>
      <c r="J65" s="6">
        <f>[Patrimônio Líquido]/[Total Ações]</f>
        <v>27.620373698685981</v>
      </c>
      <c r="K65" s="52">
        <f>MAX(Tabela3[[#This Row],[Cotação 1]],Tabela3[[#This Row],[Cotação 2]])</f>
        <v>29.99</v>
      </c>
      <c r="L65" s="48">
        <f>[Cotação]/[VPA]</f>
        <v>1.0857926951736627</v>
      </c>
      <c r="M65" s="44">
        <f>IF(Tabela3[[#This Row],[Lucro/Ação Ano]]&gt;0,Tabela3[[#This Row],[Cotação]]/Tabela3[[#This Row],[Lucro/Ação Ano]],0)</f>
        <v>5.6929686212413806</v>
      </c>
      <c r="N65" s="6">
        <f>ROUND(Tabela3[[#This Row],[Lucro Prev]]/10%,2)</f>
        <v>15.1</v>
      </c>
      <c r="O65" s="61">
        <f>MIN(Tabela3[[#This Row],[10% Rent]],Tabela3[[#This Row],[VPA]]*3.5)</f>
        <v>15.1</v>
      </c>
      <c r="P65" s="19">
        <f>Tabela3[[#This Row],[P Compra]]/Tabela3[[#This Row],[Cotação]]-1</f>
        <v>-0.49649883294431474</v>
      </c>
      <c r="Q65" s="6">
        <f>Tabela3[[#This Row],[Lucro/Ação Ano]]*Tabela3[[#This Row],[Payout]]</f>
        <v>1.5100201959727084</v>
      </c>
      <c r="R65" s="15" t="str">
        <f>IF(AND([% Yield]&gt;=10%,[PVPA]&lt;=3.5,[PL]&lt;=15,[PL]&gt;0),"Sim","Não")</f>
        <v>Não</v>
      </c>
      <c r="S65" s="46">
        <f>Tabela3[[#This Row],[Lucro Prev]]/Tabela3[[#This Row],[Cotação]]</f>
        <v>5.0350790129133328E-2</v>
      </c>
      <c r="T65" s="14">
        <f>($Z$1/Tabela3[[#This Row],[Cotação]]-MOD($Z$1/Tabela3[[#This Row],[Cotação]],100))</f>
        <v>0</v>
      </c>
      <c r="U65" s="17">
        <f>Tabela3[[#This Row],[Ativos]]*Tabela3[[#This Row],[Lucro Prev]]</f>
        <v>0</v>
      </c>
      <c r="V65" s="5">
        <f>SUMPRODUCT(N(Tabela1[Código]=Tabela3[[#This Row],[PAPEL]]),Tabela1[Fechamento])</f>
        <v>29.99</v>
      </c>
      <c r="W65" s="5">
        <f>SUMPRODUCT(N(Tabela17[Código]=Tabela3[[#This Row],[PAPEL]]),Tabela17[Fechamento])</f>
        <v>0</v>
      </c>
    </row>
    <row r="66" spans="1:23" hidden="1">
      <c r="A66" s="4" t="s">
        <v>468</v>
      </c>
      <c r="B66" s="71" t="s">
        <v>469</v>
      </c>
      <c r="C66" s="15">
        <v>3</v>
      </c>
      <c r="D66" s="6">
        <v>662099000</v>
      </c>
      <c r="E66" s="6">
        <v>23239000</v>
      </c>
      <c r="F66" s="42">
        <v>80041132</v>
      </c>
      <c r="G66" s="73">
        <f>Tabela3[[#This Row],[Lucro Líquido]]/Tabela3[[#This Row],[Total Ações]]</f>
        <v>0.29033822260284875</v>
      </c>
      <c r="H66" s="15">
        <f>Tabela3[[#This Row],[Lucro/Ação]]/Tabela3[[#This Row],[Ref]]*4</f>
        <v>0.38711763013713169</v>
      </c>
      <c r="I66" s="19">
        <f>IF(GETPIVOTDATA("Payout",'Tabela LL'!$A$3,"Ativo",Tabela3[[#This Row],[PAPEL]])&gt;1,1,GETPIVOTDATA("Payout",'Tabela LL'!$A$3,"Ativo",Tabela3[[#This Row],[PAPEL]]))</f>
        <v>1</v>
      </c>
      <c r="J66" s="6">
        <f>[Patrimônio Líquido]/[Total Ações]</f>
        <v>8.2719844591903069</v>
      </c>
      <c r="K66" s="52">
        <f>MAX(Tabela3[[#This Row],[Cotação 1]],Tabela3[[#This Row],[Cotação 2]])</f>
        <v>7.69</v>
      </c>
      <c r="L66" s="48">
        <f>[Cotação]/[VPA]</f>
        <v>0.92964391288916015</v>
      </c>
      <c r="M66" s="44">
        <f>IF(Tabela3[[#This Row],[Lucro/Ação Ano]]&gt;0,Tabela3[[#This Row],[Cotação]]/Tabela3[[#This Row],[Lucro/Ação Ano]],0)</f>
        <v>19.864763062524204</v>
      </c>
      <c r="N66" s="17">
        <f>ROUND(Tabela3[[#This Row],[Lucro Prev]]/10%,2)</f>
        <v>3.87</v>
      </c>
      <c r="O66" s="13">
        <f>MIN(Tabela3[[#This Row],[10% Rent]],Tabela3[[#This Row],[VPA]]*3.5)</f>
        <v>3.87</v>
      </c>
      <c r="P66" s="19">
        <f>Tabela3[[#This Row],[P Compra]]/Tabela3[[#This Row],[Cotação]]-1</f>
        <v>-0.49674902470741222</v>
      </c>
      <c r="Q66" s="6">
        <f>Tabela3[[#This Row],[Lucro/Ação Ano]]*Tabela3[[#This Row],[Payout]]</f>
        <v>0.38711763013713169</v>
      </c>
      <c r="R66" s="15" t="str">
        <f>IF(AND([% Yield]&gt;=10%,[PVPA]&lt;=3.5,[PL]&lt;=15,[PL]&gt;0),"Sim","Não")</f>
        <v>Não</v>
      </c>
      <c r="S66" s="46">
        <f>Tabela3[[#This Row],[Lucro Prev]]/Tabela3[[#This Row],[Cotação]]</f>
        <v>5.0340394036037926E-2</v>
      </c>
      <c r="T66" s="14">
        <f>($Z$1/Tabela3[[#This Row],[Cotação]]-MOD($Z$1/Tabela3[[#This Row],[Cotação]],100))</f>
        <v>100</v>
      </c>
      <c r="U66" s="17">
        <f>Tabela3[[#This Row],[Ativos]]*Tabela3[[#This Row],[Lucro Prev]]</f>
        <v>38.711763013713167</v>
      </c>
      <c r="V66" s="13">
        <f>SUMPRODUCT(N(Tabela1[Código]=Tabela3[[#This Row],[PAPEL]]),Tabela1[Fechamento])</f>
        <v>0</v>
      </c>
      <c r="W66" s="61">
        <f>SUMPRODUCT(N(Tabela17[Código]=Tabela3[[#This Row],[PAPEL]]),Tabela17[Fechamento])</f>
        <v>7.69</v>
      </c>
    </row>
    <row r="67" spans="1:23" hidden="1">
      <c r="A67" s="4" t="s">
        <v>12</v>
      </c>
      <c r="B67" s="14" t="s">
        <v>108</v>
      </c>
      <c r="C67" s="15">
        <v>3</v>
      </c>
      <c r="D67" s="6">
        <v>13116477000</v>
      </c>
      <c r="E67" s="6">
        <v>923222000</v>
      </c>
      <c r="F67" s="42">
        <v>273655375</v>
      </c>
      <c r="G67" s="15">
        <f>Tabela3[[#This Row],[Lucro Líquido]]/Tabela3[[#This Row],[Total Ações]]</f>
        <v>3.3736666053060351</v>
      </c>
      <c r="H67" s="15">
        <f>Tabela3[[#This Row],[Lucro/Ação]]/Tabela3[[#This Row],[Ref]]*4</f>
        <v>4.4982221404080471</v>
      </c>
      <c r="I67" s="19">
        <f>IF(GETPIVOTDATA("Payout",'Tabela LL'!$A$3,"Ativo",Tabela3[[#This Row],[PAPEL]])&gt;1,1,GETPIVOTDATA("Payout",'Tabela LL'!$A$3,"Ativo",Tabela3[[#This Row],[PAPEL]]))</f>
        <v>0.33582916423156933</v>
      </c>
      <c r="J67" s="6">
        <f>[Patrimônio Líquido]/[Total Ações]</f>
        <v>47.930639038242902</v>
      </c>
      <c r="K67" s="52">
        <f>MAX(Tabela3[[#This Row],[Cotação 1]],Tabela3[[#This Row],[Cotação 2]])</f>
        <v>30.18</v>
      </c>
      <c r="L67" s="48">
        <f>[Cotação]/[VPA]</f>
        <v>0.62965987113002975</v>
      </c>
      <c r="M67" s="44">
        <f>IF(Tabela3[[#This Row],[Lucro/Ação Ano]]&gt;0,Tabela3[[#This Row],[Cotação]]/Tabela3[[#This Row],[Lucro/Ação Ano]],0)</f>
        <v>6.7093173831700277</v>
      </c>
      <c r="N67" s="6">
        <f>ROUND(Tabela3[[#This Row],[Lucro Prev]]/10%,2)</f>
        <v>15.11</v>
      </c>
      <c r="O67" s="61">
        <f>MIN(Tabela3[[#This Row],[10% Rent]],Tabela3[[#This Row],[VPA]]*3.5)</f>
        <v>15.11</v>
      </c>
      <c r="P67" s="19">
        <f>Tabela3[[#This Row],[P Compra]]/Tabela3[[#This Row],[Cotação]]-1</f>
        <v>-0.49933730947647448</v>
      </c>
      <c r="Q67" s="6">
        <f>Tabela3[[#This Row],[Lucro/Ação Ano]]*Tabela3[[#This Row],[Payout]]</f>
        <v>1.5106341819411755</v>
      </c>
      <c r="R67" s="15" t="str">
        <f>IF(AND([% Yield]&gt;=10%,[PVPA]&lt;=3.5,[PL]&lt;=15,[PL]&gt;0),"Sim","Não")</f>
        <v>Não</v>
      </c>
      <c r="S67" s="46">
        <f>Tabela3[[#This Row],[Lucro Prev]]/Tabela3[[#This Row],[Cotação]]</f>
        <v>5.0054147844306673E-2</v>
      </c>
      <c r="T67" s="14">
        <f>($Z$1/Tabela3[[#This Row],[Cotação]]-MOD($Z$1/Tabela3[[#This Row],[Cotação]],100))</f>
        <v>0</v>
      </c>
      <c r="U67" s="17">
        <f>Tabela3[[#This Row],[Ativos]]*Tabela3[[#This Row],[Lucro Prev]]</f>
        <v>0</v>
      </c>
      <c r="V67" s="5">
        <f>SUMPRODUCT(N(Tabela1[Código]=Tabela3[[#This Row],[PAPEL]]),Tabela1[Fechamento])</f>
        <v>30.18</v>
      </c>
      <c r="W67" s="5">
        <f>SUMPRODUCT(N(Tabela17[Código]=Tabela3[[#This Row],[PAPEL]]),Tabela17[Fechamento])</f>
        <v>0</v>
      </c>
    </row>
    <row r="68" spans="1:23" hidden="1">
      <c r="A68" s="4" t="s">
        <v>14</v>
      </c>
      <c r="B68" s="15" t="s">
        <v>257</v>
      </c>
      <c r="C68" s="16">
        <v>3</v>
      </c>
      <c r="D68" s="5">
        <v>843867000</v>
      </c>
      <c r="E68" s="5">
        <v>34502000</v>
      </c>
      <c r="F68" s="21">
        <v>73646388</v>
      </c>
      <c r="G68" s="16">
        <f>Tabela3[[#This Row],[Lucro Líquido]]/Tabela3[[#This Row],[Total Ações]]</f>
        <v>0.46848190300928266</v>
      </c>
      <c r="H68" s="16">
        <f>Tabela3[[#This Row],[Lucro/Ação]]/Tabela3[[#This Row],[Ref]]*4</f>
        <v>0.62464253734571018</v>
      </c>
      <c r="I68" s="18">
        <f>IF(GETPIVOTDATA("Payout",'Tabela LL'!$A$3,"Ativo",Tabela3[[#This Row],[PAPEL]])&gt;1,1,GETPIVOTDATA("Payout",'Tabela LL'!$A$3,"Ativo",Tabela3[[#This Row],[PAPEL]]))</f>
        <v>0.3043021650591613</v>
      </c>
      <c r="J68" s="5">
        <f>[Patrimônio Líquido]/[Total Ações]</f>
        <v>11.45836235716</v>
      </c>
      <c r="K68" s="58">
        <f>MAX(Tabela3[[#This Row],[Cotação 1]],Tabela3[[#This Row],[Cotação 2]])</f>
        <v>3.82</v>
      </c>
      <c r="L68" s="59">
        <f>[Cotação]/[VPA]</f>
        <v>0.33338097373164255</v>
      </c>
      <c r="M68" s="40">
        <f>IF(Tabela3[[#This Row],[Lucro/Ação Ano]]&gt;0,Tabela3[[#This Row],[Cotação]]/Tabela3[[#This Row],[Lucro/Ação Ano]],0)</f>
        <v>6.1154976992638108</v>
      </c>
      <c r="N68" s="5">
        <f>ROUND(Tabela3[[#This Row],[Lucro Prev]]/10%,2)</f>
        <v>1.9</v>
      </c>
      <c r="O68" s="60">
        <f>MIN(Tabela3[[#This Row],[10% Rent]],Tabela3[[#This Row],[VPA]]*3.5)</f>
        <v>1.9</v>
      </c>
      <c r="P68" s="18">
        <f>Tabela3[[#This Row],[P Compra]]/Tabela3[[#This Row],[Cotação]]-1</f>
        <v>-0.50261780104712039</v>
      </c>
      <c r="Q68" s="5">
        <f>Tabela3[[#This Row],[Lucro/Ação Ano]]*Tabela3[[#This Row],[Payout]]</f>
        <v>0.19008007650234762</v>
      </c>
      <c r="R68" s="16" t="str">
        <f>IF(AND([% Yield]&gt;=10%,[PVPA]&lt;=3.5,[PL]&lt;=15,[PL]&gt;0),"Sim","Não")</f>
        <v>Não</v>
      </c>
      <c r="S68" s="22">
        <f>Tabela3[[#This Row],[Lucro Prev]]/Tabela3[[#This Row],[Cotação]]</f>
        <v>4.9759182330457494E-2</v>
      </c>
      <c r="T68" s="10">
        <f>($Z$1/Tabela3[[#This Row],[Cotação]]-MOD($Z$1/Tabela3[[#This Row],[Cotação]],100))</f>
        <v>200</v>
      </c>
      <c r="U68" s="7">
        <f>Tabela3[[#This Row],[Ativos]]*Tabela3[[#This Row],[Lucro Prev]]</f>
        <v>38.016015300469526</v>
      </c>
      <c r="V68" s="5">
        <f>SUMPRODUCT(N(Tabela1[Código]=Tabela3[[#This Row],[PAPEL]]),Tabela1[Fechamento])</f>
        <v>3.82</v>
      </c>
      <c r="W68" s="5">
        <f>SUMPRODUCT(N(Tabela17[Código]=Tabela3[[#This Row],[PAPEL]]),Tabela17[Fechamento])</f>
        <v>0</v>
      </c>
    </row>
    <row r="69" spans="1:23" hidden="1">
      <c r="A69" s="4" t="s">
        <v>734</v>
      </c>
      <c r="B69" s="71" t="s">
        <v>733</v>
      </c>
      <c r="C69" s="15">
        <v>3</v>
      </c>
      <c r="D69" s="6">
        <v>19321802000</v>
      </c>
      <c r="E69" s="6">
        <v>899387000</v>
      </c>
      <c r="F69" s="42">
        <v>1980000000</v>
      </c>
      <c r="G69" s="15">
        <f>Tabela3[[#This Row],[Lucro Líquido]]/Tabela3[[#This Row],[Total Ações]]</f>
        <v>0.45423585858585858</v>
      </c>
      <c r="H69" s="15">
        <f>Tabela3[[#This Row],[Lucro/Ação]]/Tabela3[[#This Row],[Ref]]*4</f>
        <v>0.60564781144781143</v>
      </c>
      <c r="I69" s="19">
        <f>IF(GETPIVOTDATA("Payout",'Tabela LL'!$A$3,"Ativo",Tabela3[[#This Row],[PAPEL]])&gt;1,1,GETPIVOTDATA("Payout",'Tabela LL'!$A$3,"Ativo",Tabela3[[#This Row],[PAPEL]]))</f>
        <v>0.84727522063961358</v>
      </c>
      <c r="J69" s="6">
        <f>[Patrimônio Líquido]/[Total Ações]</f>
        <v>9.7584858585858587</v>
      </c>
      <c r="K69" s="52">
        <f>MAX(Tabela3[[#This Row],[Cotação 1]],Tabela3[[#This Row],[Cotação 2]])</f>
        <v>10.39</v>
      </c>
      <c r="L69" s="48">
        <f>[Cotação]/[VPA]</f>
        <v>1.064714357387577</v>
      </c>
      <c r="M69" s="44">
        <f>IF(Tabela3[[#This Row],[Lucro/Ação Ano]]&gt;0,Tabela3[[#This Row],[Cotação]]/Tabela3[[#This Row],[Lucro/Ação Ano]],0)</f>
        <v>17.155184586835258</v>
      </c>
      <c r="N69" s="17">
        <f>ROUND(Tabela3[[#This Row],[Lucro Prev]]/10%,2)</f>
        <v>5.13</v>
      </c>
      <c r="O69" s="13">
        <f>MIN(Tabela3[[#This Row],[10% Rent]],Tabela3[[#This Row],[VPA]]*3.5)</f>
        <v>5.13</v>
      </c>
      <c r="P69" s="19">
        <f>Tabela3[[#This Row],[P Compra]]/Tabela3[[#This Row],[Cotação]]-1</f>
        <v>-0.50625601539942255</v>
      </c>
      <c r="Q69" s="6">
        <f>Tabela3[[#This Row],[Lucro/Ação Ano]]*Tabela3[[#This Row],[Payout]]</f>
        <v>0.51315038307434346</v>
      </c>
      <c r="R69" s="15" t="str">
        <f>IF(AND([% Yield]&gt;=10%,[PVPA]&lt;=3.5,[PL]&lt;=15,[PL]&gt;0),"Sim","Não")</f>
        <v>Não</v>
      </c>
      <c r="S69" s="46">
        <f>Tabela3[[#This Row],[Lucro Prev]]/Tabela3[[#This Row],[Cotação]]</f>
        <v>4.9388872288194746E-2</v>
      </c>
      <c r="T69" s="14">
        <f>($Z$1/Tabela3[[#This Row],[Cotação]]-MOD($Z$1/Tabela3[[#This Row],[Cotação]],100))</f>
        <v>0</v>
      </c>
      <c r="U69" s="17">
        <f>Tabela3[[#This Row],[Ativos]]*Tabela3[[#This Row],[Lucro Prev]]</f>
        <v>0</v>
      </c>
      <c r="V69" s="13">
        <f>SUMPRODUCT(N(Tabela1[Código]=Tabela3[[#This Row],[PAPEL]]),Tabela1[Fechamento])</f>
        <v>0</v>
      </c>
      <c r="W69" s="61">
        <f>SUMPRODUCT(N(Tabela17[Código]=Tabela3[[#This Row],[PAPEL]]),Tabela17[Fechamento])</f>
        <v>10.39</v>
      </c>
    </row>
    <row r="70" spans="1:23" hidden="1">
      <c r="A70" s="4" t="s">
        <v>12</v>
      </c>
      <c r="B70" s="14" t="s">
        <v>67</v>
      </c>
      <c r="C70" s="15">
        <v>3</v>
      </c>
      <c r="D70" s="6">
        <v>1825587000</v>
      </c>
      <c r="E70" s="6">
        <v>190026000</v>
      </c>
      <c r="F70" s="42">
        <v>1245690889</v>
      </c>
      <c r="G70" s="15">
        <f>Tabela3[[#This Row],[Lucro Líquido]]/Tabela3[[#This Row],[Total Ações]]</f>
        <v>0.15254667243536371</v>
      </c>
      <c r="H70" s="15">
        <f>Tabela3[[#This Row],[Lucro/Ação]]/Tabela3[[#This Row],[Ref]]*4</f>
        <v>0.20339556324715161</v>
      </c>
      <c r="I70" s="45">
        <f>IF(GETPIVOTDATA("Payout",'Tabela LL'!$A$3,"Ativo",Tabela3[[#This Row],[PAPEL]])&gt;1,1,GETPIVOTDATA("Payout",'Tabela LL'!$A$3,"Ativo",Tabela3[[#This Row],[PAPEL]]))</f>
        <v>0.58097440486745289</v>
      </c>
      <c r="J70" s="6">
        <f>[Patrimônio Líquido]/[Total Ações]</f>
        <v>1.4655216764614227</v>
      </c>
      <c r="K70" s="52">
        <f>MAX(Tabela3[[#This Row],[Cotação 1]],Tabela3[[#This Row],[Cotação 2]])</f>
        <v>2.4</v>
      </c>
      <c r="L70" s="48">
        <f>[Cotação]/[VPA]</f>
        <v>1.6376421028414421</v>
      </c>
      <c r="M70" s="44">
        <f>IF(Tabela3[[#This Row],[Lucro/Ação Ano]]&gt;0,Tabela3[[#This Row],[Cotação]]/Tabela3[[#This Row],[Lucro/Ação Ano]],0)</f>
        <v>11.799667414985317</v>
      </c>
      <c r="N70" s="6">
        <f>ROUND(Tabela3[[#This Row],[Lucro Prev]]/10%,2)</f>
        <v>1.18</v>
      </c>
      <c r="O70" s="17">
        <f>MIN(Tabela3[[#This Row],[10% Rent]],Tabela3[[#This Row],[VPA]]*3.5)</f>
        <v>1.18</v>
      </c>
      <c r="P70" s="19">
        <f>Tabela3[[#This Row],[P Compra]]/Tabela3[[#This Row],[Cotação]]-1</f>
        <v>-0.5083333333333333</v>
      </c>
      <c r="Q70" s="6">
        <f>Tabela3[[#This Row],[Lucro/Ação Ano]]*Tabela3[[#This Row],[Payout]]</f>
        <v>0.11816761631019428</v>
      </c>
      <c r="R70" s="14" t="str">
        <f>IF(AND([% Yield]&gt;=10%,[PVPA]&lt;=3.5,[PL]&lt;=15,[PL]&gt;0),"Sim","Não")</f>
        <v>Não</v>
      </c>
      <c r="S70" s="46">
        <f>Tabela3[[#This Row],[Lucro Prev]]/Tabela3[[#This Row],[Cotação]]</f>
        <v>4.9236506795914285E-2</v>
      </c>
      <c r="T70" s="14">
        <f>($Z$1/Tabela3[[#This Row],[Cotação]]-MOD($Z$1/Tabela3[[#This Row],[Cotação]],100))</f>
        <v>400</v>
      </c>
      <c r="U70" s="17">
        <f>Tabela3[[#This Row],[Ativos]]*Tabela3[[#This Row],[Lucro Prev]]</f>
        <v>47.267046524077713</v>
      </c>
      <c r="V70" s="5">
        <f>SUMPRODUCT(N(Tabela1[Código]=Tabela3[[#This Row],[PAPEL]]),Tabela1[Fechamento])</f>
        <v>2.4</v>
      </c>
      <c r="W70" s="5">
        <f>SUMPRODUCT(N(Tabela17[Código]=Tabela3[[#This Row],[PAPEL]]),Tabela17[Fechamento])</f>
        <v>0</v>
      </c>
    </row>
    <row r="71" spans="1:23" hidden="1">
      <c r="A71" s="4" t="s">
        <v>14</v>
      </c>
      <c r="B71" s="14" t="s">
        <v>233</v>
      </c>
      <c r="C71" s="15">
        <v>3</v>
      </c>
      <c r="D71" s="6">
        <v>5008604000</v>
      </c>
      <c r="E71" s="6">
        <v>602652000</v>
      </c>
      <c r="F71" s="42">
        <v>408974477</v>
      </c>
      <c r="G71" s="15">
        <f>Tabela3[[#This Row],[Lucro Líquido]]/Tabela3[[#This Row],[Total Ações]]</f>
        <v>1.4735687283487864</v>
      </c>
      <c r="H71" s="15">
        <f>Tabela3[[#This Row],[Lucro/Ação]]/Tabela3[[#This Row],[Ref]]*4</f>
        <v>1.9647583044650485</v>
      </c>
      <c r="I71" s="19">
        <f>IF(GETPIVOTDATA("Payout",'Tabela LL'!$A$3,"Ativo",Tabela3[[#This Row],[PAPEL]])&gt;1,1,GETPIVOTDATA("Payout",'Tabela LL'!$A$3,"Ativo",Tabela3[[#This Row],[PAPEL]]))</f>
        <v>0.39260782255861065</v>
      </c>
      <c r="J71" s="6">
        <f>[Patrimônio Líquido]/[Total Ações]</f>
        <v>12.246739788605439</v>
      </c>
      <c r="K71" s="52">
        <f>MAX(Tabela3[[#This Row],[Cotação 1]],Tabela3[[#This Row],[Cotação 2]])</f>
        <v>15.72</v>
      </c>
      <c r="L71" s="48">
        <f>[Cotação]/[VPA]</f>
        <v>1.2836069248916466</v>
      </c>
      <c r="M71" s="44">
        <f>IF(Tabela3[[#This Row],[Lucro/Ação Ano]]&gt;0,Tabela3[[#This Row],[Cotação]]/Tabela3[[#This Row],[Lucro/Ação Ano]],0)</f>
        <v>8.0009841232253454</v>
      </c>
      <c r="N71" s="6">
        <f>ROUND(Tabela3[[#This Row],[Lucro Prev]]/10%,2)</f>
        <v>7.71</v>
      </c>
      <c r="O71" s="61">
        <f>MIN(Tabela3[[#This Row],[10% Rent]],Tabela3[[#This Row],[VPA]]*3.5)</f>
        <v>7.71</v>
      </c>
      <c r="P71" s="19">
        <f>Tabela3[[#This Row],[P Compra]]/Tabela3[[#This Row],[Cotação]]-1</f>
        <v>-0.50954198473282442</v>
      </c>
      <c r="Q71" s="6">
        <f>Tabela3[[#This Row],[Lucro/Ação Ano]]*Tabela3[[#This Row],[Payout]]</f>
        <v>0.77137947976997046</v>
      </c>
      <c r="R71" s="15" t="str">
        <f>IF(AND([% Yield]&gt;=10%,[PVPA]&lt;=3.5,[PL]&lt;=15,[PL]&gt;0),"Sim","Não")</f>
        <v>Não</v>
      </c>
      <c r="S71" s="46">
        <f>Tabela3[[#This Row],[Lucro Prev]]/Tabela3[[#This Row],[Cotação]]</f>
        <v>4.9069941461194047E-2</v>
      </c>
      <c r="T71" s="14">
        <f>($Z$1/Tabela3[[#This Row],[Cotação]]-MOD($Z$1/Tabela3[[#This Row],[Cotação]],100))</f>
        <v>0</v>
      </c>
      <c r="U71" s="17">
        <f>Tabela3[[#This Row],[Ativos]]*Tabela3[[#This Row],[Lucro Prev]]</f>
        <v>0</v>
      </c>
      <c r="V71" s="5">
        <f>SUMPRODUCT(N(Tabela1[Código]=Tabela3[[#This Row],[PAPEL]]),Tabela1[Fechamento])</f>
        <v>15.72</v>
      </c>
      <c r="W71" s="5">
        <f>SUMPRODUCT(N(Tabela17[Código]=Tabela3[[#This Row],[PAPEL]]),Tabela17[Fechamento])</f>
        <v>0</v>
      </c>
    </row>
    <row r="72" spans="1:23" hidden="1">
      <c r="A72" s="4" t="s">
        <v>14</v>
      </c>
      <c r="B72" s="14" t="s">
        <v>60</v>
      </c>
      <c r="C72" s="15">
        <v>3</v>
      </c>
      <c r="D72" s="6">
        <v>901919000</v>
      </c>
      <c r="E72" s="6">
        <v>77892000</v>
      </c>
      <c r="F72" s="42">
        <v>1579564303</v>
      </c>
      <c r="G72" s="15">
        <f>Tabela3[[#This Row],[Lucro Líquido]]/Tabela3[[#This Row],[Total Ações]]</f>
        <v>4.931233242740609E-2</v>
      </c>
      <c r="H72" s="15">
        <f>Tabela3[[#This Row],[Lucro/Ação]]/Tabela3[[#This Row],[Ref]]*4</f>
        <v>6.5749776569874782E-2</v>
      </c>
      <c r="I72" s="19">
        <f>IF(GETPIVOTDATA("Payout",'Tabela LL'!$A$3,"Ativo",Tabela3[[#This Row],[PAPEL]])&gt;1,1,GETPIVOTDATA("Payout",'Tabela LL'!$A$3,"Ativo",Tabela3[[#This Row],[PAPEL]]))</f>
        <v>0.36351567797691797</v>
      </c>
      <c r="J72" s="6">
        <f>[Patrimônio Líquido]/[Total Ações]</f>
        <v>0.57099226558046623</v>
      </c>
      <c r="K72" s="52">
        <f>MAX(Tabela3[[#This Row],[Cotação 1]],Tabela3[[#This Row],[Cotação 2]])</f>
        <v>0.48</v>
      </c>
      <c r="L72" s="48">
        <f>[Cotação]/[VPA]</f>
        <v>0.84064185967919502</v>
      </c>
      <c r="M72" s="44">
        <f>IF(Tabela3[[#This Row],[Lucro/Ação Ano]]&gt;0,Tabela3[[#This Row],[Cotação]]/Tabela3[[#This Row],[Lucro/Ação Ano]],0)</f>
        <v>7.3004050362039754</v>
      </c>
      <c r="N72" s="6">
        <f>ROUND(Tabela3[[#This Row],[Lucro Prev]]/10%,2)</f>
        <v>0.24</v>
      </c>
      <c r="O72" s="61">
        <f>MIN(Tabela3[[#This Row],[10% Rent]],Tabela3[[#This Row],[VPA]]*3.5)</f>
        <v>0.24</v>
      </c>
      <c r="P72" s="19">
        <f>Tabela3[[#This Row],[P Compra]]/Tabela3[[#This Row],[Cotação]]-1</f>
        <v>-0.5</v>
      </c>
      <c r="Q72" s="6">
        <f>Tabela3[[#This Row],[Lucro/Ação Ano]]*Tabela3[[#This Row],[Payout]]</f>
        <v>2.3901074606628908E-2</v>
      </c>
      <c r="R72" s="15" t="str">
        <f>IF(AND([% Yield]&gt;=10%,[PVPA]&lt;=3.5,[PL]&lt;=15,[PL]&gt;0),"Sim","Não")</f>
        <v>Não</v>
      </c>
      <c r="S72" s="46">
        <f>Tabela3[[#This Row],[Lucro Prev]]/Tabela3[[#This Row],[Cotação]]</f>
        <v>4.9793905430476897E-2</v>
      </c>
      <c r="T72" s="14">
        <f>($Z$1/Tabela3[[#This Row],[Cotação]]-MOD($Z$1/Tabela3[[#This Row],[Cotação]],100))</f>
        <v>2000</v>
      </c>
      <c r="U72" s="17">
        <f>Tabela3[[#This Row],[Ativos]]*Tabela3[[#This Row],[Lucro Prev]]</f>
        <v>47.802149213257813</v>
      </c>
      <c r="V72" s="5">
        <f>SUMPRODUCT(N(Tabela1[Código]=Tabela3[[#This Row],[PAPEL]]),Tabela1[Fechamento])</f>
        <v>0.48</v>
      </c>
      <c r="W72" s="5">
        <f>SUMPRODUCT(N(Tabela17[Código]=Tabela3[[#This Row],[PAPEL]]),Tabela17[Fechamento])</f>
        <v>0</v>
      </c>
    </row>
    <row r="73" spans="1:23" hidden="1">
      <c r="A73" s="25" t="s">
        <v>12</v>
      </c>
      <c r="B73" s="15" t="s">
        <v>32</v>
      </c>
      <c r="C73" s="16">
        <v>3</v>
      </c>
      <c r="D73" s="31">
        <v>6763474000</v>
      </c>
      <c r="E73" s="31">
        <v>636489000</v>
      </c>
      <c r="F73" s="28">
        <v>962274260</v>
      </c>
      <c r="G73" s="27">
        <f>Tabela3[[#This Row],[Lucro Líquido]]/Tabela3[[#This Row],[Total Ações]]</f>
        <v>0.6614424041644843</v>
      </c>
      <c r="H73" s="27">
        <f>Tabela3[[#This Row],[Lucro/Ação]]/Tabela3[[#This Row],[Ref]]*4</f>
        <v>0.88192320555264569</v>
      </c>
      <c r="I73" s="53">
        <f>IF(GETPIVOTDATA("Payout",'Tabela LL'!$A$3,"Ativo",Tabela3[[#This Row],[PAPEL]])&gt;1,1,GETPIVOTDATA("Payout",'Tabela LL'!$A$3,"Ativo",Tabela3[[#This Row],[PAPEL]]))</f>
        <v>1</v>
      </c>
      <c r="J73" s="31">
        <f>[Patrimônio Líquido]/[Total Ações]</f>
        <v>7.0286344352596526</v>
      </c>
      <c r="K73" s="32">
        <f>MAX(Tabela3[[#This Row],[Cotação 1]],Tabela3[[#This Row],[Cotação 2]])</f>
        <v>18.239999999999998</v>
      </c>
      <c r="L73" s="33">
        <f>[Cotação]/[VPA]</f>
        <v>2.5950986878045215</v>
      </c>
      <c r="M73" s="38">
        <f>IF(Tabela3[[#This Row],[Lucro/Ação Ano]]&gt;0,Tabela3[[#This Row],[Cotação]]/Tabela3[[#This Row],[Lucro/Ação Ano]],0)</f>
        <v>20.682072866616704</v>
      </c>
      <c r="N73" s="31">
        <f>ROUND(Tabela3[[#This Row],[Lucro Prev]]/10%,2)</f>
        <v>8.82</v>
      </c>
      <c r="O73" s="29">
        <f>MIN(Tabela3[[#This Row],[10% Rent]],Tabela3[[#This Row],[VPA]]*3.5)</f>
        <v>8.82</v>
      </c>
      <c r="P73" s="54">
        <f>Tabela3[[#This Row],[P Compra]]/Tabela3[[#This Row],[Cotação]]-1</f>
        <v>-0.51644736842105265</v>
      </c>
      <c r="Q73" s="6">
        <f>Tabela3[[#This Row],[Lucro/Ação Ano]]*Tabela3[[#This Row],[Payout]]</f>
        <v>0.88192320555264569</v>
      </c>
      <c r="R73" s="26" t="str">
        <f>IF(AND([% Yield]&gt;=10%,[PVPA]&lt;=3.5,[PL]&lt;=15,[PL]&gt;0),"Sim","Não")</f>
        <v>Não</v>
      </c>
      <c r="S73" s="30">
        <f>Tabela3[[#This Row],[Lucro Prev]]/Tabela3[[#This Row],[Cotação]]</f>
        <v>4.8351052936000317E-2</v>
      </c>
      <c r="T73" s="10">
        <f>($Z$1/Tabela3[[#This Row],[Cotação]]-MOD($Z$1/Tabela3[[#This Row],[Cotação]],100))</f>
        <v>0</v>
      </c>
      <c r="U73" s="7">
        <f>Tabela3[[#This Row],[Ativos]]*Tabela3[[#This Row],[Lucro Prev]]</f>
        <v>0</v>
      </c>
      <c r="V73" s="5">
        <f>SUMPRODUCT(N(Tabela1[Código]=Tabela3[[#This Row],[PAPEL]]),Tabela1[Fechamento])</f>
        <v>18.239999999999998</v>
      </c>
      <c r="W73" s="5">
        <f>SUMPRODUCT(N(Tabela17[Código]=Tabela3[[#This Row],[PAPEL]]),Tabela17[Fechamento])</f>
        <v>0</v>
      </c>
    </row>
    <row r="74" spans="1:23" hidden="1">
      <c r="A74" s="4" t="s">
        <v>14</v>
      </c>
      <c r="B74" s="10" t="s">
        <v>254</v>
      </c>
      <c r="C74" s="16">
        <v>3</v>
      </c>
      <c r="D74" s="5">
        <v>843867000</v>
      </c>
      <c r="E74" s="5">
        <v>34502000</v>
      </c>
      <c r="F74" s="21">
        <v>73646388</v>
      </c>
      <c r="G74" s="16">
        <f>Tabela3[[#This Row],[Lucro Líquido]]/Tabela3[[#This Row],[Total Ações]]</f>
        <v>0.46848190300928266</v>
      </c>
      <c r="H74" s="16">
        <f>Tabela3[[#This Row],[Lucro/Ação]]/Tabela3[[#This Row],[Ref]]*4</f>
        <v>0.62464253734571018</v>
      </c>
      <c r="I74" s="18">
        <f>IF(GETPIVOTDATA("Payout",'Tabela LL'!$A$3,"Ativo",Tabela3[[#This Row],[PAPEL]])&gt;1,1,GETPIVOTDATA("Payout",'Tabela LL'!$A$3,"Ativo",Tabela3[[#This Row],[PAPEL]]))</f>
        <v>0.25370503766276303</v>
      </c>
      <c r="J74" s="5">
        <f>[Patrimônio Líquido]/[Total Ações]</f>
        <v>11.45836235716</v>
      </c>
      <c r="K74" s="58">
        <f>MAX(Tabela3[[#This Row],[Cotação 1]],Tabela3[[#This Row],[Cotação 2]])</f>
        <v>3.27</v>
      </c>
      <c r="L74" s="59">
        <f>[Cotação]/[VPA]</f>
        <v>0.28538109531478301</v>
      </c>
      <c r="M74" s="40">
        <f>IF(Tabela3[[#This Row],[Lucro/Ação Ano]]&gt;0,Tabela3[[#This Row],[Cotação]]/Tabela3[[#This Row],[Lucro/Ação Ano]],0)</f>
        <v>5.2349941038200694</v>
      </c>
      <c r="N74" s="5">
        <f>ROUND(Tabela3[[#This Row],[Lucro Prev]]/10%,2)</f>
        <v>1.58</v>
      </c>
      <c r="O74" s="60">
        <f>MIN(Tabela3[[#This Row],[10% Rent]],Tabela3[[#This Row],[VPA]]*3.5)</f>
        <v>1.58</v>
      </c>
      <c r="P74" s="18">
        <f>Tabela3[[#This Row],[P Compra]]/Tabela3[[#This Row],[Cotação]]-1</f>
        <v>-0.51681957186544336</v>
      </c>
      <c r="Q74" s="5">
        <f>Tabela3[[#This Row],[Lucro/Ação Ano]]*Tabela3[[#This Row],[Payout]]</f>
        <v>0.15847495846305726</v>
      </c>
      <c r="R74" s="16" t="str">
        <f>IF(AND([% Yield]&gt;=10%,[PVPA]&lt;=3.5,[PL]&lt;=15,[PL]&gt;0),"Sim","Não")</f>
        <v>Não</v>
      </c>
      <c r="S74" s="22">
        <f>Tabela3[[#This Row],[Lucro Prev]]/Tabela3[[#This Row],[Cotação]]</f>
        <v>4.8463290049864605E-2</v>
      </c>
      <c r="T74" s="10">
        <f>($Z$1/Tabela3[[#This Row],[Cotação]]-MOD($Z$1/Tabela3[[#This Row],[Cotação]],100))</f>
        <v>300</v>
      </c>
      <c r="U74" s="7">
        <f>Tabela3[[#This Row],[Ativos]]*Tabela3[[#This Row],[Lucro Prev]]</f>
        <v>47.542487538917179</v>
      </c>
      <c r="V74" s="5">
        <f>SUMPRODUCT(N(Tabela1[Código]=Tabela3[[#This Row],[PAPEL]]),Tabela1[Fechamento])</f>
        <v>3.27</v>
      </c>
      <c r="W74" s="5">
        <f>SUMPRODUCT(N(Tabela17[Código]=Tabela3[[#This Row],[PAPEL]]),Tabela17[Fechamento])</f>
        <v>0</v>
      </c>
    </row>
    <row r="75" spans="1:23" hidden="1">
      <c r="A75" s="3" t="s">
        <v>361</v>
      </c>
      <c r="B75" s="74" t="s">
        <v>368</v>
      </c>
      <c r="C75" s="16">
        <v>3</v>
      </c>
      <c r="D75" s="5">
        <v>500173000</v>
      </c>
      <c r="E75" s="5">
        <v>5129000</v>
      </c>
      <c r="F75" s="21">
        <v>9133687</v>
      </c>
      <c r="G75" s="72">
        <f>Tabela3[[#This Row],[Lucro Líquido]]/Tabela3[[#This Row],[Total Ações]]</f>
        <v>0.56154759846708124</v>
      </c>
      <c r="H75" s="16">
        <f>Tabela3[[#This Row],[Lucro/Ação]]/Tabela3[[#This Row],[Ref]]*4</f>
        <v>0.74873013128944166</v>
      </c>
      <c r="I75" s="18">
        <f>IF(GETPIVOTDATA("Payout",'Tabela LL'!$A$3,"Ativo",Tabela3[[#This Row],[PAPEL]])&gt;1,1,GETPIVOTDATA("Payout",'Tabela LL'!$A$3,"Ativo",Tabela3[[#This Row],[PAPEL]]))</f>
        <v>1</v>
      </c>
      <c r="J75" s="5">
        <f>[Patrimônio Líquido]/[Total Ações]</f>
        <v>54.761346650043954</v>
      </c>
      <c r="K75" s="58">
        <f>MAX(Tabela3[[#This Row],[Cotação 1]],Tabela3[[#This Row],[Cotação 2]])</f>
        <v>15.8</v>
      </c>
      <c r="L75" s="59">
        <f>[Cotação]/[VPA]</f>
        <v>0.28852467966083734</v>
      </c>
      <c r="M75" s="40">
        <f>IF(Tabela3[[#This Row],[Lucro/Ação Ano]]&gt;0,Tabela3[[#This Row],[Cotação]]/Tabela3[[#This Row],[Lucro/Ação Ano]],0)</f>
        <v>21.102396363813611</v>
      </c>
      <c r="N75" s="7">
        <f>ROUND(Tabela3[[#This Row],[Lucro Prev]]/10%,2)</f>
        <v>7.49</v>
      </c>
      <c r="O75" s="51">
        <f>MIN(Tabela3[[#This Row],[10% Rent]],Tabela3[[#This Row],[VPA]]*3.5)</f>
        <v>7.49</v>
      </c>
      <c r="P75" s="18">
        <f>Tabela3[[#This Row],[P Compra]]/Tabela3[[#This Row],[Cotação]]-1</f>
        <v>-0.52594936708860762</v>
      </c>
      <c r="Q75" s="5">
        <f>Tabela3[[#This Row],[Lucro/Ação Ano]]*Tabela3[[#This Row],[Payout]]</f>
        <v>0.74873013128944166</v>
      </c>
      <c r="R75" s="16" t="str">
        <f>IF(AND([% Yield]&gt;=10%,[PVPA]&lt;=3.5,[PL]&lt;=15,[PL]&gt;0),"Sim","Não")</f>
        <v>Não</v>
      </c>
      <c r="S75" s="22">
        <f>Tabela3[[#This Row],[Lucro Prev]]/Tabela3[[#This Row],[Cotação]]</f>
        <v>4.7387982993002634E-2</v>
      </c>
      <c r="T75" s="10">
        <f>($Z$1/Tabela3[[#This Row],[Cotação]]-MOD($Z$1/Tabela3[[#This Row],[Cotação]],100))</f>
        <v>0</v>
      </c>
      <c r="U75" s="7">
        <f>Tabela3[[#This Row],[Ativos]]*Tabela3[[#This Row],[Lucro Prev]]</f>
        <v>0</v>
      </c>
      <c r="V75" s="51">
        <f>SUMPRODUCT(N(Tabela1[Código]=Tabela3[[#This Row],[PAPEL]]),Tabela1[Fechamento])</f>
        <v>0</v>
      </c>
      <c r="W75" s="60">
        <f>SUMPRODUCT(N(Tabela17[Código]=Tabela3[[#This Row],[PAPEL]]),Tabela17[Fechamento])</f>
        <v>15.8</v>
      </c>
    </row>
    <row r="76" spans="1:23" hidden="1">
      <c r="A76" s="4" t="s">
        <v>12</v>
      </c>
      <c r="B76" s="14" t="s">
        <v>73</v>
      </c>
      <c r="C76" s="15">
        <v>3</v>
      </c>
      <c r="D76" s="6">
        <v>3707916000</v>
      </c>
      <c r="E76" s="6">
        <v>63180000</v>
      </c>
      <c r="F76" s="42">
        <v>74612388</v>
      </c>
      <c r="G76" s="15">
        <f>Tabela3[[#This Row],[Lucro Líquido]]/Tabela3[[#This Row],[Total Ações]]</f>
        <v>0.84677627527482435</v>
      </c>
      <c r="H76" s="15">
        <f>Tabela3[[#This Row],[Lucro/Ação]]/Tabela3[[#This Row],[Ref]]*4</f>
        <v>1.1290350336997659</v>
      </c>
      <c r="I76" s="45">
        <f>IF(GETPIVOTDATA("Payout",'Tabela LL'!$A$3,"Ativo",Tabela3[[#This Row],[PAPEL]])&gt;1,1,GETPIVOTDATA("Payout",'Tabela LL'!$A$3,"Ativo",Tabela3[[#This Row],[PAPEL]]))</f>
        <v>0.74283278628036531</v>
      </c>
      <c r="J76" s="6">
        <f>[Patrimônio Líquido]/[Total Ações]</f>
        <v>49.69571540854583</v>
      </c>
      <c r="K76" s="52">
        <f>MAX(Tabela3[[#This Row],[Cotação 1]],Tabela3[[#This Row],[Cotação 2]])</f>
        <v>18</v>
      </c>
      <c r="L76" s="48">
        <f>[Cotação]/[VPA]</f>
        <v>0.36220426352700547</v>
      </c>
      <c r="M76" s="44">
        <f>IF(Tabela3[[#This Row],[Lucro/Ação Ano]]&gt;0,Tabela3[[#This Row],[Cotação]]/Tabela3[[#This Row],[Lucro/Ação Ano]],0)</f>
        <v>15.942817948717947</v>
      </c>
      <c r="N76" s="6">
        <f>ROUND(Tabela3[[#This Row],[Lucro Prev]]/10%,2)</f>
        <v>8.39</v>
      </c>
      <c r="O76" s="17">
        <f>MIN(Tabela3[[#This Row],[10% Rent]],Tabela3[[#This Row],[VPA]]*3.5)</f>
        <v>8.39</v>
      </c>
      <c r="P76" s="19">
        <f>Tabela3[[#This Row],[P Compra]]/Tabela3[[#This Row],[Cotação]]-1</f>
        <v>-0.53388888888888886</v>
      </c>
      <c r="Q76" s="6">
        <f>Tabela3[[#This Row],[Lucro/Ação Ano]]*Tabela3[[#This Row],[Payout]]</f>
        <v>0.83868423989134322</v>
      </c>
      <c r="R76" s="14" t="str">
        <f>IF(AND([% Yield]&gt;=10%,[PVPA]&lt;=3.5,[PL]&lt;=15,[PL]&gt;0),"Sim","Não")</f>
        <v>Não</v>
      </c>
      <c r="S76" s="46">
        <f>Tabela3[[#This Row],[Lucro Prev]]/Tabela3[[#This Row],[Cotação]]</f>
        <v>4.6593568882852404E-2</v>
      </c>
      <c r="T76" s="14">
        <f>($Z$1/Tabela3[[#This Row],[Cotação]]-MOD($Z$1/Tabela3[[#This Row],[Cotação]],100))</f>
        <v>0</v>
      </c>
      <c r="U76" s="17">
        <f>Tabela3[[#This Row],[Ativos]]*Tabela3[[#This Row],[Lucro Prev]]</f>
        <v>0</v>
      </c>
      <c r="V76" s="5">
        <f>SUMPRODUCT(N(Tabela1[Código]=Tabela3[[#This Row],[PAPEL]]),Tabela1[Fechamento])</f>
        <v>18</v>
      </c>
      <c r="W76" s="5">
        <f>SUMPRODUCT(N(Tabela17[Código]=Tabela3[[#This Row],[PAPEL]]),Tabela17[Fechamento])</f>
        <v>0</v>
      </c>
    </row>
    <row r="77" spans="1:23" hidden="1">
      <c r="A77" s="3" t="s">
        <v>651</v>
      </c>
      <c r="B77" s="74" t="s">
        <v>679</v>
      </c>
      <c r="C77" s="16">
        <v>3</v>
      </c>
      <c r="D77" s="5">
        <v>709804000</v>
      </c>
      <c r="E77" s="5">
        <v>124200000</v>
      </c>
      <c r="F77" s="21">
        <v>83000000</v>
      </c>
      <c r="G77" s="16">
        <f>Tabela3[[#This Row],[Lucro Líquido]]/Tabela3[[#This Row],[Total Ações]]</f>
        <v>1.4963855421686747</v>
      </c>
      <c r="H77" s="16">
        <f>Tabela3[[#This Row],[Lucro/Ação]]/Tabela3[[#This Row],[Ref]]*4</f>
        <v>1.9951807228915663</v>
      </c>
      <c r="I77" s="18">
        <f>IF(GETPIVOTDATA("Payout",'Tabela LL'!$A$3,"Ativo",Tabela3[[#This Row],[PAPEL]])&gt;1,1,GETPIVOTDATA("Payout",'Tabela LL'!$A$3,"Ativo",Tabela3[[#This Row],[PAPEL]]))</f>
        <v>0.47701052442027075</v>
      </c>
      <c r="J77" s="5">
        <f>[Patrimônio Líquido]/[Total Ações]</f>
        <v>8.5518554216867475</v>
      </c>
      <c r="K77" s="58">
        <f>MAX(Tabela3[[#This Row],[Cotação 1]],Tabela3[[#This Row],[Cotação 2]])</f>
        <v>21</v>
      </c>
      <c r="L77" s="59">
        <f>[Cotação]/[VPA]</f>
        <v>2.4556074634687883</v>
      </c>
      <c r="M77" s="40">
        <f>IF(Tabela3[[#This Row],[Lucro/Ação Ano]]&gt;0,Tabela3[[#This Row],[Cotação]]/Tabela3[[#This Row],[Lucro/Ação Ano]],0)</f>
        <v>10.52536231884058</v>
      </c>
      <c r="N77" s="7">
        <f>ROUND(Tabela3[[#This Row],[Lucro Prev]]/10%,2)</f>
        <v>9.52</v>
      </c>
      <c r="O77" s="51">
        <f>MIN(Tabela3[[#This Row],[10% Rent]],Tabela3[[#This Row],[VPA]]*3.5)</f>
        <v>9.52</v>
      </c>
      <c r="P77" s="18">
        <f>Tabela3[[#This Row],[P Compra]]/Tabela3[[#This Row],[Cotação]]-1</f>
        <v>-0.54666666666666663</v>
      </c>
      <c r="Q77" s="5">
        <f>Tabela3[[#This Row],[Lucro/Ação Ano]]*Tabela3[[#This Row],[Payout]]</f>
        <v>0.95172220293972098</v>
      </c>
      <c r="R77" s="16" t="str">
        <f>IF(AND([% Yield]&gt;=10%,[PVPA]&lt;=3.5,[PL]&lt;=15,[PL]&gt;0),"Sim","Não")</f>
        <v>Não</v>
      </c>
      <c r="S77" s="22">
        <f>Tabela3[[#This Row],[Lucro Prev]]/Tabela3[[#This Row],[Cotação]]</f>
        <v>4.5320104901891478E-2</v>
      </c>
      <c r="T77" s="10">
        <f>($Z$1/Tabela3[[#This Row],[Cotação]]-MOD($Z$1/Tabela3[[#This Row],[Cotação]],100))</f>
        <v>0</v>
      </c>
      <c r="U77" s="7">
        <f>Tabela3[[#This Row],[Ativos]]*Tabela3[[#This Row],[Lucro Prev]]</f>
        <v>0</v>
      </c>
      <c r="V77" s="51">
        <f>SUMPRODUCT(N(Tabela1[Código]=Tabela3[[#This Row],[PAPEL]]),Tabela1[Fechamento])</f>
        <v>0</v>
      </c>
      <c r="W77" s="60">
        <f>SUMPRODUCT(N(Tabela17[Código]=Tabela3[[#This Row],[PAPEL]]),Tabela17[Fechamento])</f>
        <v>21</v>
      </c>
    </row>
    <row r="78" spans="1:23" hidden="1">
      <c r="A78" s="4" t="s">
        <v>37</v>
      </c>
      <c r="B78" s="14" t="s">
        <v>205</v>
      </c>
      <c r="C78" s="15">
        <v>3</v>
      </c>
      <c r="D78" s="6">
        <v>3403126000</v>
      </c>
      <c r="E78" s="6">
        <v>314887000</v>
      </c>
      <c r="F78" s="42">
        <v>476620206</v>
      </c>
      <c r="G78" s="15">
        <f>Tabela3[[#This Row],[Lucro Líquido]]/Tabela3[[#This Row],[Total Ações]]</f>
        <v>0.66066649301897196</v>
      </c>
      <c r="H78" s="15">
        <f>Tabela3[[#This Row],[Lucro/Ação]]/Tabela3[[#This Row],[Ref]]*4</f>
        <v>0.88088865735862931</v>
      </c>
      <c r="I78" s="19">
        <f>IF(GETPIVOTDATA("Payout",'Tabela LL'!$A$3,"Ativo",Tabela3[[#This Row],[PAPEL]])&gt;1,1,GETPIVOTDATA("Payout",'Tabela LL'!$A$3,"Ativo",Tabela3[[#This Row],[PAPEL]]))</f>
        <v>0.42096174698699207</v>
      </c>
      <c r="J78" s="6">
        <f>[Patrimônio Líquido]/[Total Ações]</f>
        <v>7.1401211219316201</v>
      </c>
      <c r="K78" s="52">
        <f>MAX(Tabela3[[#This Row],[Cotação 1]],Tabela3[[#This Row],[Cotação 2]])</f>
        <v>8.19</v>
      </c>
      <c r="L78" s="48">
        <f>[Cotação]/[VPA]</f>
        <v>1.1470393653188273</v>
      </c>
      <c r="M78" s="44">
        <f>IF(Tabela3[[#This Row],[Lucro/Ação Ano]]&gt;0,Tabela3[[#This Row],[Cotação]]/Tabela3[[#This Row],[Lucro/Ação Ano]],0)</f>
        <v>9.2974292852832914</v>
      </c>
      <c r="N78" s="6">
        <f>ROUND(Tabela3[[#This Row],[Lucro Prev]]/10%,2)</f>
        <v>3.71</v>
      </c>
      <c r="O78" s="61">
        <f>MIN(Tabela3[[#This Row],[10% Rent]],Tabela3[[#This Row],[VPA]]*3.5)</f>
        <v>3.71</v>
      </c>
      <c r="P78" s="19">
        <f>Tabela3[[#This Row],[P Compra]]/Tabela3[[#This Row],[Cotação]]-1</f>
        <v>-0.54700854700854706</v>
      </c>
      <c r="Q78" s="6">
        <f>Tabela3[[#This Row],[Lucro/Ação Ano]]*Tabela3[[#This Row],[Payout]]</f>
        <v>0.37082042810271448</v>
      </c>
      <c r="R78" s="15" t="str">
        <f>IF(AND([% Yield]&gt;=10%,[PVPA]&lt;=3.5,[PL]&lt;=15,[PL]&gt;0),"Sim","Não")</f>
        <v>Não</v>
      </c>
      <c r="S78" s="46">
        <f>Tabela3[[#This Row],[Lucro Prev]]/Tabela3[[#This Row],[Cotação]]</f>
        <v>4.5277219548560989E-2</v>
      </c>
      <c r="T78" s="14">
        <f>($Z$1/Tabela3[[#This Row],[Cotação]]-MOD($Z$1/Tabela3[[#This Row],[Cotação]],100))</f>
        <v>100</v>
      </c>
      <c r="U78" s="17">
        <f>Tabela3[[#This Row],[Ativos]]*Tabela3[[#This Row],[Lucro Prev]]</f>
        <v>37.082042810271446</v>
      </c>
      <c r="V78" s="5">
        <f>SUMPRODUCT(N(Tabela1[Código]=Tabela3[[#This Row],[PAPEL]]),Tabela1[Fechamento])</f>
        <v>8.19</v>
      </c>
      <c r="W78" s="5">
        <f>SUMPRODUCT(N(Tabela17[Código]=Tabela3[[#This Row],[PAPEL]]),Tabela17[Fechamento])</f>
        <v>0</v>
      </c>
    </row>
    <row r="79" spans="1:23" hidden="1">
      <c r="A79" s="4" t="s">
        <v>14</v>
      </c>
      <c r="B79" s="14" t="s">
        <v>268</v>
      </c>
      <c r="C79" s="15">
        <v>3</v>
      </c>
      <c r="D79" s="6">
        <v>80340000000</v>
      </c>
      <c r="E79" s="6">
        <v>11516000000</v>
      </c>
      <c r="F79" s="42">
        <v>5028029710</v>
      </c>
      <c r="G79" s="15">
        <f>Tabela3[[#This Row],[Lucro Líquido]]/Tabela3[[#This Row],[Total Ações]]</f>
        <v>2.2903603725921502</v>
      </c>
      <c r="H79" s="15">
        <f>Tabela3[[#This Row],[Lucro/Ação]]/Tabela3[[#This Row],[Ref]]*4</f>
        <v>3.0538138301228668</v>
      </c>
      <c r="I79" s="19">
        <f>IF(GETPIVOTDATA("Payout",'Tabela LL'!$A$3,"Ativo",Tabela3[[#This Row],[PAPEL]])&gt;1,1,GETPIVOTDATA("Payout",'Tabela LL'!$A$3,"Ativo",Tabela3[[#This Row],[PAPEL]]))</f>
        <v>0.43273605067700688</v>
      </c>
      <c r="J79" s="6">
        <f>[Patrimônio Líquido]/[Total Ações]</f>
        <v>15.978425871314114</v>
      </c>
      <c r="K79" s="52">
        <f>MAX(Tabela3[[#This Row],[Cotação 1]],Tabela3[[#This Row],[Cotação 2]])</f>
        <v>29.13</v>
      </c>
      <c r="L79" s="48">
        <f>[Cotação]/[VPA]</f>
        <v>1.8230832144921583</v>
      </c>
      <c r="M79" s="44">
        <f>IF(Tabela3[[#This Row],[Lucro/Ação Ano]]&gt;0,Tabela3[[#This Row],[Cotação]]/Tabela3[[#This Row],[Lucro/Ação Ano]],0)</f>
        <v>9.5388918972928955</v>
      </c>
      <c r="N79" s="6">
        <f>ROUND(Tabela3[[#This Row],[Lucro Prev]]/10%,2)</f>
        <v>13.21</v>
      </c>
      <c r="O79" s="61">
        <f>MIN(Tabela3[[#This Row],[10% Rent]],Tabela3[[#This Row],[VPA]]*3.5)</f>
        <v>13.21</v>
      </c>
      <c r="P79" s="19">
        <f>Tabela3[[#This Row],[P Compra]]/Tabela3[[#This Row],[Cotação]]-1</f>
        <v>-0.54651561963611395</v>
      </c>
      <c r="Q79" s="6">
        <f>Tabela3[[#This Row],[Lucro/Ação Ano]]*Tabela3[[#This Row],[Payout]]</f>
        <v>1.3214953363501933</v>
      </c>
      <c r="R79" s="15" t="str">
        <f>IF(AND([% Yield]&gt;=10%,[PVPA]&lt;=3.5,[PL]&lt;=15,[PL]&gt;0),"Sim","Não")</f>
        <v>Não</v>
      </c>
      <c r="S79" s="46">
        <f>Tabela3[[#This Row],[Lucro Prev]]/Tabela3[[#This Row],[Cotação]]</f>
        <v>4.5365442373848042E-2</v>
      </c>
      <c r="T79" s="14">
        <f>($Z$1/Tabela3[[#This Row],[Cotação]]-MOD($Z$1/Tabela3[[#This Row],[Cotação]],100))</f>
        <v>0</v>
      </c>
      <c r="U79" s="17">
        <f>Tabela3[[#This Row],[Ativos]]*Tabela3[[#This Row],[Lucro Prev]]</f>
        <v>0</v>
      </c>
      <c r="V79" s="5">
        <f>SUMPRODUCT(N(Tabela1[Código]=Tabela3[[#This Row],[PAPEL]]),Tabela1[Fechamento])</f>
        <v>29.13</v>
      </c>
      <c r="W79" s="5">
        <f>SUMPRODUCT(N(Tabela17[Código]=Tabela3[[#This Row],[PAPEL]]),Tabela17[Fechamento])</f>
        <v>0</v>
      </c>
    </row>
    <row r="80" spans="1:23" hidden="1">
      <c r="A80" s="4" t="s">
        <v>14</v>
      </c>
      <c r="B80" s="15" t="s">
        <v>16</v>
      </c>
      <c r="C80" s="15">
        <v>3</v>
      </c>
      <c r="D80" s="6">
        <v>32199000000</v>
      </c>
      <c r="E80" s="5">
        <v>3922000000</v>
      </c>
      <c r="F80" s="21">
        <v>5470667261</v>
      </c>
      <c r="G80" s="15">
        <f>Tabela3[[#This Row],[Lucro Líquido]]/Tabela3[[#This Row],[Total Ações]]</f>
        <v>0.71691437495379418</v>
      </c>
      <c r="H80" s="15">
        <f>Tabela3[[#This Row],[Lucro/Ação]]/Tabela3[[#This Row],[Ref]]*4</f>
        <v>0.9558858332717256</v>
      </c>
      <c r="I80" s="19">
        <f>IF(GETPIVOTDATA("Payout",'Tabela LL'!$A$3,"Ativo",Tabela3[[#This Row],[PAPEL]])&gt;1,1,GETPIVOTDATA("Payout",'Tabela LL'!$A$3,"Ativo",Tabela3[[#This Row],[PAPEL]]))</f>
        <v>0.41787587719990676</v>
      </c>
      <c r="J80" s="6">
        <f>[Patrimônio Líquido]/[Total Ações]</f>
        <v>5.8857536866744562</v>
      </c>
      <c r="K80" s="52">
        <f>MAX(Tabela3[[#This Row],[Cotação 1]],Tabela3[[#This Row],[Cotação 2]])</f>
        <v>8.8699999999999992</v>
      </c>
      <c r="L80" s="48">
        <f>[Cotação]/[VPA]</f>
        <v>1.5070287463918133</v>
      </c>
      <c r="M80" s="44">
        <f>IF(Tabela3[[#This Row],[Lucro/Ação Ano]]&gt;0,Tabela3[[#This Row],[Cotação]]/Tabela3[[#This Row],[Lucro/Ação Ano]],0)</f>
        <v>9.2793508296283775</v>
      </c>
      <c r="N80" s="6">
        <f>ROUND(Tabela3[[#This Row],[Lucro Prev]]/10%,2)</f>
        <v>3.99</v>
      </c>
      <c r="O80" s="61">
        <f>MIN(Tabela3[[#This Row],[10% Rent]],Tabela3[[#This Row],[VPA]]*3.5)</f>
        <v>3.99</v>
      </c>
      <c r="P80" s="19">
        <f>Tabela3[[#This Row],[P Compra]]/Tabela3[[#This Row],[Cotação]]-1</f>
        <v>-0.55016910935738439</v>
      </c>
      <c r="Q80" s="6">
        <f>Tabela3[[#This Row],[Lucro/Ação Ano]]*Tabela3[[#This Row],[Payout]]</f>
        <v>0.39944163108138614</v>
      </c>
      <c r="R80" s="15" t="str">
        <f>IF(AND([% Yield]&gt;=10%,[PVPA]&lt;=3.5,[PL]&lt;=15,[PL]&gt;0),"Sim","Não")</f>
        <v>Não</v>
      </c>
      <c r="S80" s="46">
        <f>Tabela3[[#This Row],[Lucro Prev]]/Tabela3[[#This Row],[Cotação]]</f>
        <v>4.5032878363177695E-2</v>
      </c>
      <c r="T80" s="14">
        <f>($Z$1/Tabela3[[#This Row],[Cotação]]-MOD($Z$1/Tabela3[[#This Row],[Cotação]],100))</f>
        <v>100</v>
      </c>
      <c r="U80" s="17">
        <f>Tabela3[[#This Row],[Ativos]]*Tabela3[[#This Row],[Lucro Prev]]</f>
        <v>39.944163108138611</v>
      </c>
      <c r="V80" s="5">
        <f>SUMPRODUCT(N(Tabela1[Código]=Tabela3[[#This Row],[PAPEL]]),Tabela1[Fechamento])</f>
        <v>8.8699999999999992</v>
      </c>
      <c r="W80" s="5">
        <f>SUMPRODUCT(N(Tabela17[Código]=Tabela3[[#This Row],[PAPEL]]),Tabela17[Fechamento])</f>
        <v>0</v>
      </c>
    </row>
    <row r="81" spans="1:23" hidden="1">
      <c r="A81" s="4" t="s">
        <v>14</v>
      </c>
      <c r="B81" s="14" t="s">
        <v>80</v>
      </c>
      <c r="C81" s="15">
        <v>3</v>
      </c>
      <c r="D81" s="6">
        <v>727021000</v>
      </c>
      <c r="E81" s="6">
        <v>31097000</v>
      </c>
      <c r="F81" s="42">
        <v>84682269</v>
      </c>
      <c r="G81" s="15">
        <f>Tabela3[[#This Row],[Lucro Líquido]]/Tabela3[[#This Row],[Total Ações]]</f>
        <v>0.36721973049635692</v>
      </c>
      <c r="H81" s="15">
        <f>Tabela3[[#This Row],[Lucro/Ação]]/Tabela3[[#This Row],[Ref]]*4</f>
        <v>0.4896263073284759</v>
      </c>
      <c r="I81" s="19">
        <f>IF(GETPIVOTDATA("Payout",'Tabela LL'!$A$3,"Ativo",Tabela3[[#This Row],[PAPEL]])&gt;1,1,GETPIVOTDATA("Payout",'Tabela LL'!$A$3,"Ativo",Tabela3[[#This Row],[PAPEL]]))</f>
        <v>0.63014566270033845</v>
      </c>
      <c r="J81" s="6">
        <f>[Patrimônio Líquido]/[Total Ações]</f>
        <v>8.5852801133611578</v>
      </c>
      <c r="K81" s="52">
        <f>MAX(Tabela3[[#This Row],[Cotação 1]],Tabela3[[#This Row],[Cotação 2]])</f>
        <v>6.89</v>
      </c>
      <c r="L81" s="48">
        <f>[Cotação]/[VPA]</f>
        <v>0.80253642385845791</v>
      </c>
      <c r="M81" s="44">
        <f>IF(Tabela3[[#This Row],[Lucro/Ação Ano]]&gt;0,Tabela3[[#This Row],[Cotação]]/Tabela3[[#This Row],[Lucro/Ação Ano]],0)</f>
        <v>14.071956299884233</v>
      </c>
      <c r="N81" s="6">
        <f>ROUND(Tabela3[[#This Row],[Lucro Prev]]/10%,2)</f>
        <v>3.09</v>
      </c>
      <c r="O81" s="61">
        <f>MIN(Tabela3[[#This Row],[10% Rent]],Tabela3[[#This Row],[VPA]]*3.5)</f>
        <v>3.09</v>
      </c>
      <c r="P81" s="19">
        <f>Tabela3[[#This Row],[P Compra]]/Tabela3[[#This Row],[Cotação]]-1</f>
        <v>-0.55152394775036284</v>
      </c>
      <c r="Q81" s="6">
        <f>Tabela3[[#This Row],[Lucro/Ação Ano]]*Tabela3[[#This Row],[Payout]]</f>
        <v>0.30853589390702202</v>
      </c>
      <c r="R81" s="15" t="str">
        <f>IF(AND([% Yield]&gt;=10%,[PVPA]&lt;=3.5,[PL]&lt;=15,[PL]&gt;0),"Sim","Não")</f>
        <v>Não</v>
      </c>
      <c r="S81" s="46">
        <f>Tabela3[[#This Row],[Lucro Prev]]/Tabela3[[#This Row],[Cotação]]</f>
        <v>4.478024585007577E-2</v>
      </c>
      <c r="T81" s="14">
        <f>($Z$1/Tabela3[[#This Row],[Cotação]]-MOD($Z$1/Tabela3[[#This Row],[Cotação]],100))</f>
        <v>100</v>
      </c>
      <c r="U81" s="17">
        <f>Tabela3[[#This Row],[Ativos]]*Tabela3[[#This Row],[Lucro Prev]]</f>
        <v>30.853589390702201</v>
      </c>
      <c r="V81" s="5">
        <f>SUMPRODUCT(N(Tabela1[Código]=Tabela3[[#This Row],[PAPEL]]),Tabela1[Fechamento])</f>
        <v>6.89</v>
      </c>
      <c r="W81" s="5">
        <f>SUMPRODUCT(N(Tabela17[Código]=Tabela3[[#This Row],[PAPEL]]),Tabela17[Fechamento])</f>
        <v>0</v>
      </c>
    </row>
    <row r="82" spans="1:23" hidden="1">
      <c r="A82" s="4" t="s">
        <v>14</v>
      </c>
      <c r="B82" s="15" t="s">
        <v>87</v>
      </c>
      <c r="C82" s="15">
        <v>3</v>
      </c>
      <c r="D82" s="6">
        <v>1279731000</v>
      </c>
      <c r="E82" s="6">
        <v>103137000</v>
      </c>
      <c r="F82" s="42">
        <v>87289932</v>
      </c>
      <c r="G82" s="15">
        <f>Tabela3[[#This Row],[Lucro Líquido]]/Tabela3[[#This Row],[Total Ações]]</f>
        <v>1.181545198133503</v>
      </c>
      <c r="H82" s="15">
        <f>Tabela3[[#This Row],[Lucro/Ação]]/Tabela3[[#This Row],[Ref]]*4</f>
        <v>1.5753935975113373</v>
      </c>
      <c r="I82" s="19">
        <f>IF(GETPIVOTDATA("Payout",'Tabela LL'!$A$3,"Ativo",Tabela3[[#This Row],[PAPEL]])&gt;1,1,GETPIVOTDATA("Payout",'Tabela LL'!$A$3,"Ativo",Tabela3[[#This Row],[PAPEL]]))</f>
        <v>0.32355722757326899</v>
      </c>
      <c r="J82" s="6">
        <f>[Patrimônio Líquido]/[Total Ações]</f>
        <v>14.660694202396675</v>
      </c>
      <c r="K82" s="52">
        <f>MAX(Tabela3[[#This Row],[Cotação 1]],Tabela3[[#This Row],[Cotação 2]])</f>
        <v>11.4</v>
      </c>
      <c r="L82" s="48">
        <f>[Cotação]/[VPA]</f>
        <v>0.77758937214148915</v>
      </c>
      <c r="M82" s="44">
        <f>IF(Tabela3[[#This Row],[Lucro/Ação Ano]]&gt;0,Tabela3[[#This Row],[Cotação]]/Tabela3[[#This Row],[Lucro/Ação Ano]],0)</f>
        <v>7.2362868669827511</v>
      </c>
      <c r="N82" s="6">
        <f>ROUND(Tabela3[[#This Row],[Lucro Prev]]/10%,2)</f>
        <v>5.0999999999999996</v>
      </c>
      <c r="O82" s="61">
        <f>MIN(Tabela3[[#This Row],[10% Rent]],Tabela3[[#This Row],[VPA]]*3.5)</f>
        <v>5.0999999999999996</v>
      </c>
      <c r="P82" s="19">
        <f>Tabela3[[#This Row],[P Compra]]/Tabela3[[#This Row],[Cotação]]-1</f>
        <v>-0.55263157894736847</v>
      </c>
      <c r="Q82" s="6">
        <f>Tabela3[[#This Row],[Lucro/Ação Ano]]*Tabela3[[#This Row],[Payout]]</f>
        <v>0.50972998474744668</v>
      </c>
      <c r="R82" s="15" t="str">
        <f>IF(AND([% Yield]&gt;=10%,[PVPA]&lt;=3.5,[PL]&lt;=15,[PL]&gt;0),"Sim","Não")</f>
        <v>Não</v>
      </c>
      <c r="S82" s="46">
        <f>Tabela3[[#This Row],[Lucro Prev]]/Tabela3[[#This Row],[Cotação]]</f>
        <v>4.4713156556793567E-2</v>
      </c>
      <c r="T82" s="14">
        <f>($Z$1/Tabela3[[#This Row],[Cotação]]-MOD($Z$1/Tabela3[[#This Row],[Cotação]],100))</f>
        <v>0</v>
      </c>
      <c r="U82" s="17">
        <f>Tabela3[[#This Row],[Ativos]]*Tabela3[[#This Row],[Lucro Prev]]</f>
        <v>0</v>
      </c>
      <c r="V82" s="5">
        <f>SUMPRODUCT(N(Tabela1[Código]=Tabela3[[#This Row],[PAPEL]]),Tabela1[Fechamento])</f>
        <v>11.4</v>
      </c>
      <c r="W82" s="5">
        <f>SUMPRODUCT(N(Tabela17[Código]=Tabela3[[#This Row],[PAPEL]]),Tabela17[Fechamento])</f>
        <v>0</v>
      </c>
    </row>
    <row r="83" spans="1:23" hidden="1">
      <c r="A83" s="4" t="s">
        <v>12</v>
      </c>
      <c r="B83" s="14" t="s">
        <v>100</v>
      </c>
      <c r="C83" s="15">
        <v>3</v>
      </c>
      <c r="D83" s="6">
        <v>3707916000</v>
      </c>
      <c r="E83" s="6">
        <v>63180000</v>
      </c>
      <c r="F83" s="42">
        <v>74612388</v>
      </c>
      <c r="G83" s="15">
        <f>Tabela3[[#This Row],[Lucro Líquido]]/Tabela3[[#This Row],[Total Ações]]</f>
        <v>0.84677627527482435</v>
      </c>
      <c r="H83" s="15">
        <f>Tabela3[[#This Row],[Lucro/Ação]]/Tabela3[[#This Row],[Ref]]*4</f>
        <v>1.1290350336997659</v>
      </c>
      <c r="I83" s="19">
        <f>IF(GETPIVOTDATA("Payout",'Tabela LL'!$A$3,"Ativo",Tabela3[[#This Row],[PAPEL]])&gt;1,1,GETPIVOTDATA("Payout",'Tabela LL'!$A$3,"Ativo",Tabela3[[#This Row],[PAPEL]]))</f>
        <v>0.81719301958088741</v>
      </c>
      <c r="J83" s="6">
        <f>[Patrimônio Líquido]/[Total Ações]</f>
        <v>49.69571540854583</v>
      </c>
      <c r="K83" s="52">
        <f>MAX(Tabela3[[#This Row],[Cotação 1]],Tabela3[[#This Row],[Cotação 2]])</f>
        <v>21.51</v>
      </c>
      <c r="L83" s="48">
        <f>[Cotação]/[VPA]</f>
        <v>0.43283409491477154</v>
      </c>
      <c r="M83" s="44">
        <f>IF(Tabela3[[#This Row],[Lucro/Ação Ano]]&gt;0,Tabela3[[#This Row],[Cotação]]/Tabela3[[#This Row],[Lucro/Ação Ano]],0)</f>
        <v>19.05166744871795</v>
      </c>
      <c r="N83" s="6">
        <f>ROUND(Tabela3[[#This Row],[Lucro Prev]]/10%,2)</f>
        <v>9.23</v>
      </c>
      <c r="O83" s="61">
        <f>MIN(Tabela3[[#This Row],[10% Rent]],Tabela3[[#This Row],[VPA]]*3.5)</f>
        <v>9.23</v>
      </c>
      <c r="P83" s="19">
        <f>Tabela3[[#This Row],[P Compra]]/Tabela3[[#This Row],[Cotação]]-1</f>
        <v>-0.57089725708972572</v>
      </c>
      <c r="Q83" s="6">
        <f>Tabela3[[#This Row],[Lucro/Ação Ano]]*Tabela3[[#This Row],[Payout]]</f>
        <v>0.92263954840172069</v>
      </c>
      <c r="R83" s="15" t="str">
        <f>IF(AND([% Yield]&gt;=10%,[PVPA]&lt;=3.5,[PL]&lt;=15,[PL]&gt;0),"Sim","Não")</f>
        <v>Não</v>
      </c>
      <c r="S83" s="46">
        <f>Tabela3[[#This Row],[Lucro Prev]]/Tabela3[[#This Row],[Cotação]]</f>
        <v>4.2893516894547679E-2</v>
      </c>
      <c r="T83" s="14">
        <f>($Z$1/Tabela3[[#This Row],[Cotação]]-MOD($Z$1/Tabela3[[#This Row],[Cotação]],100))</f>
        <v>0</v>
      </c>
      <c r="U83" s="17">
        <f>Tabela3[[#This Row],[Ativos]]*Tabela3[[#This Row],[Lucro Prev]]</f>
        <v>0</v>
      </c>
      <c r="V83" s="5">
        <f>SUMPRODUCT(N(Tabela1[Código]=Tabela3[[#This Row],[PAPEL]]),Tabela1[Fechamento])</f>
        <v>21.51</v>
      </c>
      <c r="W83" s="5">
        <f>SUMPRODUCT(N(Tabela17[Código]=Tabela3[[#This Row],[PAPEL]]),Tabela17[Fechamento])</f>
        <v>0</v>
      </c>
    </row>
    <row r="84" spans="1:23" hidden="1">
      <c r="A84" s="4" t="s">
        <v>708</v>
      </c>
      <c r="B84" s="71" t="s">
        <v>715</v>
      </c>
      <c r="C84" s="15">
        <v>3</v>
      </c>
      <c r="D84" s="6">
        <v>735745000</v>
      </c>
      <c r="E84" s="6">
        <v>39503000</v>
      </c>
      <c r="F84" s="42">
        <v>105765903</v>
      </c>
      <c r="G84" s="15">
        <f>Tabela3[[#This Row],[Lucro Líquido]]/Tabela3[[#This Row],[Total Ações]]</f>
        <v>0.37349466018363214</v>
      </c>
      <c r="H84" s="15">
        <f>Tabela3[[#This Row],[Lucro/Ação]]/Tabela3[[#This Row],[Ref]]*4</f>
        <v>0.49799288024484284</v>
      </c>
      <c r="I84" s="19">
        <f>IF(GETPIVOTDATA("Payout",'Tabela LL'!$A$3,"Ativo",Tabela3[[#This Row],[PAPEL]])&gt;1,1,GETPIVOTDATA("Payout",'Tabela LL'!$A$3,"Ativo",Tabela3[[#This Row],[PAPEL]]))</f>
        <v>0.32895734501185681</v>
      </c>
      <c r="J84" s="6">
        <f>[Patrimônio Líquido]/[Total Ações]</f>
        <v>6.9563534100399069</v>
      </c>
      <c r="K84" s="52">
        <f>MAX(Tabela3[[#This Row],[Cotação 1]],Tabela3[[#This Row],[Cotação 2]])</f>
        <v>3.9</v>
      </c>
      <c r="L84" s="48">
        <f>[Cotação]/[VPA]</f>
        <v>0.56063856594336348</v>
      </c>
      <c r="M84" s="44">
        <f>IF(Tabela3[[#This Row],[Lucro/Ação Ano]]&gt;0,Tabela3[[#This Row],[Cotação]]/Tabela3[[#This Row],[Lucro/Ação Ano]],0)</f>
        <v>7.8314372648912745</v>
      </c>
      <c r="N84" s="17">
        <f>ROUND(Tabela3[[#This Row],[Lucro Prev]]/10%,2)</f>
        <v>1.64</v>
      </c>
      <c r="O84" s="13">
        <f>MIN(Tabela3[[#This Row],[10% Rent]],Tabela3[[#This Row],[VPA]]*3.5)</f>
        <v>1.64</v>
      </c>
      <c r="P84" s="19">
        <f>Tabela3[[#This Row],[P Compra]]/Tabela3[[#This Row],[Cotação]]-1</f>
        <v>-0.57948717948717943</v>
      </c>
      <c r="Q84" s="6">
        <f>Tabela3[[#This Row],[Lucro/Ação Ano]]*Tabela3[[#This Row],[Payout]]</f>
        <v>0.16381841572015104</v>
      </c>
      <c r="R84" s="15" t="str">
        <f>IF(AND([% Yield]&gt;=10%,[PVPA]&lt;=3.5,[PL]&lt;=15,[PL]&gt;0),"Sim","Não")</f>
        <v>Não</v>
      </c>
      <c r="S84" s="46">
        <f>Tabela3[[#This Row],[Lucro Prev]]/Tabela3[[#This Row],[Cotação]]</f>
        <v>4.2004721979525907E-2</v>
      </c>
      <c r="T84" s="14">
        <f>($Z$1/Tabela3[[#This Row],[Cotação]]-MOD($Z$1/Tabela3[[#This Row],[Cotação]],100))</f>
        <v>200</v>
      </c>
      <c r="U84" s="17">
        <f>Tabela3[[#This Row],[Ativos]]*Tabela3[[#This Row],[Lucro Prev]]</f>
        <v>32.76368314403021</v>
      </c>
      <c r="V84" s="13">
        <f>SUMPRODUCT(N(Tabela1[Código]=Tabela3[[#This Row],[PAPEL]]),Tabela1[Fechamento])</f>
        <v>0</v>
      </c>
      <c r="W84" s="61">
        <f>SUMPRODUCT(N(Tabela17[Código]=Tabela3[[#This Row],[PAPEL]]),Tabela17[Fechamento])</f>
        <v>3.9</v>
      </c>
    </row>
    <row r="85" spans="1:23" hidden="1">
      <c r="A85" s="4" t="s">
        <v>14</v>
      </c>
      <c r="B85" s="14" t="s">
        <v>85</v>
      </c>
      <c r="C85" s="15">
        <v>3</v>
      </c>
      <c r="D85" s="6">
        <v>80340000000</v>
      </c>
      <c r="E85" s="6">
        <v>11516000000</v>
      </c>
      <c r="F85" s="42">
        <v>5028029710</v>
      </c>
      <c r="G85" s="15">
        <f>Tabela3[[#This Row],[Lucro Líquido]]/Tabela3[[#This Row],[Total Ações]]</f>
        <v>2.2903603725921502</v>
      </c>
      <c r="H85" s="15">
        <f>Tabela3[[#This Row],[Lucro/Ação]]/Tabela3[[#This Row],[Ref]]*4</f>
        <v>3.0538138301228668</v>
      </c>
      <c r="I85" s="19">
        <f>IF(GETPIVOTDATA("Payout",'Tabela LL'!$A$3,"Ativo",Tabela3[[#This Row],[PAPEL]])&gt;1,1,GETPIVOTDATA("Payout",'Tabela LL'!$A$3,"Ativo",Tabela3[[#This Row],[PAPEL]]))</f>
        <v>0.43273605067700688</v>
      </c>
      <c r="J85" s="6">
        <f>[Patrimônio Líquido]/[Total Ações]</f>
        <v>15.978425871314114</v>
      </c>
      <c r="K85" s="52">
        <f>MAX(Tabela3[[#This Row],[Cotação 1]],Tabela3[[#This Row],[Cotação 2]])</f>
        <v>31.64</v>
      </c>
      <c r="L85" s="48">
        <f>[Cotação]/[VPA]</f>
        <v>1.9801700276873289</v>
      </c>
      <c r="M85" s="44">
        <f>IF(Tabela3[[#This Row],[Lucro/Ação Ano]]&gt;0,Tabela3[[#This Row],[Cotação]]/Tabela3[[#This Row],[Lucro/Ação Ano]],0)</f>
        <v>10.360814954697812</v>
      </c>
      <c r="N85" s="6">
        <f>ROUND(Tabela3[[#This Row],[Lucro Prev]]/10%,2)</f>
        <v>13.21</v>
      </c>
      <c r="O85" s="61">
        <f>MIN(Tabela3[[#This Row],[10% Rent]],Tabela3[[#This Row],[VPA]]*3.5)</f>
        <v>13.21</v>
      </c>
      <c r="P85" s="19">
        <f>Tabela3[[#This Row],[P Compra]]/Tabela3[[#This Row],[Cotação]]-1</f>
        <v>-0.58249051833122634</v>
      </c>
      <c r="Q85" s="6">
        <f>Tabela3[[#This Row],[Lucro/Ação Ano]]*Tabela3[[#This Row],[Payout]]</f>
        <v>1.3214953363501933</v>
      </c>
      <c r="R85" s="15" t="str">
        <f>IF(AND([% Yield]&gt;=10%,[PVPA]&lt;=3.5,[PL]&lt;=15,[PL]&gt;0),"Sim","Não")</f>
        <v>Não</v>
      </c>
      <c r="S85" s="46">
        <f>Tabela3[[#This Row],[Lucro Prev]]/Tabela3[[#This Row],[Cotação]]</f>
        <v>4.1766603550891068E-2</v>
      </c>
      <c r="T85" s="14">
        <f>($Z$1/Tabela3[[#This Row],[Cotação]]-MOD($Z$1/Tabela3[[#This Row],[Cotação]],100))</f>
        <v>0</v>
      </c>
      <c r="U85" s="17">
        <f>Tabela3[[#This Row],[Ativos]]*Tabela3[[#This Row],[Lucro Prev]]</f>
        <v>0</v>
      </c>
      <c r="V85" s="5">
        <f>SUMPRODUCT(N(Tabela1[Código]=Tabela3[[#This Row],[PAPEL]]),Tabela1[Fechamento])</f>
        <v>31.64</v>
      </c>
      <c r="W85" s="5">
        <f>SUMPRODUCT(N(Tabela17[Código]=Tabela3[[#This Row],[PAPEL]]),Tabela17[Fechamento])</f>
        <v>0</v>
      </c>
    </row>
    <row r="86" spans="1:23" hidden="1">
      <c r="A86" s="4" t="s">
        <v>14</v>
      </c>
      <c r="B86" s="15" t="s">
        <v>256</v>
      </c>
      <c r="C86" s="16">
        <v>3</v>
      </c>
      <c r="D86" s="5">
        <v>843867000</v>
      </c>
      <c r="E86" s="5">
        <v>34502000</v>
      </c>
      <c r="F86" s="21">
        <v>73646388</v>
      </c>
      <c r="G86" s="16">
        <f>Tabela3[[#This Row],[Lucro Líquido]]/Tabela3[[#This Row],[Total Ações]]</f>
        <v>0.46848190300928266</v>
      </c>
      <c r="H86" s="16">
        <f>Tabela3[[#This Row],[Lucro/Ação]]/Tabela3[[#This Row],[Ref]]*4</f>
        <v>0.62464253734571018</v>
      </c>
      <c r="I86" s="18">
        <f>IF(GETPIVOTDATA("Payout",'Tabela LL'!$A$3,"Ativo",Tabela3[[#This Row],[PAPEL]])&gt;1,1,GETPIVOTDATA("Payout",'Tabela LL'!$A$3,"Ativo",Tabela3[[#This Row],[PAPEL]]))</f>
        <v>0.25370503766276303</v>
      </c>
      <c r="J86" s="5">
        <f>[Patrimônio Líquido]/[Total Ações]</f>
        <v>11.45836235716</v>
      </c>
      <c r="K86" s="58">
        <f>MAX(Tabela3[[#This Row],[Cotação 1]],Tabela3[[#This Row],[Cotação 2]])</f>
        <v>3.8</v>
      </c>
      <c r="L86" s="59">
        <f>[Cotação]/[VPA]</f>
        <v>0.33163552360739312</v>
      </c>
      <c r="M86" s="40">
        <f>IF(Tabela3[[#This Row],[Lucro/Ação Ano]]&gt;0,Tabela3[[#This Row],[Cotação]]/Tabela3[[#This Row],[Lucro/Ação Ano]],0)</f>
        <v>6.0834793867022201</v>
      </c>
      <c r="N86" s="5">
        <f>ROUND(Tabela3[[#This Row],[Lucro Prev]]/10%,2)</f>
        <v>1.58</v>
      </c>
      <c r="O86" s="60">
        <f>MIN(Tabela3[[#This Row],[10% Rent]],Tabela3[[#This Row],[VPA]]*3.5)</f>
        <v>1.58</v>
      </c>
      <c r="P86" s="18">
        <f>Tabela3[[#This Row],[P Compra]]/Tabela3[[#This Row],[Cotação]]-1</f>
        <v>-0.58421052631578951</v>
      </c>
      <c r="Q86" s="5">
        <f>Tabela3[[#This Row],[Lucro/Ação Ano]]*Tabela3[[#This Row],[Payout]]</f>
        <v>0.15847495846305726</v>
      </c>
      <c r="R86" s="16" t="str">
        <f>IF(AND([% Yield]&gt;=10%,[PVPA]&lt;=3.5,[PL]&lt;=15,[PL]&gt;0),"Sim","Não")</f>
        <v>Não</v>
      </c>
      <c r="S86" s="22">
        <f>Tabela3[[#This Row],[Lucro Prev]]/Tabela3[[#This Row],[Cotação]]</f>
        <v>4.1703936437646652E-2</v>
      </c>
      <c r="T86" s="10">
        <f>($Z$1/Tabela3[[#This Row],[Cotação]]-MOD($Z$1/Tabela3[[#This Row],[Cotação]],100))</f>
        <v>200</v>
      </c>
      <c r="U86" s="7">
        <f>Tabela3[[#This Row],[Ativos]]*Tabela3[[#This Row],[Lucro Prev]]</f>
        <v>31.694991692611453</v>
      </c>
      <c r="V86" s="5">
        <f>SUMPRODUCT(N(Tabela1[Código]=Tabela3[[#This Row],[PAPEL]]),Tabela1[Fechamento])</f>
        <v>3.8</v>
      </c>
      <c r="W86" s="5">
        <f>SUMPRODUCT(N(Tabela17[Código]=Tabela3[[#This Row],[PAPEL]]),Tabela17[Fechamento])</f>
        <v>0</v>
      </c>
    </row>
    <row r="87" spans="1:23" hidden="1">
      <c r="A87" s="4" t="s">
        <v>298</v>
      </c>
      <c r="B87" s="71" t="s">
        <v>299</v>
      </c>
      <c r="C87" s="15">
        <v>3</v>
      </c>
      <c r="D87" s="6">
        <v>2384232000</v>
      </c>
      <c r="E87" s="6">
        <v>171061000</v>
      </c>
      <c r="F87" s="42">
        <v>265806905</v>
      </c>
      <c r="G87" s="73">
        <f>Tabela3[[#This Row],[Lucro Líquido]]/Tabela3[[#This Row],[Total Ações]]</f>
        <v>0.64355363529777376</v>
      </c>
      <c r="H87" s="15">
        <f>Tabela3[[#This Row],[Lucro/Ação]]/Tabela3[[#This Row],[Ref]]*4</f>
        <v>0.85807151373036505</v>
      </c>
      <c r="I87" s="19">
        <f>IF(GETPIVOTDATA("Payout",'Tabela LL'!$A$3,"Ativo",Tabela3[[#This Row],[PAPEL]])&gt;1,1,GETPIVOTDATA("Payout",'Tabela LL'!$A$3,"Ativo",Tabela3[[#This Row],[PAPEL]]))</f>
        <v>0.45238397622744686</v>
      </c>
      <c r="J87" s="6">
        <f>[Patrimônio Líquido]/[Total Ações]</f>
        <v>8.9697895545640538</v>
      </c>
      <c r="K87" s="52">
        <f>MAX(Tabela3[[#This Row],[Cotação 1]],Tabela3[[#This Row],[Cotação 2]])</f>
        <v>9.36</v>
      </c>
      <c r="L87" s="48">
        <f>[Cotação]/[VPA]</f>
        <v>1.0435027425183456</v>
      </c>
      <c r="M87" s="44">
        <f>IF(Tabela3[[#This Row],[Lucro/Ação Ano]]&gt;0,Tabela3[[#This Row],[Cotação]]/Tabela3[[#This Row],[Lucro/Ação Ano]],0)</f>
        <v>10.908181719386651</v>
      </c>
      <c r="N87" s="13">
        <f>ROUND(Tabela3[[#This Row],[Lucro Prev]]/10%,2)</f>
        <v>3.88</v>
      </c>
      <c r="O87" s="13">
        <f>MIN(Tabela3[[#This Row],[10% Rent]],Tabela3[[#This Row],[VPA]]*3.5)</f>
        <v>3.88</v>
      </c>
      <c r="P87" s="19">
        <f>Tabela3[[#This Row],[P Compra]]/Tabela3[[#This Row],[Cotação]]-1</f>
        <v>-0.58547008547008539</v>
      </c>
      <c r="Q87" s="6">
        <f>Tabela3[[#This Row],[Lucro/Ação Ano]]*Tabela3[[#This Row],[Payout]]</f>
        <v>0.38817780326884682</v>
      </c>
      <c r="R87" s="15" t="str">
        <f>IF(AND([% Yield]&gt;=10%,[PVPA]&lt;=3.5,[PL]&lt;=15,[PL]&gt;0),"Sim","Não")</f>
        <v>Não</v>
      </c>
      <c r="S87" s="46">
        <f>Tabela3[[#This Row],[Lucro Prev]]/Tabela3[[#This Row],[Cotação]]</f>
        <v>4.1471987528722956E-2</v>
      </c>
      <c r="T87" s="14">
        <f>($Z$1/Tabela3[[#This Row],[Cotação]]-MOD($Z$1/Tabela3[[#This Row],[Cotação]],100))</f>
        <v>100</v>
      </c>
      <c r="U87" s="17">
        <f>Tabela3[[#This Row],[Ativos]]*Tabela3[[#This Row],[Lucro Prev]]</f>
        <v>38.81778032688468</v>
      </c>
      <c r="V87" s="13">
        <f>SUMPRODUCT(N(Tabela1[Código]=Tabela3[[#This Row],[PAPEL]]),Tabela1[Fechamento])</f>
        <v>0</v>
      </c>
      <c r="W87" s="13">
        <f>SUMPRODUCT(N(Tabela17[Código]=Tabela3[[#This Row],[PAPEL]]),Tabela17[Fechamento])</f>
        <v>9.36</v>
      </c>
    </row>
    <row r="88" spans="1:23" hidden="1">
      <c r="A88" s="4" t="s">
        <v>12</v>
      </c>
      <c r="B88" s="14" t="s">
        <v>102</v>
      </c>
      <c r="C88" s="15">
        <v>3</v>
      </c>
      <c r="D88" s="6">
        <v>1380983000</v>
      </c>
      <c r="E88" s="6">
        <v>154788000</v>
      </c>
      <c r="F88" s="42">
        <v>164183899</v>
      </c>
      <c r="G88" s="15">
        <f>Tabela3[[#This Row],[Lucro Líquido]]/Tabela3[[#This Row],[Total Ações]]</f>
        <v>0.94277210458986604</v>
      </c>
      <c r="H88" s="15">
        <f>Tabela3[[#This Row],[Lucro/Ação]]/Tabela3[[#This Row],[Ref]]*4</f>
        <v>1.2570294727864881</v>
      </c>
      <c r="I88" s="19">
        <f>IF(GETPIVOTDATA("Payout",'Tabela LL'!$A$3,"Ativo",Tabela3[[#This Row],[PAPEL]])&gt;1,1,GETPIVOTDATA("Payout",'Tabela LL'!$A$3,"Ativo",Tabela3[[#This Row],[PAPEL]]))</f>
        <v>0.49000251641148956</v>
      </c>
      <c r="J88" s="6">
        <f>[Patrimônio Líquido]/[Total Ações]</f>
        <v>8.4111962769260344</v>
      </c>
      <c r="K88" s="52">
        <f>MAX(Tabela3[[#This Row],[Cotação 1]],Tabela3[[#This Row],[Cotação 2]])</f>
        <v>14.88</v>
      </c>
      <c r="L88" s="48">
        <f>[Cotação]/[VPA]</f>
        <v>1.7690705947285377</v>
      </c>
      <c r="M88" s="44">
        <f>IF(Tabela3[[#This Row],[Lucro/Ação Ano]]&gt;0,Tabela3[[#This Row],[Cotação]]/Tabela3[[#This Row],[Lucro/Ação Ano]],0)</f>
        <v>11.837431279168927</v>
      </c>
      <c r="N88" s="6">
        <f>ROUND(Tabela3[[#This Row],[Lucro Prev]]/10%,2)</f>
        <v>6.16</v>
      </c>
      <c r="O88" s="61">
        <f>MIN(Tabela3[[#This Row],[10% Rent]],Tabela3[[#This Row],[VPA]]*3.5)</f>
        <v>6.16</v>
      </c>
      <c r="P88" s="19">
        <f>Tabela3[[#This Row],[P Compra]]/Tabela3[[#This Row],[Cotação]]-1</f>
        <v>-0.58602150537634412</v>
      </c>
      <c r="Q88" s="6">
        <f>Tabela3[[#This Row],[Lucro/Ação Ano]]*Tabela3[[#This Row],[Payout]]</f>
        <v>0.61594760486878719</v>
      </c>
      <c r="R88" s="15" t="str">
        <f>IF(AND([% Yield]&gt;=10%,[PVPA]&lt;=3.5,[PL]&lt;=15,[PL]&gt;0),"Sim","Não")</f>
        <v>Não</v>
      </c>
      <c r="S88" s="46">
        <f>Tabela3[[#This Row],[Lucro Prev]]/Tabela3[[#This Row],[Cotação]]</f>
        <v>4.1394328284192684E-2</v>
      </c>
      <c r="T88" s="14">
        <f>($Z$1/Tabela3[[#This Row],[Cotação]]-MOD($Z$1/Tabela3[[#This Row],[Cotação]],100))</f>
        <v>0</v>
      </c>
      <c r="U88" s="17">
        <f>Tabela3[[#This Row],[Ativos]]*Tabela3[[#This Row],[Lucro Prev]]</f>
        <v>0</v>
      </c>
      <c r="V88" s="5">
        <f>SUMPRODUCT(N(Tabela1[Código]=Tabela3[[#This Row],[PAPEL]]),Tabela1[Fechamento])</f>
        <v>14.88</v>
      </c>
      <c r="W88" s="5">
        <f>SUMPRODUCT(N(Tabela17[Código]=Tabela3[[#This Row],[PAPEL]]),Tabela17[Fechamento])</f>
        <v>0</v>
      </c>
    </row>
    <row r="89" spans="1:23" hidden="1">
      <c r="A89" s="4" t="s">
        <v>721</v>
      </c>
      <c r="B89" s="71" t="s">
        <v>720</v>
      </c>
      <c r="C89" s="15">
        <v>3</v>
      </c>
      <c r="D89" s="6">
        <v>496428000</v>
      </c>
      <c r="E89" s="6">
        <v>88119000</v>
      </c>
      <c r="F89" s="42">
        <v>98312688</v>
      </c>
      <c r="G89" s="15">
        <f>Tabela3[[#This Row],[Lucro Líquido]]/Tabela3[[#This Row],[Total Ações]]</f>
        <v>0.89631360704937701</v>
      </c>
      <c r="H89" s="15">
        <f>Tabela3[[#This Row],[Lucro/Ação]]/Tabela3[[#This Row],[Ref]]*4</f>
        <v>1.1950848093991693</v>
      </c>
      <c r="I89" s="19">
        <f>IF(GETPIVOTDATA("Payout",'Tabela LL'!$A$3,"Ativo",Tabela3[[#This Row],[PAPEL]])&gt;1,1,GETPIVOTDATA("Payout",'Tabela LL'!$A$3,"Ativo",Tabela3[[#This Row],[PAPEL]]))</f>
        <v>0.61772022954134342</v>
      </c>
      <c r="J89" s="6">
        <f>[Patrimônio Líquido]/[Total Ações]</f>
        <v>5.0494804902496409</v>
      </c>
      <c r="K89" s="52">
        <f>MAX(Tabela3[[#This Row],[Cotação 1]],Tabela3[[#This Row],[Cotação 2]])</f>
        <v>17.97</v>
      </c>
      <c r="L89" s="48">
        <f>[Cotação]/[VPA]</f>
        <v>3.558781944934613</v>
      </c>
      <c r="M89" s="44">
        <f>IF(Tabela3[[#This Row],[Lucro/Ação Ano]]&gt;0,Tabela3[[#This Row],[Cotação]]/Tabela3[[#This Row],[Lucro/Ação Ano]],0)</f>
        <v>15.036589753855582</v>
      </c>
      <c r="N89" s="17">
        <f>ROUND(Tabela3[[#This Row],[Lucro Prev]]/10%,2)</f>
        <v>7.38</v>
      </c>
      <c r="O89" s="13">
        <f>MIN(Tabela3[[#This Row],[10% Rent]],Tabela3[[#This Row],[VPA]]*3.5)</f>
        <v>7.38</v>
      </c>
      <c r="P89" s="19">
        <f>Tabela3[[#This Row],[P Compra]]/Tabela3[[#This Row],[Cotação]]-1</f>
        <v>-0.58931552587646074</v>
      </c>
      <c r="Q89" s="6">
        <f>Tabela3[[#This Row],[Lucro/Ação Ano]]*Tabela3[[#This Row],[Payout]]</f>
        <v>0.73822806278342745</v>
      </c>
      <c r="R89" s="15" t="str">
        <f>IF(AND([% Yield]&gt;=10%,[PVPA]&lt;=3.5,[PL]&lt;=15,[PL]&gt;0),"Sim","Não")</f>
        <v>Não</v>
      </c>
      <c r="S89" s="46">
        <f>Tabela3[[#This Row],[Lucro Prev]]/Tabela3[[#This Row],[Cotação]]</f>
        <v>4.1081138719166806E-2</v>
      </c>
      <c r="T89" s="14">
        <f>($Z$1/Tabela3[[#This Row],[Cotação]]-MOD($Z$1/Tabela3[[#This Row],[Cotação]],100))</f>
        <v>0</v>
      </c>
      <c r="U89" s="17">
        <f>Tabela3[[#This Row],[Ativos]]*Tabela3[[#This Row],[Lucro Prev]]</f>
        <v>0</v>
      </c>
      <c r="V89" s="13">
        <f>SUMPRODUCT(N(Tabela1[Código]=Tabela3[[#This Row],[PAPEL]]),Tabela1[Fechamento])</f>
        <v>0</v>
      </c>
      <c r="W89" s="61">
        <f>SUMPRODUCT(N(Tabela17[Código]=Tabela3[[#This Row],[PAPEL]]),Tabela17[Fechamento])</f>
        <v>17.97</v>
      </c>
    </row>
    <row r="90" spans="1:23" hidden="1">
      <c r="A90" s="4" t="s">
        <v>298</v>
      </c>
      <c r="B90" s="14" t="s">
        <v>21</v>
      </c>
      <c r="C90" s="15">
        <v>3</v>
      </c>
      <c r="D90" s="6">
        <v>341312244000</v>
      </c>
      <c r="E90" s="6">
        <v>17288839000</v>
      </c>
      <c r="F90" s="42">
        <v>13044496930</v>
      </c>
      <c r="G90" s="73">
        <f>Tabela3[[#This Row],[Lucro Líquido]]/Tabela3[[#This Row],[Total Ações]]</f>
        <v>1.3253741476406633</v>
      </c>
      <c r="H90" s="15">
        <f>Tabela3[[#This Row],[Lucro/Ação]]/Tabela3[[#This Row],[Ref]]*4</f>
        <v>1.7671655301875511</v>
      </c>
      <c r="I90" s="19">
        <f>IF(GETPIVOTDATA("Payout",'Tabela LL'!$A$3,"Ativo",Tabela3[[#This Row],[PAPEL]])&gt;1,1,GETPIVOTDATA("Payout",'Tabela LL'!$A$3,"Ativo",Tabela3[[#This Row],[PAPEL]]))</f>
        <v>0.38236062761569822</v>
      </c>
      <c r="J90" s="6">
        <f>[Patrimônio Líquido]/[Total Ações]</f>
        <v>26.165228588849843</v>
      </c>
      <c r="K90" s="52">
        <f>MAX(Tabela3[[#This Row],[Cotação 1]],Tabela3[[#This Row],[Cotação 2]])</f>
        <v>16.47</v>
      </c>
      <c r="L90" s="48">
        <f>[Cotação]/[VPA]</f>
        <v>0.62946134577316826</v>
      </c>
      <c r="M90" s="44">
        <f>IF(Tabela3[[#This Row],[Lucro/Ação Ano]]&gt;0,Tabela3[[#This Row],[Cotação]]/Tabela3[[#This Row],[Lucro/Ação Ano]],0)</f>
        <v>9.3200097662905534</v>
      </c>
      <c r="N90" s="13">
        <f>ROUND(Tabela3[[#This Row],[Lucro Prev]]/10%,2)</f>
        <v>6.76</v>
      </c>
      <c r="O90" s="13">
        <f>MIN(Tabela3[[#This Row],[10% Rent]],Tabela3[[#This Row],[VPA]]*3.5)</f>
        <v>6.76</v>
      </c>
      <c r="P90" s="19">
        <f>Tabela3[[#This Row],[P Compra]]/Tabela3[[#This Row],[Cotação]]-1</f>
        <v>-0.58955676988463868</v>
      </c>
      <c r="Q90" s="6">
        <f>Tabela3[[#This Row],[Lucro/Ação Ano]]*Tabela3[[#This Row],[Payout]]</f>
        <v>0.67569452122334017</v>
      </c>
      <c r="R90" s="15" t="str">
        <f>IF(AND([% Yield]&gt;=10%,[PVPA]&lt;=3.5,[PL]&lt;=15,[PL]&gt;0),"Sim","Não")</f>
        <v>Não</v>
      </c>
      <c r="S90" s="46">
        <f>Tabela3[[#This Row],[Lucro Prev]]/Tabela3[[#This Row],[Cotação]]</f>
        <v>4.1025775423396492E-2</v>
      </c>
      <c r="T90" s="14">
        <f>($Z$1/Tabela3[[#This Row],[Cotação]]-MOD($Z$1/Tabela3[[#This Row],[Cotação]],100))</f>
        <v>0</v>
      </c>
      <c r="U90" s="17">
        <f>Tabela3[[#This Row],[Ativos]]*Tabela3[[#This Row],[Lucro Prev]]</f>
        <v>0</v>
      </c>
      <c r="V90" s="13">
        <f>SUMPRODUCT(N(Tabela1[Código]=Tabela3[[#This Row],[PAPEL]]),Tabela1[Fechamento])</f>
        <v>0</v>
      </c>
      <c r="W90" s="13">
        <f>SUMPRODUCT(N(Tabela17[Código]=Tabela3[[#This Row],[PAPEL]]),Tabela17[Fechamento])</f>
        <v>16.47</v>
      </c>
    </row>
    <row r="91" spans="1:23" hidden="1">
      <c r="A91" s="4" t="s">
        <v>14</v>
      </c>
      <c r="B91" s="14" t="s">
        <v>226</v>
      </c>
      <c r="C91" s="15">
        <v>3</v>
      </c>
      <c r="D91" s="6">
        <v>67033392000</v>
      </c>
      <c r="E91" s="6">
        <v>8931828000</v>
      </c>
      <c r="F91" s="42">
        <v>4207274039</v>
      </c>
      <c r="G91" s="15">
        <f>Tabela3[[#This Row],[Lucro Líquido]]/Tabela3[[#This Row],[Total Ações]]</f>
        <v>2.1229489491782543</v>
      </c>
      <c r="H91" s="15">
        <f>Tabela3[[#This Row],[Lucro/Ação]]/Tabela3[[#This Row],[Ref]]*4</f>
        <v>2.8305985989043392</v>
      </c>
      <c r="I91" s="19">
        <f>IF(GETPIVOTDATA("Payout",'Tabela LL'!$A$3,"Ativo",Tabela3[[#This Row],[PAPEL]])&gt;1,1,GETPIVOTDATA("Payout",'Tabela LL'!$A$3,"Ativo",Tabela3[[#This Row],[PAPEL]]))</f>
        <v>0.41507496875695749</v>
      </c>
      <c r="J91" s="6">
        <f>[Patrimônio Líquido]/[Total Ações]</f>
        <v>15.932737297029679</v>
      </c>
      <c r="K91" s="52">
        <f>MAX(Tabela3[[#This Row],[Cotação 1]],Tabela3[[#This Row],[Cotação 2]])</f>
        <v>28.71</v>
      </c>
      <c r="L91" s="48">
        <f>[Cotação]/[VPA]</f>
        <v>1.8019502527887894</v>
      </c>
      <c r="M91" s="44">
        <f>IF(Tabela3[[#This Row],[Lucro/Ação Ano]]&gt;0,Tabela3[[#This Row],[Cotação]]/Tabela3[[#This Row],[Lucro/Ação Ano]],0)</f>
        <v>10.14273094430026</v>
      </c>
      <c r="N91" s="6">
        <f>ROUND(Tabela3[[#This Row],[Lucro Prev]]/10%,2)</f>
        <v>11.75</v>
      </c>
      <c r="O91" s="61">
        <f>MIN(Tabela3[[#This Row],[10% Rent]],Tabela3[[#This Row],[VPA]]*3.5)</f>
        <v>11.75</v>
      </c>
      <c r="P91" s="19">
        <f>Tabela3[[#This Row],[P Compra]]/Tabela3[[#This Row],[Cotação]]-1</f>
        <v>-0.59073493556252177</v>
      </c>
      <c r="Q91" s="6">
        <f>Tabela3[[#This Row],[Lucro/Ação Ano]]*Tabela3[[#This Row],[Payout]]</f>
        <v>1.1749106250037062</v>
      </c>
      <c r="R91" s="15" t="str">
        <f>IF(AND([% Yield]&gt;=10%,[PVPA]&lt;=3.5,[PL]&lt;=15,[PL]&gt;0),"Sim","Não")</f>
        <v>Não</v>
      </c>
      <c r="S91" s="46">
        <f>Tabela3[[#This Row],[Lucro Prev]]/Tabela3[[#This Row],[Cotação]]</f>
        <v>4.0923393417056989E-2</v>
      </c>
      <c r="T91" s="14">
        <f>($Z$1/Tabela3[[#This Row],[Cotação]]-MOD($Z$1/Tabela3[[#This Row],[Cotação]],100))</f>
        <v>0</v>
      </c>
      <c r="U91" s="17">
        <f>Tabela3[[#This Row],[Ativos]]*Tabela3[[#This Row],[Lucro Prev]]</f>
        <v>0</v>
      </c>
      <c r="V91" s="5">
        <f>SUMPRODUCT(N(Tabela1[Código]=Tabela3[[#This Row],[PAPEL]]),Tabela1[Fechamento])</f>
        <v>28.71</v>
      </c>
      <c r="W91" s="5">
        <f>SUMPRODUCT(N(Tabela17[Código]=Tabela3[[#This Row],[PAPEL]]),Tabela17[Fechamento])</f>
        <v>0</v>
      </c>
    </row>
    <row r="92" spans="1:23" hidden="1">
      <c r="A92" s="4" t="s">
        <v>462</v>
      </c>
      <c r="B92" s="71" t="s">
        <v>466</v>
      </c>
      <c r="C92" s="15">
        <v>3</v>
      </c>
      <c r="D92" s="6">
        <v>1148966000</v>
      </c>
      <c r="E92" s="6">
        <v>80315000</v>
      </c>
      <c r="F92" s="42">
        <v>92619256</v>
      </c>
      <c r="G92" s="73">
        <f>Tabela3[[#This Row],[Lucro Líquido]]/Tabela3[[#This Row],[Total Ações]]</f>
        <v>0.86715229066404942</v>
      </c>
      <c r="H92" s="15">
        <f>Tabela3[[#This Row],[Lucro/Ação]]/Tabela3[[#This Row],[Ref]]*4</f>
        <v>1.1562030542187325</v>
      </c>
      <c r="I92" s="19">
        <f>IF(GETPIVOTDATA("Payout",'Tabela LL'!$A$3,"Ativo",Tabela3[[#This Row],[PAPEL]])&gt;1,1,GETPIVOTDATA("Payout",'Tabela LL'!$A$3,"Ativo",Tabela3[[#This Row],[PAPEL]]))</f>
        <v>0.2386150637582162</v>
      </c>
      <c r="J92" s="6">
        <f>[Patrimônio Líquido]/[Total Ações]</f>
        <v>12.40526052163494</v>
      </c>
      <c r="K92" s="52">
        <f>MAX(Tabela3[[#This Row],[Cotação 1]],Tabela3[[#This Row],[Cotação 2]])</f>
        <v>6.78</v>
      </c>
      <c r="L92" s="48">
        <f>[Cotação]/[VPA]</f>
        <v>0.54654233082615156</v>
      </c>
      <c r="M92" s="44">
        <f>IF(Tabela3[[#This Row],[Lucro/Ação Ano]]&gt;0,Tabela3[[#This Row],[Cotação]]/Tabela3[[#This Row],[Lucro/Ação Ano]],0)</f>
        <v>5.8640218733735923</v>
      </c>
      <c r="N92" s="17">
        <f>ROUND(Tabela3[[#This Row],[Lucro Prev]]/10%,2)</f>
        <v>2.76</v>
      </c>
      <c r="O92" s="13">
        <f>MIN(Tabela3[[#This Row],[10% Rent]],Tabela3[[#This Row],[VPA]]*3.5)</f>
        <v>2.76</v>
      </c>
      <c r="P92" s="19">
        <f>Tabela3[[#This Row],[P Compra]]/Tabela3[[#This Row],[Cotação]]-1</f>
        <v>-0.59292035398230092</v>
      </c>
      <c r="Q92" s="6">
        <f>Tabela3[[#This Row],[Lucro/Ação Ano]]*Tabela3[[#This Row],[Payout]]</f>
        <v>0.27588746549984716</v>
      </c>
      <c r="R92" s="15" t="str">
        <f>IF(AND([% Yield]&gt;=10%,[PVPA]&lt;=3.5,[PL]&lt;=15,[PL]&gt;0),"Sim","Não")</f>
        <v>Não</v>
      </c>
      <c r="S92" s="46">
        <f>Tabela3[[#This Row],[Lucro Prev]]/Tabela3[[#This Row],[Cotação]]</f>
        <v>4.0691366592897807E-2</v>
      </c>
      <c r="T92" s="14">
        <f>($Z$1/Tabela3[[#This Row],[Cotação]]-MOD($Z$1/Tabela3[[#This Row],[Cotação]],100))</f>
        <v>100</v>
      </c>
      <c r="U92" s="17">
        <f>Tabela3[[#This Row],[Ativos]]*Tabela3[[#This Row],[Lucro Prev]]</f>
        <v>27.588746549984716</v>
      </c>
      <c r="V92" s="13">
        <f>SUMPRODUCT(N(Tabela1[Código]=Tabela3[[#This Row],[PAPEL]]),Tabela1[Fechamento])</f>
        <v>0</v>
      </c>
      <c r="W92" s="61">
        <f>SUMPRODUCT(N(Tabela17[Código]=Tabela3[[#This Row],[PAPEL]]),Tabela17[Fechamento])</f>
        <v>6.78</v>
      </c>
    </row>
    <row r="93" spans="1:23" hidden="1">
      <c r="A93" s="4" t="s">
        <v>19</v>
      </c>
      <c r="B93" s="14" t="s">
        <v>208</v>
      </c>
      <c r="C93" s="15">
        <v>3</v>
      </c>
      <c r="D93" s="6">
        <v>460223000</v>
      </c>
      <c r="E93" s="6">
        <v>24584000</v>
      </c>
      <c r="F93" s="42">
        <v>166720235</v>
      </c>
      <c r="G93" s="15">
        <f>Tabela3[[#This Row],[Lucro Líquido]]/Tabela3[[#This Row],[Total Ações]]</f>
        <v>0.14745660597227445</v>
      </c>
      <c r="H93" s="15">
        <f>Tabela3[[#This Row],[Lucro/Ação]]/Tabela3[[#This Row],[Ref]]*4</f>
        <v>0.19660880796303259</v>
      </c>
      <c r="I93" s="19">
        <f>IF(GETPIVOTDATA("Payout",'Tabela LL'!$A$3,"Ativo",Tabela3[[#This Row],[PAPEL]])&gt;1,1,GETPIVOTDATA("Payout",'Tabela LL'!$A$3,"Ativo",Tabela3[[#This Row],[PAPEL]]))</f>
        <v>0.63120967245066673</v>
      </c>
      <c r="J93" s="6">
        <f>[Patrimônio Líquido]/[Total Ações]</f>
        <v>2.760450763520097</v>
      </c>
      <c r="K93" s="52">
        <f>MAX(Tabela3[[#This Row],[Cotação 1]],Tabela3[[#This Row],[Cotação 2]])</f>
        <v>3.24</v>
      </c>
      <c r="L93" s="48">
        <f>[Cotação]/[VPA]</f>
        <v>1.1737213511710629</v>
      </c>
      <c r="M93" s="44">
        <f>IF(Tabela3[[#This Row],[Lucro/Ação Ano]]&gt;0,Tabela3[[#This Row],[Cotação]]/Tabela3[[#This Row],[Lucro/Ação Ano]],0)</f>
        <v>16.479424465099253</v>
      </c>
      <c r="N93" s="6">
        <f>ROUND(Tabela3[[#This Row],[Lucro Prev]]/10%,2)</f>
        <v>1.24</v>
      </c>
      <c r="O93" s="61">
        <f>MIN(Tabela3[[#This Row],[10% Rent]],Tabela3[[#This Row],[VPA]]*3.5)</f>
        <v>1.24</v>
      </c>
      <c r="P93" s="19">
        <f>Tabela3[[#This Row],[P Compra]]/Tabela3[[#This Row],[Cotação]]-1</f>
        <v>-0.61728395061728403</v>
      </c>
      <c r="Q93" s="6">
        <f>Tabela3[[#This Row],[Lucro/Ação Ano]]*Tabela3[[#This Row],[Payout]]</f>
        <v>0.12410138127526184</v>
      </c>
      <c r="R93" s="15" t="str">
        <f>IF(AND([% Yield]&gt;=10%,[PVPA]&lt;=3.5,[PL]&lt;=15,[PL]&gt;0),"Sim","Não")</f>
        <v>Não</v>
      </c>
      <c r="S93" s="46">
        <f>Tabela3[[#This Row],[Lucro Prev]]/Tabela3[[#This Row],[Cotação]]</f>
        <v>3.8302895455327723E-2</v>
      </c>
      <c r="T93" s="14">
        <f>($Z$1/Tabela3[[#This Row],[Cotação]]-MOD($Z$1/Tabela3[[#This Row],[Cotação]],100))</f>
        <v>300</v>
      </c>
      <c r="U93" s="17">
        <f>Tabela3[[#This Row],[Ativos]]*Tabela3[[#This Row],[Lucro Prev]]</f>
        <v>37.230414382578552</v>
      </c>
      <c r="V93" s="5">
        <f>SUMPRODUCT(N(Tabela1[Código]=Tabela3[[#This Row],[PAPEL]]),Tabela1[Fechamento])</f>
        <v>3.24</v>
      </c>
      <c r="W93" s="5">
        <f>SUMPRODUCT(N(Tabela17[Código]=Tabela3[[#This Row],[PAPEL]]),Tabela17[Fechamento])</f>
        <v>0</v>
      </c>
    </row>
    <row r="94" spans="1:23" hidden="1">
      <c r="A94" s="3" t="s">
        <v>40</v>
      </c>
      <c r="B94" s="14" t="s">
        <v>317</v>
      </c>
      <c r="C94" s="16">
        <v>3</v>
      </c>
      <c r="D94" s="5">
        <v>509526000</v>
      </c>
      <c r="E94" s="5">
        <v>33359000</v>
      </c>
      <c r="F94" s="21">
        <v>31485170</v>
      </c>
      <c r="G94" s="72">
        <f>Tabela3[[#This Row],[Lucro Líquido]]/Tabela3[[#This Row],[Total Ações]]</f>
        <v>1.0595146858028717</v>
      </c>
      <c r="H94" s="16">
        <f>Tabela3[[#This Row],[Lucro/Ação]]/Tabela3[[#This Row],[Ref]]*4</f>
        <v>1.4126862477371622</v>
      </c>
      <c r="I94" s="18">
        <f>IF(GETPIVOTDATA("Payout",'Tabela LL'!$A$3,"Ativo",Tabela3[[#This Row],[PAPEL]])&gt;1,1,GETPIVOTDATA("Payout",'Tabela LL'!$A$3,"Ativo",Tabela3[[#This Row],[PAPEL]]))</f>
        <v>0.27024411411752097</v>
      </c>
      <c r="J94" s="5">
        <f>[Patrimônio Líquido]/[Total Ações]</f>
        <v>16.183047447417309</v>
      </c>
      <c r="K94" s="58">
        <f>MAX(Tabela3[[#This Row],[Cotação 1]],Tabela3[[#This Row],[Cotação 2]])</f>
        <v>10</v>
      </c>
      <c r="L94" s="59">
        <f>[Cotação]/[VPA]</f>
        <v>0.61793058646663757</v>
      </c>
      <c r="M94" s="40">
        <f>IF(Tabela3[[#This Row],[Lucro/Ação Ano]]&gt;0,Tabela3[[#This Row],[Cotação]]/Tabela3[[#This Row],[Lucro/Ação Ano]],0)</f>
        <v>7.0787126412662245</v>
      </c>
      <c r="N94" s="51">
        <f>ROUND(Tabela3[[#This Row],[Lucro Prev]]/10%,2)</f>
        <v>3.82</v>
      </c>
      <c r="O94" s="51">
        <f>MIN(Tabela3[[#This Row],[10% Rent]],Tabela3[[#This Row],[VPA]]*3.5)</f>
        <v>3.82</v>
      </c>
      <c r="P94" s="18">
        <f>Tabela3[[#This Row],[P Compra]]/Tabela3[[#This Row],[Cotação]]-1</f>
        <v>-0.61799999999999999</v>
      </c>
      <c r="Q94" s="5">
        <f>Tabela3[[#This Row],[Lucro/Ação Ano]]*Tabela3[[#This Row],[Payout]]</f>
        <v>0.38177014354573419</v>
      </c>
      <c r="R94" s="16" t="str">
        <f>IF(AND([% Yield]&gt;=10%,[PVPA]&lt;=3.5,[PL]&lt;=15,[PL]&gt;0),"Sim","Não")</f>
        <v>Não</v>
      </c>
      <c r="S94" s="22">
        <f>Tabela3[[#This Row],[Lucro Prev]]/Tabela3[[#This Row],[Cotação]]</f>
        <v>3.8177014354573421E-2</v>
      </c>
      <c r="T94" s="10">
        <f>($Z$1/Tabela3[[#This Row],[Cotação]]-MOD($Z$1/Tabela3[[#This Row],[Cotação]],100))</f>
        <v>100</v>
      </c>
      <c r="U94" s="7">
        <f>Tabela3[[#This Row],[Ativos]]*Tabela3[[#This Row],[Lucro Prev]]</f>
        <v>38.177014354573416</v>
      </c>
      <c r="V94" s="51">
        <f>SUMPRODUCT(N(Tabela1[Código]=Tabela3[[#This Row],[PAPEL]]),Tabela1[Fechamento])</f>
        <v>0</v>
      </c>
      <c r="W94" s="51">
        <f>SUMPRODUCT(N(Tabela17[Código]=Tabela3[[#This Row],[PAPEL]]),Tabela17[Fechamento])</f>
        <v>10</v>
      </c>
    </row>
    <row r="95" spans="1:23" hidden="1">
      <c r="A95" s="4" t="s">
        <v>734</v>
      </c>
      <c r="B95" s="71" t="s">
        <v>738</v>
      </c>
      <c r="C95" s="15">
        <v>3</v>
      </c>
      <c r="D95" s="6">
        <v>2947112000</v>
      </c>
      <c r="E95" s="6">
        <v>1953406000</v>
      </c>
      <c r="F95" s="42">
        <v>786115469</v>
      </c>
      <c r="G95" s="15">
        <f>Tabela3[[#This Row],[Lucro Líquido]]/Tabela3[[#This Row],[Total Ações]]</f>
        <v>2.4848843166575572</v>
      </c>
      <c r="H95" s="15">
        <f>Tabela3[[#This Row],[Lucro/Ação]]/Tabela3[[#This Row],[Ref]]*4</f>
        <v>3.3131790888767427</v>
      </c>
      <c r="I95" s="19">
        <f>IF(GETPIVOTDATA("Payout",'Tabela LL'!$A$3,"Ativo",Tabela3[[#This Row],[PAPEL]])&gt;1,1,GETPIVOTDATA("Payout",'Tabela LL'!$A$3,"Ativo",Tabela3[[#This Row],[PAPEL]]))</f>
        <v>0.77123947523638092</v>
      </c>
      <c r="J95" s="6">
        <f>[Patrimônio Líquido]/[Total Ações]</f>
        <v>3.7489556130334845</v>
      </c>
      <c r="K95" s="52">
        <f>MAX(Tabela3[[#This Row],[Cotação 1]],Tabela3[[#This Row],[Cotação 2]])</f>
        <v>67.09</v>
      </c>
      <c r="L95" s="48">
        <f>[Cotação]/[VPA]</f>
        <v>17.895650662482456</v>
      </c>
      <c r="M95" s="44">
        <f>IF(Tabela3[[#This Row],[Lucro/Ação Ano]]&gt;0,Tabela3[[#This Row],[Cotação]]/Tabela3[[#This Row],[Lucro/Ação Ano]],0)</f>
        <v>20.249433610528229</v>
      </c>
      <c r="N95" s="17">
        <f>ROUND(Tabela3[[#This Row],[Lucro Prev]]/10%,2)</f>
        <v>25.55</v>
      </c>
      <c r="O95" s="13">
        <f>MIN(Tabela3[[#This Row],[10% Rent]],Tabela3[[#This Row],[VPA]]*3.5)</f>
        <v>13.121344645617196</v>
      </c>
      <c r="P95" s="19">
        <f>Tabela3[[#This Row],[P Compra]]/Tabela3[[#This Row],[Cotação]]-1</f>
        <v>-0.80442175218933976</v>
      </c>
      <c r="Q95" s="6">
        <f>Tabela3[[#This Row],[Lucro/Ação Ano]]*Tabela3[[#This Row],[Payout]]</f>
        <v>2.5552545018694497</v>
      </c>
      <c r="R95" s="15" t="str">
        <f>IF(AND([% Yield]&gt;=10%,[PVPA]&lt;=3.5,[PL]&lt;=15,[PL]&gt;0),"Sim","Não")</f>
        <v>Não</v>
      </c>
      <c r="S95" s="46">
        <f>Tabela3[[#This Row],[Lucro Prev]]/Tabela3[[#This Row],[Cotação]]</f>
        <v>3.8086965298396926E-2</v>
      </c>
      <c r="T95" s="14">
        <f>($Z$1/Tabela3[[#This Row],[Cotação]]-MOD($Z$1/Tabela3[[#This Row],[Cotação]],100))</f>
        <v>0</v>
      </c>
      <c r="U95" s="17">
        <f>Tabela3[[#This Row],[Ativos]]*Tabela3[[#This Row],[Lucro Prev]]</f>
        <v>0</v>
      </c>
      <c r="V95" s="13">
        <f>SUMPRODUCT(N(Tabela1[Código]=Tabela3[[#This Row],[PAPEL]]),Tabela1[Fechamento])</f>
        <v>0</v>
      </c>
      <c r="W95" s="61">
        <f>SUMPRODUCT(N(Tabela17[Código]=Tabela3[[#This Row],[PAPEL]]),Tabela17[Fechamento])</f>
        <v>67.09</v>
      </c>
    </row>
    <row r="96" spans="1:23" hidden="1">
      <c r="A96" s="4" t="s">
        <v>12</v>
      </c>
      <c r="B96" s="14" t="s">
        <v>192</v>
      </c>
      <c r="C96" s="15">
        <v>3</v>
      </c>
      <c r="D96" s="6">
        <v>1825587000</v>
      </c>
      <c r="E96" s="6">
        <v>190026000</v>
      </c>
      <c r="F96" s="42">
        <v>1245690889</v>
      </c>
      <c r="G96" s="15">
        <f>Tabela3[[#This Row],[Lucro Líquido]]/Tabela3[[#This Row],[Total Ações]]</f>
        <v>0.15254667243536371</v>
      </c>
      <c r="H96" s="15">
        <f>Tabela3[[#This Row],[Lucro/Ação]]/Tabela3[[#This Row],[Ref]]*4</f>
        <v>0.20339556324715161</v>
      </c>
      <c r="I96" s="19">
        <f>IF(GETPIVOTDATA("Payout",'Tabela LL'!$A$3,"Ativo",Tabela3[[#This Row],[PAPEL]])&gt;1,1,GETPIVOTDATA("Payout",'Tabela LL'!$A$3,"Ativo",Tabela3[[#This Row],[PAPEL]]))</f>
        <v>0.58097440486745289</v>
      </c>
      <c r="J96" s="6">
        <f>[Patrimônio Líquido]/[Total Ações]</f>
        <v>1.4655216764614227</v>
      </c>
      <c r="K96" s="52">
        <f>MAX(Tabela3[[#This Row],[Cotação 1]],Tabela3[[#This Row],[Cotação 2]])</f>
        <v>3.15</v>
      </c>
      <c r="L96" s="48">
        <f>[Cotação]/[VPA]</f>
        <v>2.1494052599793929</v>
      </c>
      <c r="M96" s="44">
        <f>IF(Tabela3[[#This Row],[Lucro/Ação Ano]]&gt;0,Tabela3[[#This Row],[Cotação]]/Tabela3[[#This Row],[Lucro/Ação Ano]],0)</f>
        <v>15.487063482168228</v>
      </c>
      <c r="N96" s="6">
        <f>ROUND(Tabela3[[#This Row],[Lucro Prev]]/10%,2)</f>
        <v>1.18</v>
      </c>
      <c r="O96" s="61">
        <f>MIN(Tabela3[[#This Row],[10% Rent]],Tabela3[[#This Row],[VPA]]*3.5)</f>
        <v>1.18</v>
      </c>
      <c r="P96" s="19">
        <f>Tabela3[[#This Row],[P Compra]]/Tabela3[[#This Row],[Cotação]]-1</f>
        <v>-0.6253968253968254</v>
      </c>
      <c r="Q96" s="6">
        <f>Tabela3[[#This Row],[Lucro/Ação Ano]]*Tabela3[[#This Row],[Payout]]</f>
        <v>0.11816761631019428</v>
      </c>
      <c r="R96" s="15" t="str">
        <f>IF(AND([% Yield]&gt;=10%,[PVPA]&lt;=3.5,[PL]&lt;=15,[PL]&gt;0),"Sim","Não")</f>
        <v>Não</v>
      </c>
      <c r="S96" s="46">
        <f>Tabela3[[#This Row],[Lucro Prev]]/Tabela3[[#This Row],[Cotação]]</f>
        <v>3.7513528987363265E-2</v>
      </c>
      <c r="T96" s="14">
        <f>($Z$1/Tabela3[[#This Row],[Cotação]]-MOD($Z$1/Tabela3[[#This Row],[Cotação]],100))</f>
        <v>300</v>
      </c>
      <c r="U96" s="17">
        <f>Tabela3[[#This Row],[Ativos]]*Tabela3[[#This Row],[Lucro Prev]]</f>
        <v>35.450284893058281</v>
      </c>
      <c r="V96" s="5">
        <f>SUMPRODUCT(N(Tabela1[Código]=Tabela3[[#This Row],[PAPEL]]),Tabela1[Fechamento])</f>
        <v>3.15</v>
      </c>
      <c r="W96" s="5">
        <f>SUMPRODUCT(N(Tabela17[Código]=Tabela3[[#This Row],[PAPEL]]),Tabela17[Fechamento])</f>
        <v>0</v>
      </c>
    </row>
    <row r="97" spans="1:23" hidden="1">
      <c r="A97" s="4" t="s">
        <v>12</v>
      </c>
      <c r="B97" s="14" t="s">
        <v>190</v>
      </c>
      <c r="C97" s="15">
        <v>3</v>
      </c>
      <c r="D97" s="6">
        <v>672379000</v>
      </c>
      <c r="E97" s="6">
        <v>25747000</v>
      </c>
      <c r="F97" s="42">
        <v>36947084</v>
      </c>
      <c r="G97" s="15">
        <f>Tabela3[[#This Row],[Lucro Líquido]]/Tabela3[[#This Row],[Total Ações]]</f>
        <v>0.69686148979984452</v>
      </c>
      <c r="H97" s="15">
        <f>Tabela3[[#This Row],[Lucro/Ação]]/Tabela3[[#This Row],[Ref]]*4</f>
        <v>0.92914865306645933</v>
      </c>
      <c r="I97" s="19">
        <f>IF(GETPIVOTDATA("Payout",'Tabela LL'!$A$3,"Ativo",Tabela3[[#This Row],[PAPEL]])&gt;1,1,GETPIVOTDATA("Payout",'Tabela LL'!$A$3,"Ativo",Tabela3[[#This Row],[PAPEL]]))</f>
        <v>0.23175290878610291</v>
      </c>
      <c r="J97" s="6">
        <f>[Patrimônio Líquido]/[Total Ações]</f>
        <v>18.198432114426133</v>
      </c>
      <c r="K97" s="52">
        <f>MAX(Tabela3[[#This Row],[Cotação 1]],Tabela3[[#This Row],[Cotação 2]])</f>
        <v>5.75</v>
      </c>
      <c r="L97" s="48">
        <f>[Cotação]/[VPA]</f>
        <v>0.31596128522752798</v>
      </c>
      <c r="M97" s="44">
        <f>IF(Tabela3[[#This Row],[Lucro/Ação Ano]]&gt;0,Tabela3[[#This Row],[Cotação]]/Tabela3[[#This Row],[Lucro/Ação Ano]],0)</f>
        <v>6.1884607818386614</v>
      </c>
      <c r="N97" s="6">
        <f>ROUND(Tabela3[[#This Row],[Lucro Prev]]/10%,2)</f>
        <v>2.15</v>
      </c>
      <c r="O97" s="61">
        <f>MIN(Tabela3[[#This Row],[10% Rent]],Tabela3[[#This Row],[VPA]]*3.5)</f>
        <v>2.15</v>
      </c>
      <c r="P97" s="19">
        <f>Tabela3[[#This Row],[P Compra]]/Tabela3[[#This Row],[Cotação]]-1</f>
        <v>-0.62608695652173907</v>
      </c>
      <c r="Q97" s="6">
        <f>Tabela3[[#This Row],[Lucro/Ação Ano]]*Tabela3[[#This Row],[Payout]]</f>
        <v>0.21533290304284153</v>
      </c>
      <c r="R97" s="15" t="str">
        <f>IF(AND([% Yield]&gt;=10%,[PVPA]&lt;=3.5,[PL]&lt;=15,[PL]&gt;0),"Sim","Não")</f>
        <v>Não</v>
      </c>
      <c r="S97" s="46">
        <f>Tabela3[[#This Row],[Lucro Prev]]/Tabela3[[#This Row],[Cotação]]</f>
        <v>3.7449200529189833E-2</v>
      </c>
      <c r="T97" s="14">
        <f>($Z$1/Tabela3[[#This Row],[Cotação]]-MOD($Z$1/Tabela3[[#This Row],[Cotação]],100))</f>
        <v>100</v>
      </c>
      <c r="U97" s="17">
        <f>Tabela3[[#This Row],[Ativos]]*Tabela3[[#This Row],[Lucro Prev]]</f>
        <v>21.533290304284154</v>
      </c>
      <c r="V97" s="5">
        <f>SUMPRODUCT(N(Tabela1[Código]=Tabela3[[#This Row],[PAPEL]]),Tabela1[Fechamento])</f>
        <v>5.75</v>
      </c>
      <c r="W97" s="5">
        <f>SUMPRODUCT(N(Tabela17[Código]=Tabela3[[#This Row],[PAPEL]]),Tabela17[Fechamento])</f>
        <v>0</v>
      </c>
    </row>
    <row r="98" spans="1:23" hidden="1">
      <c r="A98" s="3" t="s">
        <v>12</v>
      </c>
      <c r="B98" s="10" t="s">
        <v>86</v>
      </c>
      <c r="C98" s="16">
        <v>3</v>
      </c>
      <c r="D98" s="5">
        <v>1597704000</v>
      </c>
      <c r="E98" s="5">
        <v>150604000</v>
      </c>
      <c r="F98" s="21">
        <v>77855299</v>
      </c>
      <c r="G98" s="16">
        <f>Tabela3[[#This Row],[Lucro Líquido]]/Tabela3[[#This Row],[Total Ações]]</f>
        <v>1.9344091145292499</v>
      </c>
      <c r="H98" s="16">
        <f>Tabela3[[#This Row],[Lucro/Ação]]/Tabela3[[#This Row],[Ref]]*4</f>
        <v>2.5792121527056664</v>
      </c>
      <c r="I98" s="18">
        <f>IF(GETPIVOTDATA("Payout",'Tabela LL'!$A$3,"Ativo",Tabela3[[#This Row],[PAPEL]])&gt;1,1,GETPIVOTDATA("Payout",'Tabela LL'!$A$3,"Ativo",Tabela3[[#This Row],[PAPEL]]))</f>
        <v>0.61566379005177641</v>
      </c>
      <c r="J98" s="5">
        <f>[Patrimônio Líquido]/[Total Ações]</f>
        <v>20.52145480810497</v>
      </c>
      <c r="K98" s="58">
        <f>MAX(Tabela3[[#This Row],[Cotação 1]],Tabela3[[#This Row],[Cotação 2]])</f>
        <v>43.1</v>
      </c>
      <c r="L98" s="59">
        <f>[Cotação]/[VPA]</f>
        <v>2.1002409625938223</v>
      </c>
      <c r="M98" s="40">
        <f>IF(Tabela3[[#This Row],[Lucro/Ação Ano]]&gt;0,Tabela3[[#This Row],[Cotação]]/Tabela3[[#This Row],[Lucro/Ação Ano]],0)</f>
        <v>16.710529203573611</v>
      </c>
      <c r="N98" s="5">
        <f>ROUND(Tabela3[[#This Row],[Lucro Prev]]/10%,2)</f>
        <v>15.88</v>
      </c>
      <c r="O98" s="60">
        <f>MIN(Tabela3[[#This Row],[10% Rent]],Tabela3[[#This Row],[VPA]]*3.5)</f>
        <v>15.88</v>
      </c>
      <c r="P98" s="18">
        <f>Tabela3[[#This Row],[P Compra]]/Tabela3[[#This Row],[Cotação]]-1</f>
        <v>-0.63155452436194892</v>
      </c>
      <c r="Q98" s="5">
        <f>Tabela3[[#This Row],[Lucro/Ação Ano]]*Tabela3[[#This Row],[Payout]]</f>
        <v>1.5879275292823716</v>
      </c>
      <c r="R98" s="10" t="str">
        <f>IF(AND([% Yield]&gt;=10%,[PVPA]&lt;=3.5,[PL]&lt;=15,[PL]&gt;0),"Sim","Não")</f>
        <v>Não</v>
      </c>
      <c r="S98" s="22">
        <f>Tabela3[[#This Row],[Lucro Prev]]/Tabela3[[#This Row],[Cotação]]</f>
        <v>3.684286610863971E-2</v>
      </c>
      <c r="T98" s="10">
        <f>($Z$1/Tabela3[[#This Row],[Cotação]]-MOD($Z$1/Tabela3[[#This Row],[Cotação]],100))</f>
        <v>0</v>
      </c>
      <c r="U98" s="7">
        <f>Tabela3[[#This Row],[Ativos]]*Tabela3[[#This Row],[Lucro Prev]]</f>
        <v>0</v>
      </c>
      <c r="V98" s="5">
        <f>SUMPRODUCT(N(Tabela1[Código]=Tabela3[[#This Row],[PAPEL]]),Tabela1[Fechamento])</f>
        <v>43.1</v>
      </c>
      <c r="W98" s="5">
        <f>SUMPRODUCT(N(Tabela17[Código]=Tabela3[[#This Row],[PAPEL]]),Tabela17[Fechamento])</f>
        <v>0</v>
      </c>
    </row>
    <row r="99" spans="1:23" hidden="1">
      <c r="A99" s="25" t="s">
        <v>12</v>
      </c>
      <c r="B99" s="15" t="s">
        <v>35</v>
      </c>
      <c r="C99" s="16">
        <v>3</v>
      </c>
      <c r="D99" s="31">
        <v>2881205000</v>
      </c>
      <c r="E99" s="31">
        <v>130778000</v>
      </c>
      <c r="F99" s="28">
        <v>198447352</v>
      </c>
      <c r="G99" s="27">
        <f>Tabela3[[#This Row],[Lucro Líquido]]/Tabela3[[#This Row],[Total Ações]]</f>
        <v>0.65900602190952895</v>
      </c>
      <c r="H99" s="27">
        <f>Tabela3[[#This Row],[Lucro/Ação]]/Tabela3[[#This Row],[Ref]]*4</f>
        <v>0.87867469587937197</v>
      </c>
      <c r="I99" s="53">
        <f>IF(GETPIVOTDATA("Payout",'Tabela LL'!$A$3,"Ativo",Tabela3[[#This Row],[PAPEL]])&gt;1,1,GETPIVOTDATA("Payout",'Tabela LL'!$A$3,"Ativo",Tabela3[[#This Row],[PAPEL]]))</f>
        <v>0.90036243172799468</v>
      </c>
      <c r="J99" s="31">
        <f>[Patrimônio Líquido]/[Total Ações]</f>
        <v>14.518737443269083</v>
      </c>
      <c r="K99" s="32">
        <f>MAX(Tabela3[[#This Row],[Cotação 1]],Tabela3[[#This Row],[Cotação 2]])</f>
        <v>21.96</v>
      </c>
      <c r="L99" s="33">
        <f>[Cotação]/[VPA]</f>
        <v>1.5125282129942161</v>
      </c>
      <c r="M99" s="38">
        <f>IF(Tabela3[[#This Row],[Lucro/Ação Ano]]&gt;0,Tabela3[[#This Row],[Cotação]]/Tabela3[[#This Row],[Lucro/Ação Ano]],0)</f>
        <v>24.992184369236416</v>
      </c>
      <c r="N99" s="31">
        <f>ROUND(Tabela3[[#This Row],[Lucro Prev]]/10%,2)</f>
        <v>7.91</v>
      </c>
      <c r="O99" s="29">
        <f>MIN(Tabela3[[#This Row],[10% Rent]],Tabela3[[#This Row],[VPA]]*3.5)</f>
        <v>7.91</v>
      </c>
      <c r="P99" s="54">
        <f>Tabela3[[#This Row],[P Compra]]/Tabela3[[#This Row],[Cotação]]-1</f>
        <v>-0.63979963570127507</v>
      </c>
      <c r="Q99" s="6">
        <f>Tabela3[[#This Row],[Lucro/Ação Ano]]*Tabela3[[#This Row],[Payout]]</f>
        <v>0.79112568587980758</v>
      </c>
      <c r="R99" s="26" t="str">
        <f>IF(AND([% Yield]&gt;=10%,[PVPA]&lt;=3.5,[PL]&lt;=15,[PL]&gt;0),"Sim","Não")</f>
        <v>Não</v>
      </c>
      <c r="S99" s="30">
        <f>Tabela3[[#This Row],[Lucro Prev]]/Tabela3[[#This Row],[Cotação]]</f>
        <v>3.6025759830592329E-2</v>
      </c>
      <c r="T99" s="10">
        <f>($Z$1/Tabela3[[#This Row],[Cotação]]-MOD($Z$1/Tabela3[[#This Row],[Cotação]],100))</f>
        <v>0</v>
      </c>
      <c r="U99" s="7">
        <f>Tabela3[[#This Row],[Ativos]]*Tabela3[[#This Row],[Lucro Prev]]</f>
        <v>0</v>
      </c>
      <c r="V99" s="5">
        <f>SUMPRODUCT(N(Tabela1[Código]=Tabela3[[#This Row],[PAPEL]]),Tabela1[Fechamento])</f>
        <v>21.96</v>
      </c>
      <c r="W99" s="5">
        <f>SUMPRODUCT(N(Tabela17[Código]=Tabela3[[#This Row],[PAPEL]]),Tabela17[Fechamento])</f>
        <v>0</v>
      </c>
    </row>
    <row r="100" spans="1:23" hidden="1">
      <c r="A100" s="4" t="s">
        <v>19</v>
      </c>
      <c r="B100" s="14" t="s">
        <v>207</v>
      </c>
      <c r="C100" s="15">
        <v>3</v>
      </c>
      <c r="D100" s="6">
        <v>460223000</v>
      </c>
      <c r="E100" s="6">
        <v>24584000</v>
      </c>
      <c r="F100" s="42">
        <v>166720235</v>
      </c>
      <c r="G100" s="15">
        <f>Tabela3[[#This Row],[Lucro Líquido]]/Tabela3[[#This Row],[Total Ações]]</f>
        <v>0.14745660597227445</v>
      </c>
      <c r="H100" s="15">
        <f>Tabela3[[#This Row],[Lucro/Ação]]/Tabela3[[#This Row],[Ref]]*4</f>
        <v>0.19660880796303259</v>
      </c>
      <c r="I100" s="19">
        <f>IF(GETPIVOTDATA("Payout",'Tabela LL'!$A$3,"Ativo",Tabela3[[#This Row],[PAPEL]])&gt;1,1,GETPIVOTDATA("Payout",'Tabela LL'!$A$3,"Ativo",Tabela3[[#This Row],[PAPEL]]))</f>
        <v>0.5857126326415365</v>
      </c>
      <c r="J100" s="6">
        <f>[Patrimônio Líquido]/[Total Ações]</f>
        <v>2.760450763520097</v>
      </c>
      <c r="K100" s="52">
        <f>MAX(Tabela3[[#This Row],[Cotação 1]],Tabela3[[#This Row],[Cotação 2]])</f>
        <v>3.2</v>
      </c>
      <c r="L100" s="48">
        <f>[Cotação]/[VPA]</f>
        <v>1.1592309641195682</v>
      </c>
      <c r="M100" s="44">
        <f>IF(Tabela3[[#This Row],[Lucro/Ação Ano]]&gt;0,Tabela3[[#This Row],[Cotação]]/Tabela3[[#This Row],[Lucro/Ação Ano]],0)</f>
        <v>16.275974780344942</v>
      </c>
      <c r="N100" s="6">
        <f>ROUND(Tabela3[[#This Row],[Lucro Prev]]/10%,2)</f>
        <v>1.1499999999999999</v>
      </c>
      <c r="O100" s="61">
        <f>MIN(Tabela3[[#This Row],[10% Rent]],Tabela3[[#This Row],[VPA]]*3.5)</f>
        <v>1.1499999999999999</v>
      </c>
      <c r="P100" s="19">
        <f>Tabela3[[#This Row],[P Compra]]/Tabela3[[#This Row],[Cotação]]-1</f>
        <v>-0.640625</v>
      </c>
      <c r="Q100" s="6">
        <f>Tabela3[[#This Row],[Lucro/Ação Ano]]*Tabela3[[#This Row],[Payout]]</f>
        <v>0.1151562625125421</v>
      </c>
      <c r="R100" s="15" t="str">
        <f>IF(AND([% Yield]&gt;=10%,[PVPA]&lt;=3.5,[PL]&lt;=15,[PL]&gt;0),"Sim","Não")</f>
        <v>Não</v>
      </c>
      <c r="S100" s="46">
        <f>Tabela3[[#This Row],[Lucro Prev]]/Tabela3[[#This Row],[Cotação]]</f>
        <v>3.5986332035169405E-2</v>
      </c>
      <c r="T100" s="14">
        <f>($Z$1/Tabela3[[#This Row],[Cotação]]-MOD($Z$1/Tabela3[[#This Row],[Cotação]],100))</f>
        <v>300</v>
      </c>
      <c r="U100" s="17">
        <f>Tabela3[[#This Row],[Ativos]]*Tabela3[[#This Row],[Lucro Prev]]</f>
        <v>34.546878753762627</v>
      </c>
      <c r="V100" s="5">
        <f>SUMPRODUCT(N(Tabela1[Código]=Tabela3[[#This Row],[PAPEL]]),Tabela1[Fechamento])</f>
        <v>3.2</v>
      </c>
      <c r="W100" s="5">
        <f>SUMPRODUCT(N(Tabela17[Código]=Tabela3[[#This Row],[PAPEL]]),Tabela17[Fechamento])</f>
        <v>0</v>
      </c>
    </row>
    <row r="101" spans="1:23" hidden="1">
      <c r="A101" s="4" t="s">
        <v>298</v>
      </c>
      <c r="B101" s="14" t="s">
        <v>20</v>
      </c>
      <c r="C101" s="15">
        <v>3</v>
      </c>
      <c r="D101" s="6">
        <v>341312244000</v>
      </c>
      <c r="E101" s="6">
        <v>17288839000</v>
      </c>
      <c r="F101" s="42">
        <v>13044496930</v>
      </c>
      <c r="G101" s="73">
        <f>Tabela3[[#This Row],[Lucro Líquido]]/Tabela3[[#This Row],[Total Ações]]</f>
        <v>1.3253741476406633</v>
      </c>
      <c r="H101" s="15">
        <f>Tabela3[[#This Row],[Lucro/Ação]]/Tabela3[[#This Row],[Ref]]*4</f>
        <v>1.7671655301875511</v>
      </c>
      <c r="I101" s="19">
        <f>IF(GETPIVOTDATA("Payout",'Tabela LL'!$A$3,"Ativo",Tabela3[[#This Row],[PAPEL]])&gt;1,1,GETPIVOTDATA("Payout",'Tabela LL'!$A$3,"Ativo",Tabela3[[#This Row],[PAPEL]]))</f>
        <v>0.30588500522710332</v>
      </c>
      <c r="J101" s="6">
        <f>[Patrimônio Líquido]/[Total Ações]</f>
        <v>26.165228588849843</v>
      </c>
      <c r="K101" s="52">
        <f>MAX(Tabela3[[#This Row],[Cotação 1]],Tabela3[[#This Row],[Cotação 2]])</f>
        <v>15.49</v>
      </c>
      <c r="L101" s="48">
        <f>[Cotação]/[VPA]</f>
        <v>0.59200705804653175</v>
      </c>
      <c r="M101" s="44">
        <f>IF(Tabela3[[#This Row],[Lucro/Ação Ano]]&gt;0,Tabela3[[#This Row],[Cotação]]/Tabela3[[#This Row],[Lucro/Ação Ano]],0)</f>
        <v>8.7654493794681656</v>
      </c>
      <c r="N101" s="13">
        <f>ROUND(Tabela3[[#This Row],[Lucro Prev]]/10%,2)</f>
        <v>5.41</v>
      </c>
      <c r="O101" s="13">
        <f>MIN(Tabela3[[#This Row],[10% Rent]],Tabela3[[#This Row],[VPA]]*3.5)</f>
        <v>5.41</v>
      </c>
      <c r="P101" s="19">
        <f>Tabela3[[#This Row],[P Compra]]/Tabela3[[#This Row],[Cotação]]-1</f>
        <v>-0.65074241446094261</v>
      </c>
      <c r="Q101" s="6">
        <f>Tabela3[[#This Row],[Lucro/Ação Ano]]*Tabela3[[#This Row],[Payout]]</f>
        <v>0.54054943743857586</v>
      </c>
      <c r="R101" s="15" t="str">
        <f>IF(AND([% Yield]&gt;=10%,[PVPA]&lt;=3.5,[PL]&lt;=15,[PL]&gt;0),"Sim","Não")</f>
        <v>Não</v>
      </c>
      <c r="S101" s="46">
        <f>Tabela3[[#This Row],[Lucro Prev]]/Tabela3[[#This Row],[Cotação]]</f>
        <v>3.4896671235543957E-2</v>
      </c>
      <c r="T101" s="14">
        <f>($Z$1/Tabela3[[#This Row],[Cotação]]-MOD($Z$1/Tabela3[[#This Row],[Cotação]],100))</f>
        <v>0</v>
      </c>
      <c r="U101" s="17">
        <f>Tabela3[[#This Row],[Ativos]]*Tabela3[[#This Row],[Lucro Prev]]</f>
        <v>0</v>
      </c>
      <c r="V101" s="13">
        <f>SUMPRODUCT(N(Tabela1[Código]=Tabela3[[#This Row],[PAPEL]]),Tabela1[Fechamento])</f>
        <v>0</v>
      </c>
      <c r="W101" s="13">
        <f>SUMPRODUCT(N(Tabela17[Código]=Tabela3[[#This Row],[PAPEL]]),Tabela17[Fechamento])</f>
        <v>15.49</v>
      </c>
    </row>
    <row r="102" spans="1:23" hidden="1">
      <c r="A102" s="4" t="s">
        <v>12</v>
      </c>
      <c r="B102" s="14" t="s">
        <v>101</v>
      </c>
      <c r="C102" s="15">
        <v>3</v>
      </c>
      <c r="D102" s="5">
        <v>1597704000</v>
      </c>
      <c r="E102" s="5">
        <v>150604000</v>
      </c>
      <c r="F102" s="21">
        <v>77855299</v>
      </c>
      <c r="G102" s="15">
        <f>Tabela3[[#This Row],[Lucro Líquido]]/Tabela3[[#This Row],[Total Ações]]</f>
        <v>1.9344091145292499</v>
      </c>
      <c r="H102" s="15">
        <f>Tabela3[[#This Row],[Lucro/Ação]]/Tabela3[[#This Row],[Ref]]*4</f>
        <v>2.5792121527056664</v>
      </c>
      <c r="I102" s="19">
        <f>IF(GETPIVOTDATA("Payout",'Tabela LL'!$A$3,"Ativo",Tabela3[[#This Row],[PAPEL]])&gt;1,1,GETPIVOTDATA("Payout",'Tabela LL'!$A$3,"Ativo",Tabela3[[#This Row],[PAPEL]]))</f>
        <v>0.61566379005177641</v>
      </c>
      <c r="J102" s="6">
        <f>[Patrimônio Líquido]/[Total Ações]</f>
        <v>20.52145480810497</v>
      </c>
      <c r="K102" s="52">
        <f>MAX(Tabela3[[#This Row],[Cotação 1]],Tabela3[[#This Row],[Cotação 2]])</f>
        <v>44.5</v>
      </c>
      <c r="L102" s="48">
        <f>[Cotação]/[VPA]</f>
        <v>2.168462246761603</v>
      </c>
      <c r="M102" s="44">
        <f>IF(Tabela3[[#This Row],[Lucro/Ação Ano]]&gt;0,Tabela3[[#This Row],[Cotação]]/Tabela3[[#This Row],[Lucro/Ação Ano]],0)</f>
        <v>17.253330616218694</v>
      </c>
      <c r="N102" s="6">
        <f>ROUND(Tabela3[[#This Row],[Lucro Prev]]/10%,2)</f>
        <v>15.88</v>
      </c>
      <c r="O102" s="61">
        <f>MIN(Tabela3[[#This Row],[10% Rent]],Tabela3[[#This Row],[VPA]]*3.5)</f>
        <v>15.88</v>
      </c>
      <c r="P102" s="19">
        <f>Tabela3[[#This Row],[P Compra]]/Tabela3[[#This Row],[Cotação]]-1</f>
        <v>-0.64314606741573033</v>
      </c>
      <c r="Q102" s="6">
        <f>Tabela3[[#This Row],[Lucro/Ação Ano]]*Tabela3[[#This Row],[Payout]]</f>
        <v>1.5879275292823716</v>
      </c>
      <c r="R102" s="15" t="str">
        <f>IF(AND([% Yield]&gt;=10%,[PVPA]&lt;=3.5,[PL]&lt;=15,[PL]&gt;0),"Sim","Não")</f>
        <v>Não</v>
      </c>
      <c r="S102" s="46">
        <f>Tabela3[[#This Row],[Lucro Prev]]/Tabela3[[#This Row],[Cotação]]</f>
        <v>3.5683764702974644E-2</v>
      </c>
      <c r="T102" s="14">
        <f>($Z$1/Tabela3[[#This Row],[Cotação]]-MOD($Z$1/Tabela3[[#This Row],[Cotação]],100))</f>
        <v>0</v>
      </c>
      <c r="U102" s="17">
        <f>Tabela3[[#This Row],[Ativos]]*Tabela3[[#This Row],[Lucro Prev]]</f>
        <v>0</v>
      </c>
      <c r="V102" s="5">
        <f>SUMPRODUCT(N(Tabela1[Código]=Tabela3[[#This Row],[PAPEL]]),Tabela1[Fechamento])</f>
        <v>44.5</v>
      </c>
      <c r="W102" s="5">
        <f>SUMPRODUCT(N(Tabela17[Código]=Tabela3[[#This Row],[PAPEL]]),Tabela17[Fechamento])</f>
        <v>0</v>
      </c>
    </row>
    <row r="103" spans="1:23" hidden="1">
      <c r="A103" s="4" t="s">
        <v>14</v>
      </c>
      <c r="B103" s="14" t="s">
        <v>225</v>
      </c>
      <c r="C103" s="15">
        <v>3</v>
      </c>
      <c r="D103" s="6">
        <v>67033392000</v>
      </c>
      <c r="E103" s="6">
        <v>8931828000</v>
      </c>
      <c r="F103" s="42">
        <v>4207274039</v>
      </c>
      <c r="G103" s="15">
        <f>Tabela3[[#This Row],[Lucro Líquido]]/Tabela3[[#This Row],[Total Ações]]</f>
        <v>2.1229489491782543</v>
      </c>
      <c r="H103" s="15">
        <f>Tabela3[[#This Row],[Lucro/Ação]]/Tabela3[[#This Row],[Ref]]*4</f>
        <v>2.8305985989043392</v>
      </c>
      <c r="I103" s="19">
        <f>IF(GETPIVOTDATA("Payout",'Tabela LL'!$A$3,"Ativo",Tabela3[[#This Row],[PAPEL]])&gt;1,1,GETPIVOTDATA("Payout",'Tabela LL'!$A$3,"Ativo",Tabela3[[#This Row],[PAPEL]]))</f>
        <v>0.37734094800257278</v>
      </c>
      <c r="J103" s="6">
        <f>[Patrimônio Líquido]/[Total Ações]</f>
        <v>15.932737297029679</v>
      </c>
      <c r="K103" s="52">
        <f>MAX(Tabela3[[#This Row],[Cotação 1]],Tabela3[[#This Row],[Cotação 2]])</f>
        <v>31.06</v>
      </c>
      <c r="L103" s="48">
        <f>[Cotação]/[VPA]</f>
        <v>1.9494453100529359</v>
      </c>
      <c r="M103" s="44">
        <f>IF(Tabela3[[#This Row],[Lucro/Ação Ano]]&gt;0,Tabela3[[#This Row],[Cotação]]/Tabela3[[#This Row],[Lucro/Ação Ano]],0)</f>
        <v>10.97294403099847</v>
      </c>
      <c r="N103" s="6">
        <f>ROUND(Tabela3[[#This Row],[Lucro Prev]]/10%,2)</f>
        <v>10.68</v>
      </c>
      <c r="O103" s="61">
        <f>MIN(Tabela3[[#This Row],[10% Rent]],Tabela3[[#This Row],[VPA]]*3.5)</f>
        <v>10.68</v>
      </c>
      <c r="P103" s="19">
        <f>Tabela3[[#This Row],[P Compra]]/Tabela3[[#This Row],[Cotação]]-1</f>
        <v>-0.65614938828074698</v>
      </c>
      <c r="Q103" s="6">
        <f>Tabela3[[#This Row],[Lucro/Ação Ano]]*Tabela3[[#This Row],[Payout]]</f>
        <v>1.0681007587253177</v>
      </c>
      <c r="R103" s="15" t="str">
        <f>IF(AND([% Yield]&gt;=10%,[PVPA]&lt;=3.5,[PL]&lt;=15,[PL]&gt;0),"Sim","Não")</f>
        <v>Não</v>
      </c>
      <c r="S103" s="46">
        <f>Tabela3[[#This Row],[Lucro Prev]]/Tabela3[[#This Row],[Cotação]]</f>
        <v>3.4388305174672174E-2</v>
      </c>
      <c r="T103" s="14">
        <f>($Z$1/Tabela3[[#This Row],[Cotação]]-MOD($Z$1/Tabela3[[#This Row],[Cotação]],100))</f>
        <v>0</v>
      </c>
      <c r="U103" s="17">
        <f>Tabela3[[#This Row],[Ativos]]*Tabela3[[#This Row],[Lucro Prev]]</f>
        <v>0</v>
      </c>
      <c r="V103" s="5">
        <f>SUMPRODUCT(N(Tabela1[Código]=Tabela3[[#This Row],[PAPEL]]),Tabela1[Fechamento])</f>
        <v>31.06</v>
      </c>
      <c r="W103" s="5">
        <f>SUMPRODUCT(N(Tabela17[Código]=Tabela3[[#This Row],[PAPEL]]),Tabela17[Fechamento])</f>
        <v>0</v>
      </c>
    </row>
    <row r="104" spans="1:23" hidden="1">
      <c r="A104" s="4" t="s">
        <v>37</v>
      </c>
      <c r="B104" s="14" t="s">
        <v>203</v>
      </c>
      <c r="C104" s="15">
        <v>3</v>
      </c>
      <c r="D104" s="6">
        <v>5136809000</v>
      </c>
      <c r="E104" s="6">
        <v>318427000</v>
      </c>
      <c r="F104" s="42">
        <v>119684430</v>
      </c>
      <c r="G104" s="15">
        <f>Tabela3[[#This Row],[Lucro Líquido]]/Tabela3[[#This Row],[Total Ações]]</f>
        <v>2.6605549276543323</v>
      </c>
      <c r="H104" s="15">
        <f>Tabela3[[#This Row],[Lucro/Ação]]/Tabela3[[#This Row],[Ref]]*4</f>
        <v>3.5474065702057764</v>
      </c>
      <c r="I104" s="19">
        <f>IF(GETPIVOTDATA("Payout",'Tabela LL'!$A$3,"Ativo",Tabela3[[#This Row],[PAPEL]])&gt;1,1,GETPIVOTDATA("Payout",'Tabela LL'!$A$3,"Ativo",Tabela3[[#This Row],[PAPEL]]))</f>
        <v>0.33954720063196125</v>
      </c>
      <c r="J104" s="6">
        <f>[Patrimônio Líquido]/[Total Ações]</f>
        <v>42.919609509775</v>
      </c>
      <c r="K104" s="52">
        <f>MAX(Tabela3[[#This Row],[Cotação 1]],Tabela3[[#This Row],[Cotação 2]])</f>
        <v>35.380000000000003</v>
      </c>
      <c r="L104" s="48">
        <f>[Cotação]/[VPA]</f>
        <v>0.82433182417333406</v>
      </c>
      <c r="M104" s="44">
        <f>IF(Tabela3[[#This Row],[Lucro/Ação Ano]]&gt;0,Tabela3[[#This Row],[Cotação]]/Tabela3[[#This Row],[Lucro/Ação Ano]],0)</f>
        <v>9.9734832474947162</v>
      </c>
      <c r="N104" s="6">
        <f>ROUND(Tabela3[[#This Row],[Lucro Prev]]/10%,2)</f>
        <v>12.05</v>
      </c>
      <c r="O104" s="61">
        <f>MIN(Tabela3[[#This Row],[10% Rent]],Tabela3[[#This Row],[VPA]]*3.5)</f>
        <v>12.05</v>
      </c>
      <c r="P104" s="19">
        <f>Tabela3[[#This Row],[P Compra]]/Tabela3[[#This Row],[Cotação]]-1</f>
        <v>-0.65941209723007344</v>
      </c>
      <c r="Q104" s="6">
        <f>Tabela3[[#This Row],[Lucro/Ação Ano]]*Tabela3[[#This Row],[Payout]]</f>
        <v>1.2045119704167984</v>
      </c>
      <c r="R104" s="15" t="str">
        <f>IF(AND([% Yield]&gt;=10%,[PVPA]&lt;=3.5,[PL]&lt;=15,[PL]&gt;0),"Sim","Não")</f>
        <v>Não</v>
      </c>
      <c r="S104" s="46">
        <f>Tabela3[[#This Row],[Lucro Prev]]/Tabela3[[#This Row],[Cotação]]</f>
        <v>3.4044996337388306E-2</v>
      </c>
      <c r="T104" s="14">
        <f>($Z$1/Tabela3[[#This Row],[Cotação]]-MOD($Z$1/Tabela3[[#This Row],[Cotação]],100))</f>
        <v>0</v>
      </c>
      <c r="U104" s="17">
        <f>Tabela3[[#This Row],[Ativos]]*Tabela3[[#This Row],[Lucro Prev]]</f>
        <v>0</v>
      </c>
      <c r="V104" s="5">
        <f>SUMPRODUCT(N(Tabela1[Código]=Tabela3[[#This Row],[PAPEL]]),Tabela1[Fechamento])</f>
        <v>35.380000000000003</v>
      </c>
      <c r="W104" s="5">
        <f>SUMPRODUCT(N(Tabela17[Código]=Tabela3[[#This Row],[PAPEL]]),Tabela17[Fechamento])</f>
        <v>0</v>
      </c>
    </row>
    <row r="105" spans="1:23" hidden="1">
      <c r="A105" s="4" t="s">
        <v>734</v>
      </c>
      <c r="B105" s="71" t="s">
        <v>737</v>
      </c>
      <c r="C105" s="15">
        <v>3</v>
      </c>
      <c r="D105" s="6">
        <v>1632971000</v>
      </c>
      <c r="E105" s="6">
        <v>264743000</v>
      </c>
      <c r="F105" s="42">
        <v>260378479</v>
      </c>
      <c r="G105" s="15">
        <f>Tabela3[[#This Row],[Lucro Líquido]]/Tabela3[[#This Row],[Total Ações]]</f>
        <v>1.0167622186624725</v>
      </c>
      <c r="H105" s="15">
        <f>Tabela3[[#This Row],[Lucro/Ação]]/Tabela3[[#This Row],[Ref]]*4</f>
        <v>1.3556829582166301</v>
      </c>
      <c r="I105" s="19">
        <f>IF(GETPIVOTDATA("Payout",'Tabela LL'!$A$3,"Ativo",Tabela3[[#This Row],[PAPEL]])&gt;1,1,GETPIVOTDATA("Payout",'Tabela LL'!$A$3,"Ativo",Tabela3[[#This Row],[PAPEL]]))</f>
        <v>0.56851660076308341</v>
      </c>
      <c r="J105" s="6">
        <f>[Patrimônio Líquido]/[Total Ações]</f>
        <v>6.2715283009238254</v>
      </c>
      <c r="K105" s="52">
        <f>MAX(Tabela3[[#This Row],[Cotação 1]],Tabela3[[#This Row],[Cotação 2]])</f>
        <v>23.01</v>
      </c>
      <c r="L105" s="48">
        <f>[Cotação]/[VPA]</f>
        <v>3.6689621565784085</v>
      </c>
      <c r="M105" s="44">
        <f>IF(Tabela3[[#This Row],[Lucro/Ação Ano]]&gt;0,Tabela3[[#This Row],[Cotação]]/Tabela3[[#This Row],[Lucro/Ação Ano]],0)</f>
        <v>16.972994947335717</v>
      </c>
      <c r="N105" s="17">
        <f>ROUND(Tabela3[[#This Row],[Lucro Prev]]/10%,2)</f>
        <v>7.71</v>
      </c>
      <c r="O105" s="13">
        <f>MIN(Tabela3[[#This Row],[10% Rent]],Tabela3[[#This Row],[VPA]]*3.5)</f>
        <v>7.71</v>
      </c>
      <c r="P105" s="19">
        <f>Tabela3[[#This Row],[P Compra]]/Tabela3[[#This Row],[Cotação]]-1</f>
        <v>-0.66492829204693615</v>
      </c>
      <c r="Q105" s="6">
        <f>Tabela3[[#This Row],[Lucro/Ação Ano]]*Tabela3[[#This Row],[Payout]]</f>
        <v>0.77072826711775977</v>
      </c>
      <c r="R105" s="15" t="str">
        <f>IF(AND([% Yield]&gt;=10%,[PVPA]&lt;=3.5,[PL]&lt;=15,[PL]&gt;0),"Sim","Não")</f>
        <v>Não</v>
      </c>
      <c r="S105" s="46">
        <f>Tabela3[[#This Row],[Lucro Prev]]/Tabela3[[#This Row],[Cotação]]</f>
        <v>3.3495361456660572E-2</v>
      </c>
      <c r="T105" s="14">
        <f>($Z$1/Tabela3[[#This Row],[Cotação]]-MOD($Z$1/Tabela3[[#This Row],[Cotação]],100))</f>
        <v>0</v>
      </c>
      <c r="U105" s="17">
        <f>Tabela3[[#This Row],[Ativos]]*Tabela3[[#This Row],[Lucro Prev]]</f>
        <v>0</v>
      </c>
      <c r="V105" s="13">
        <f>SUMPRODUCT(N(Tabela1[Código]=Tabela3[[#This Row],[PAPEL]]),Tabela1[Fechamento])</f>
        <v>0</v>
      </c>
      <c r="W105" s="61">
        <f>SUMPRODUCT(N(Tabela17[Código]=Tabela3[[#This Row],[PAPEL]]),Tabela17[Fechamento])</f>
        <v>23.01</v>
      </c>
    </row>
    <row r="106" spans="1:23" hidden="1">
      <c r="A106" s="4" t="s">
        <v>14</v>
      </c>
      <c r="B106" s="15" t="s">
        <v>270</v>
      </c>
      <c r="C106" s="16">
        <v>3</v>
      </c>
      <c r="D106" s="6">
        <v>32199000000</v>
      </c>
      <c r="E106" s="5">
        <v>3922000000</v>
      </c>
      <c r="F106" s="21">
        <v>5470667261</v>
      </c>
      <c r="G106" s="16">
        <f>Tabela3[[#This Row],[Lucro Líquido]]/Tabela3[[#This Row],[Total Ações]]</f>
        <v>0.71691437495379418</v>
      </c>
      <c r="H106" s="16">
        <f>Tabela3[[#This Row],[Lucro/Ação]]/Tabela3[[#This Row],[Ref]]*4</f>
        <v>0.9558858332717256</v>
      </c>
      <c r="I106" s="18">
        <f>IF(GETPIVOTDATA("Payout",'Tabela LL'!$A$3,"Ativo",Tabela3[[#This Row],[PAPEL]])&gt;1,1,GETPIVOTDATA("Payout",'Tabela LL'!$A$3,"Ativo",Tabela3[[#This Row],[PAPEL]]))</f>
        <v>0.41787587719990676</v>
      </c>
      <c r="J106" s="5">
        <f>[Patrimônio Líquido]/[Total Ações]</f>
        <v>5.8857536866744562</v>
      </c>
      <c r="K106" s="58">
        <f>MAX(Tabela3[[#This Row],[Cotação 1]],Tabela3[[#This Row],[Cotação 2]])</f>
        <v>12</v>
      </c>
      <c r="L106" s="59">
        <f>[Cotação]/[VPA]</f>
        <v>2.0388213028976057</v>
      </c>
      <c r="M106" s="40">
        <f>IF(Tabela3[[#This Row],[Lucro/Ação Ano]]&gt;0,Tabela3[[#This Row],[Cotação]]/Tabela3[[#This Row],[Lucro/Ação Ano]],0)</f>
        <v>12.553800445945944</v>
      </c>
      <c r="N106" s="5">
        <f>ROUND(Tabela3[[#This Row],[Lucro Prev]]/10%,2)</f>
        <v>3.99</v>
      </c>
      <c r="O106" s="60">
        <f>MIN(Tabela3[[#This Row],[10% Rent]],Tabela3[[#This Row],[VPA]]*3.5)</f>
        <v>3.99</v>
      </c>
      <c r="P106" s="18">
        <f>Tabela3[[#This Row],[P Compra]]/Tabela3[[#This Row],[Cotação]]-1</f>
        <v>-0.66749999999999998</v>
      </c>
      <c r="Q106" s="5">
        <f>Tabela3[[#This Row],[Lucro/Ação Ano]]*Tabela3[[#This Row],[Payout]]</f>
        <v>0.39944163108138614</v>
      </c>
      <c r="R106" s="16" t="str">
        <f>IF(AND([% Yield]&gt;=10%,[PVPA]&lt;=3.5,[PL]&lt;=15,[PL]&gt;0),"Sim","Não")</f>
        <v>Não</v>
      </c>
      <c r="S106" s="22">
        <f>Tabela3[[#This Row],[Lucro Prev]]/Tabela3[[#This Row],[Cotação]]</f>
        <v>3.3286802590115509E-2</v>
      </c>
      <c r="T106" s="10">
        <f>($Z$1/Tabela3[[#This Row],[Cotação]]-MOD($Z$1/Tabela3[[#This Row],[Cotação]],100))</f>
        <v>0</v>
      </c>
      <c r="U106" s="7">
        <f>Tabela3[[#This Row],[Ativos]]*Tabela3[[#This Row],[Lucro Prev]]</f>
        <v>0</v>
      </c>
      <c r="V106" s="5">
        <f>SUMPRODUCT(N(Tabela1[Código]=Tabela3[[#This Row],[PAPEL]]),Tabela1[Fechamento])</f>
        <v>12</v>
      </c>
      <c r="W106" s="5">
        <f>SUMPRODUCT(N(Tabela17[Código]=Tabela3[[#This Row],[PAPEL]]),Tabela17[Fechamento])</f>
        <v>0</v>
      </c>
    </row>
    <row r="107" spans="1:23" hidden="1">
      <c r="A107" s="4" t="s">
        <v>40</v>
      </c>
      <c r="B107" s="14" t="s">
        <v>318</v>
      </c>
      <c r="C107" s="15">
        <v>3</v>
      </c>
      <c r="D107" s="5">
        <v>509526000</v>
      </c>
      <c r="E107" s="5">
        <v>33359000</v>
      </c>
      <c r="F107" s="21">
        <v>31485170</v>
      </c>
      <c r="G107" s="73">
        <f>Tabela3[[#This Row],[Lucro Líquido]]/Tabela3[[#This Row],[Total Ações]]</f>
        <v>1.0595146858028717</v>
      </c>
      <c r="H107" s="15">
        <f>Tabela3[[#This Row],[Lucro/Ação]]/Tabela3[[#This Row],[Ref]]*4</f>
        <v>1.4126862477371622</v>
      </c>
      <c r="I107" s="19">
        <f>IF(GETPIVOTDATA("Payout",'Tabela LL'!$A$3,"Ativo",Tabela3[[#This Row],[PAPEL]])&gt;1,1,GETPIVOTDATA("Payout",'Tabela LL'!$A$3,"Ativo",Tabela3[[#This Row],[PAPEL]]))</f>
        <v>0.23695478536753822</v>
      </c>
      <c r="J107" s="6">
        <f>[Patrimônio Líquido]/[Total Ações]</f>
        <v>16.183047447417309</v>
      </c>
      <c r="K107" s="52">
        <f>MAX(Tabela3[[#This Row],[Cotação 1]],Tabela3[[#This Row],[Cotação 2]])</f>
        <v>10.91</v>
      </c>
      <c r="L107" s="48">
        <f>[Cotação]/[VPA]</f>
        <v>0.67416226983510164</v>
      </c>
      <c r="M107" s="44">
        <f>IF(Tabela3[[#This Row],[Lucro/Ação Ano]]&gt;0,Tabela3[[#This Row],[Cotação]]/Tabela3[[#This Row],[Lucro/Ação Ano]],0)</f>
        <v>7.7228754916214513</v>
      </c>
      <c r="N107" s="13">
        <f>ROUND(Tabela3[[#This Row],[Lucro Prev]]/10%,2)</f>
        <v>3.35</v>
      </c>
      <c r="O107" s="13">
        <f>MIN(Tabela3[[#This Row],[10% Rent]],Tabela3[[#This Row],[VPA]]*3.5)</f>
        <v>3.35</v>
      </c>
      <c r="P107" s="19">
        <f>Tabela3[[#This Row],[P Compra]]/Tabela3[[#This Row],[Cotação]]-1</f>
        <v>-0.69294225481209892</v>
      </c>
      <c r="Q107" s="6">
        <f>Tabela3[[#This Row],[Lucro/Ação Ano]]*Tabela3[[#This Row],[Payout]]</f>
        <v>0.33474276662423219</v>
      </c>
      <c r="R107" s="15" t="str">
        <f>IF(AND([% Yield]&gt;=10%,[PVPA]&lt;=3.5,[PL]&lt;=15,[PL]&gt;0),"Sim","Não")</f>
        <v>Não</v>
      </c>
      <c r="S107" s="46">
        <f>Tabela3[[#This Row],[Lucro Prev]]/Tabela3[[#This Row],[Cotação]]</f>
        <v>3.0682196757491492E-2</v>
      </c>
      <c r="T107" s="14">
        <f>($Z$1/Tabela3[[#This Row],[Cotação]]-MOD($Z$1/Tabela3[[#This Row],[Cotação]],100))</f>
        <v>0</v>
      </c>
      <c r="U107" s="17">
        <f>Tabela3[[#This Row],[Ativos]]*Tabela3[[#This Row],[Lucro Prev]]</f>
        <v>0</v>
      </c>
      <c r="V107" s="13">
        <f>SUMPRODUCT(N(Tabela1[Código]=Tabela3[[#This Row],[PAPEL]]),Tabela1[Fechamento])</f>
        <v>0</v>
      </c>
      <c r="W107" s="13">
        <f>SUMPRODUCT(N(Tabela17[Código]=Tabela3[[#This Row],[PAPEL]]),Tabela17[Fechamento])</f>
        <v>10.91</v>
      </c>
    </row>
    <row r="108" spans="1:23" hidden="1">
      <c r="A108" s="4" t="s">
        <v>708</v>
      </c>
      <c r="B108" s="71" t="s">
        <v>714</v>
      </c>
      <c r="C108" s="15">
        <v>3</v>
      </c>
      <c r="D108" s="6">
        <v>735745000</v>
      </c>
      <c r="E108" s="6">
        <v>39503000</v>
      </c>
      <c r="F108" s="42">
        <v>105765903</v>
      </c>
      <c r="G108" s="15">
        <f>Tabela3[[#This Row],[Lucro Líquido]]/Tabela3[[#This Row],[Total Ações]]</f>
        <v>0.37349466018363214</v>
      </c>
      <c r="H108" s="15">
        <f>Tabela3[[#This Row],[Lucro/Ação]]/Tabela3[[#This Row],[Ref]]*4</f>
        <v>0.49799288024484284</v>
      </c>
      <c r="I108" s="19">
        <f>IF(GETPIVOTDATA("Payout",'Tabela LL'!$A$3,"Ativo",Tabela3[[#This Row],[PAPEL]])&gt;1,1,GETPIVOTDATA("Payout",'Tabela LL'!$A$3,"Ativo",Tabela3[[#This Row],[PAPEL]]))</f>
        <v>0.2407568567064774</v>
      </c>
      <c r="J108" s="6">
        <f>[Patrimônio Líquido]/[Total Ações]</f>
        <v>6.9563534100399069</v>
      </c>
      <c r="K108" s="52">
        <f>MAX(Tabela3[[#This Row],[Cotação 1]],Tabela3[[#This Row],[Cotação 2]])</f>
        <v>3.99</v>
      </c>
      <c r="L108" s="48">
        <f>[Cotação]/[VPA]</f>
        <v>0.57357637900359504</v>
      </c>
      <c r="M108" s="44">
        <f>IF(Tabela3[[#This Row],[Lucro/Ação Ano]]&gt;0,Tabela3[[#This Row],[Cotação]]/Tabela3[[#This Row],[Lucro/Ação Ano]],0)</f>
        <v>8.0121627402349205</v>
      </c>
      <c r="N108" s="17">
        <f>ROUND(Tabela3[[#This Row],[Lucro Prev]]/10%,2)</f>
        <v>1.2</v>
      </c>
      <c r="O108" s="13">
        <f>MIN(Tabela3[[#This Row],[10% Rent]],Tabela3[[#This Row],[VPA]]*3.5)</f>
        <v>1.2</v>
      </c>
      <c r="P108" s="19">
        <f>Tabela3[[#This Row],[P Compra]]/Tabela3[[#This Row],[Cotação]]-1</f>
        <v>-0.6992481203007519</v>
      </c>
      <c r="Q108" s="6">
        <f>Tabela3[[#This Row],[Lucro/Ação Ano]]*Tabela3[[#This Row],[Payout]]</f>
        <v>0.11989520050995359</v>
      </c>
      <c r="R108" s="15" t="str">
        <f>IF(AND([% Yield]&gt;=10%,[PVPA]&lt;=3.5,[PL]&lt;=15,[PL]&gt;0),"Sim","Não")</f>
        <v>Não</v>
      </c>
      <c r="S108" s="46">
        <f>Tabela3[[#This Row],[Lucro Prev]]/Tabela3[[#This Row],[Cotação]]</f>
        <v>3.0048922433572326E-2</v>
      </c>
      <c r="T108" s="14">
        <f>($Z$1/Tabela3[[#This Row],[Cotação]]-MOD($Z$1/Tabela3[[#This Row],[Cotação]],100))</f>
        <v>200</v>
      </c>
      <c r="U108" s="17">
        <f>Tabela3[[#This Row],[Ativos]]*Tabela3[[#This Row],[Lucro Prev]]</f>
        <v>23.979040101990716</v>
      </c>
      <c r="V108" s="13">
        <f>SUMPRODUCT(N(Tabela1[Código]=Tabela3[[#This Row],[PAPEL]]),Tabela1[Fechamento])</f>
        <v>0</v>
      </c>
      <c r="W108" s="61">
        <f>SUMPRODUCT(N(Tabela17[Código]=Tabela3[[#This Row],[PAPEL]]),Tabela17[Fechamento])</f>
        <v>3.99</v>
      </c>
    </row>
    <row r="109" spans="1:23" hidden="1">
      <c r="A109" s="3" t="s">
        <v>340</v>
      </c>
      <c r="B109" s="74" t="s">
        <v>337</v>
      </c>
      <c r="C109" s="16">
        <v>3</v>
      </c>
      <c r="D109" s="5">
        <v>264517000</v>
      </c>
      <c r="E109" s="5">
        <v>37183000</v>
      </c>
      <c r="F109" s="21">
        <v>24948000</v>
      </c>
      <c r="G109" s="72">
        <f>Tabela3[[#This Row],[Lucro Líquido]]/Tabela3[[#This Row],[Total Ações]]</f>
        <v>1.490420073753407</v>
      </c>
      <c r="H109" s="16">
        <f>Tabela3[[#This Row],[Lucro/Ação]]/Tabela3[[#This Row],[Ref]]*4</f>
        <v>1.9872267650045428</v>
      </c>
      <c r="I109" s="18">
        <f>IF(GETPIVOTDATA("Payout",'Tabela LL'!$A$3,"Ativo",Tabela3[[#This Row],[PAPEL]])&gt;1,1,GETPIVOTDATA("Payout",'Tabela LL'!$A$3,"Ativo",Tabela3[[#This Row],[PAPEL]]))</f>
        <v>0.22362663562799309</v>
      </c>
      <c r="J109" s="5">
        <f>[Patrimônio Líquido]/[Total Ações]</f>
        <v>10.602733686067019</v>
      </c>
      <c r="K109" s="58">
        <f>MAX(Tabela3[[#This Row],[Cotação 1]],Tabela3[[#This Row],[Cotação 2]])</f>
        <v>15.09</v>
      </c>
      <c r="L109" s="59">
        <f>[Cotação]/[VPA]</f>
        <v>1.423217865014347</v>
      </c>
      <c r="M109" s="40">
        <f>IF(Tabela3[[#This Row],[Lucro/Ação Ano]]&gt;0,Tabela3[[#This Row],[Cotação]]/Tabela3[[#This Row],[Lucro/Ação Ano]],0)</f>
        <v>7.5934967592717104</v>
      </c>
      <c r="N109" s="7">
        <f>ROUND(Tabela3[[#This Row],[Lucro Prev]]/10%,2)</f>
        <v>4.4400000000000004</v>
      </c>
      <c r="O109" s="51">
        <f>MIN(Tabela3[[#This Row],[10% Rent]],Tabela3[[#This Row],[VPA]]*3.5)</f>
        <v>4.4400000000000004</v>
      </c>
      <c r="P109" s="18">
        <f>Tabela3[[#This Row],[P Compra]]/Tabela3[[#This Row],[Cotação]]-1</f>
        <v>-0.70576540755467199</v>
      </c>
      <c r="Q109" s="5">
        <f>Tabela3[[#This Row],[Lucro/Ação Ano]]*Tabela3[[#This Row],[Payout]]</f>
        <v>0.44439683568786637</v>
      </c>
      <c r="R109" s="16" t="str">
        <f>IF(AND([% Yield]&gt;=10%,[PVPA]&lt;=3.5,[PL]&lt;=15,[PL]&gt;0),"Sim","Não")</f>
        <v>Não</v>
      </c>
      <c r="S109" s="22">
        <f>Tabela3[[#This Row],[Lucro Prev]]/Tabela3[[#This Row],[Cotação]]</f>
        <v>2.944975716950738E-2</v>
      </c>
      <c r="T109" s="10">
        <f>($Z$1/Tabela3[[#This Row],[Cotação]]-MOD($Z$1/Tabela3[[#This Row],[Cotação]],100))</f>
        <v>0</v>
      </c>
      <c r="U109" s="7">
        <f>Tabela3[[#This Row],[Ativos]]*Tabela3[[#This Row],[Lucro Prev]]</f>
        <v>0</v>
      </c>
      <c r="V109" s="51">
        <f>SUMPRODUCT(N(Tabela1[Código]=Tabela3[[#This Row],[PAPEL]]),Tabela1[Fechamento])</f>
        <v>0</v>
      </c>
      <c r="W109" s="60">
        <f>SUMPRODUCT(N(Tabela17[Código]=Tabela3[[#This Row],[PAPEL]]),Tabela17[Fechamento])</f>
        <v>15.09</v>
      </c>
    </row>
    <row r="110" spans="1:23" hidden="1">
      <c r="A110" s="4" t="s">
        <v>462</v>
      </c>
      <c r="B110" s="71" t="s">
        <v>461</v>
      </c>
      <c r="C110" s="15">
        <v>3</v>
      </c>
      <c r="D110" s="6">
        <v>4373556000</v>
      </c>
      <c r="E110" s="6">
        <v>449642000</v>
      </c>
      <c r="F110" s="42">
        <v>605059489</v>
      </c>
      <c r="G110" s="73">
        <f>Tabela3[[#This Row],[Lucro Líquido]]/Tabela3[[#This Row],[Total Ações]]</f>
        <v>0.7431368455077646</v>
      </c>
      <c r="H110" s="15">
        <f>Tabela3[[#This Row],[Lucro/Ação]]/Tabela3[[#This Row],[Ref]]*4</f>
        <v>0.99084912734368613</v>
      </c>
      <c r="I110" s="19">
        <f>IF(GETPIVOTDATA("Payout",'Tabela LL'!$A$3,"Ativo",Tabela3[[#This Row],[PAPEL]])&gt;1,1,GETPIVOTDATA("Payout",'Tabela LL'!$A$3,"Ativo",Tabela3[[#This Row],[PAPEL]]))</f>
        <v>0.3688272793184682</v>
      </c>
      <c r="J110" s="6">
        <f>[Patrimônio Líquido]/[Total Ações]</f>
        <v>7.2283074301145289</v>
      </c>
      <c r="K110" s="52">
        <f>MAX(Tabela3[[#This Row],[Cotação 1]],Tabela3[[#This Row],[Cotação 2]])</f>
        <v>12.44</v>
      </c>
      <c r="L110" s="48">
        <f>[Cotação]/[VPA]</f>
        <v>1.7210114705653705</v>
      </c>
      <c r="M110" s="44">
        <f>IF(Tabela3[[#This Row],[Lucro/Ação Ano]]&gt;0,Tabela3[[#This Row],[Cotação]]/Tabela3[[#This Row],[Lucro/Ação Ano]],0)</f>
        <v>12.554888182976679</v>
      </c>
      <c r="N110" s="17">
        <f>ROUND(Tabela3[[#This Row],[Lucro Prev]]/10%,2)</f>
        <v>3.65</v>
      </c>
      <c r="O110" s="13">
        <f>MIN(Tabela3[[#This Row],[10% Rent]],Tabela3[[#This Row],[VPA]]*3.5)</f>
        <v>3.65</v>
      </c>
      <c r="P110" s="19">
        <f>Tabela3[[#This Row],[P Compra]]/Tabela3[[#This Row],[Cotação]]-1</f>
        <v>-0.70659163987138263</v>
      </c>
      <c r="Q110" s="6">
        <f>Tabela3[[#This Row],[Lucro/Ação Ano]]*Tabela3[[#This Row],[Payout]]</f>
        <v>0.36545218785325018</v>
      </c>
      <c r="R110" s="15" t="str">
        <f>IF(AND([% Yield]&gt;=10%,[PVPA]&lt;=3.5,[PL]&lt;=15,[PL]&gt;0),"Sim","Não")</f>
        <v>Não</v>
      </c>
      <c r="S110" s="46">
        <f>Tabela3[[#This Row],[Lucro Prev]]/Tabela3[[#This Row],[Cotação]]</f>
        <v>2.9377185518750015E-2</v>
      </c>
      <c r="T110" s="14">
        <f>($Z$1/Tabela3[[#This Row],[Cotação]]-MOD($Z$1/Tabela3[[#This Row],[Cotação]],100))</f>
        <v>0</v>
      </c>
      <c r="U110" s="17">
        <f>Tabela3[[#This Row],[Ativos]]*Tabela3[[#This Row],[Lucro Prev]]</f>
        <v>0</v>
      </c>
      <c r="V110" s="13">
        <f>SUMPRODUCT(N(Tabela1[Código]=Tabela3[[#This Row],[PAPEL]]),Tabela1[Fechamento])</f>
        <v>0</v>
      </c>
      <c r="W110" s="61">
        <f>SUMPRODUCT(N(Tabela17[Código]=Tabela3[[#This Row],[PAPEL]]),Tabela17[Fechamento])</f>
        <v>12.44</v>
      </c>
    </row>
    <row r="111" spans="1:23" hidden="1">
      <c r="A111" s="4" t="s">
        <v>26</v>
      </c>
      <c r="B111" s="14" t="s">
        <v>272</v>
      </c>
      <c r="C111" s="15">
        <v>3</v>
      </c>
      <c r="D111" s="6">
        <v>5318159000</v>
      </c>
      <c r="E111" s="6">
        <v>472452000</v>
      </c>
      <c r="F111" s="42">
        <v>323293030</v>
      </c>
      <c r="G111" s="15">
        <f>Tabela3[[#This Row],[Lucro Líquido]]/Tabela3[[#This Row],[Total Ações]]</f>
        <v>1.4613739120821752</v>
      </c>
      <c r="H111" s="15">
        <f>Tabela3[[#This Row],[Lucro/Ação]]/Tabela3[[#This Row],[Ref]]*4</f>
        <v>1.9484985494429001</v>
      </c>
      <c r="I111" s="19">
        <f>IF(GETPIVOTDATA("Payout",'Tabela LL'!$A$3,"Ativo",Tabela3[[#This Row],[PAPEL]])&gt;1,1,GETPIVOTDATA("Payout",'Tabela LL'!$A$3,"Ativo",Tabela3[[#This Row],[PAPEL]]))</f>
        <v>0.43307716407622709</v>
      </c>
      <c r="J111" s="6">
        <f>[Patrimônio Líquido]/[Total Ações]</f>
        <v>16.449964912636688</v>
      </c>
      <c r="K111" s="52">
        <f>MAX(Tabela3[[#This Row],[Cotação 1]],Tabela3[[#This Row],[Cotação 2]])</f>
        <v>28.89</v>
      </c>
      <c r="L111" s="48">
        <f>[Cotação]/[VPA]</f>
        <v>1.7562347490362737</v>
      </c>
      <c r="M111" s="44">
        <f>IF(Tabela3[[#This Row],[Lucro/Ação Ano]]&gt;0,Tabela3[[#This Row],[Cotação]]/Tabela3[[#This Row],[Lucro/Ação Ano]],0)</f>
        <v>14.82680087612075</v>
      </c>
      <c r="N111" s="6">
        <f>ROUND(Tabela3[[#This Row],[Lucro Prev]]/10%,2)</f>
        <v>8.44</v>
      </c>
      <c r="O111" s="61">
        <f>MIN(Tabela3[[#This Row],[10% Rent]],Tabela3[[#This Row],[VPA]]*3.5)</f>
        <v>8.44</v>
      </c>
      <c r="P111" s="19">
        <f>Tabela3[[#This Row],[P Compra]]/Tabela3[[#This Row],[Cotação]]-1</f>
        <v>-0.70785739010038085</v>
      </c>
      <c r="Q111" s="6">
        <f>Tabela3[[#This Row],[Lucro/Ação Ano]]*Tabela3[[#This Row],[Payout]]</f>
        <v>0.84385022599937332</v>
      </c>
      <c r="R111" s="15" t="str">
        <f>IF(AND([% Yield]&gt;=10%,[PVPA]&lt;=3.5,[PL]&lt;=15,[PL]&gt;0),"Sim","Não")</f>
        <v>Não</v>
      </c>
      <c r="S111" s="46">
        <f>Tabela3[[#This Row],[Lucro Prev]]/Tabela3[[#This Row],[Cotação]]</f>
        <v>2.9209076704720432E-2</v>
      </c>
      <c r="T111" s="14">
        <f>($Z$1/Tabela3[[#This Row],[Cotação]]-MOD($Z$1/Tabela3[[#This Row],[Cotação]],100))</f>
        <v>0</v>
      </c>
      <c r="U111" s="17">
        <f>Tabela3[[#This Row],[Ativos]]*Tabela3[[#This Row],[Lucro Prev]]</f>
        <v>0</v>
      </c>
      <c r="V111" s="5">
        <f>SUMPRODUCT(N(Tabela1[Código]=Tabela3[[#This Row],[PAPEL]]),Tabela1[Fechamento])</f>
        <v>28.89</v>
      </c>
      <c r="W111" s="5">
        <f>SUMPRODUCT(N(Tabela17[Código]=Tabela3[[#This Row],[PAPEL]]),Tabela17[Fechamento])</f>
        <v>0</v>
      </c>
    </row>
    <row r="112" spans="1:23" hidden="1">
      <c r="A112" s="3" t="s">
        <v>348</v>
      </c>
      <c r="B112" s="74" t="s">
        <v>346</v>
      </c>
      <c r="C112" s="16">
        <v>3</v>
      </c>
      <c r="D112" s="5">
        <v>1326579000</v>
      </c>
      <c r="E112" s="5">
        <v>106731000</v>
      </c>
      <c r="F112" s="21">
        <v>149714346</v>
      </c>
      <c r="G112" s="72">
        <f>Tabela3[[#This Row],[Lucro Líquido]]/Tabela3[[#This Row],[Total Ações]]</f>
        <v>0.71289761369962501</v>
      </c>
      <c r="H112" s="16">
        <f>Tabela3[[#This Row],[Lucro/Ação]]/Tabela3[[#This Row],[Ref]]*4</f>
        <v>0.95053015159950005</v>
      </c>
      <c r="I112" s="18">
        <f>IF(GETPIVOTDATA("Payout",'Tabela LL'!$A$3,"Ativo",Tabela3[[#This Row],[PAPEL]])&gt;1,1,GETPIVOTDATA("Payout",'Tabela LL'!$A$3,"Ativo",Tabela3[[#This Row],[PAPEL]]))</f>
        <v>0.23785571475872622</v>
      </c>
      <c r="J112" s="5">
        <f>[Patrimônio Líquido]/[Total Ações]</f>
        <v>8.8607340274525193</v>
      </c>
      <c r="K112" s="58">
        <f>MAX(Tabela3[[#This Row],[Cotação 1]],Tabela3[[#This Row],[Cotação 2]])</f>
        <v>8.39</v>
      </c>
      <c r="L112" s="59">
        <f>[Cotação]/[VPA]</f>
        <v>0.94687414993000807</v>
      </c>
      <c r="M112" s="40">
        <f>IF(Tabela3[[#This Row],[Lucro/Ação Ano]]&gt;0,Tabela3[[#This Row],[Cotação]]/Tabela3[[#This Row],[Lucro/Ação Ano]],0)</f>
        <v>8.8266531954633614</v>
      </c>
      <c r="N112" s="7">
        <f>ROUND(Tabela3[[#This Row],[Lucro Prev]]/10%,2)</f>
        <v>2.2599999999999998</v>
      </c>
      <c r="O112" s="51">
        <f>MIN(Tabela3[[#This Row],[10% Rent]],Tabela3[[#This Row],[VPA]]*3.5)</f>
        <v>2.2599999999999998</v>
      </c>
      <c r="P112" s="18">
        <f>Tabela3[[#This Row],[P Compra]]/Tabela3[[#This Row],[Cotação]]-1</f>
        <v>-0.73063170441001191</v>
      </c>
      <c r="Q112" s="5">
        <f>Tabela3[[#This Row],[Lucro/Ação Ano]]*Tabela3[[#This Row],[Payout]]</f>
        <v>0.22608902860841948</v>
      </c>
      <c r="R112" s="16" t="str">
        <f>IF(AND([% Yield]&gt;=10%,[PVPA]&lt;=3.5,[PL]&lt;=15,[PL]&gt;0),"Sim","Não")</f>
        <v>Não</v>
      </c>
      <c r="S112" s="22">
        <f>Tabela3[[#This Row],[Lucro Prev]]/Tabela3[[#This Row],[Cotação]]</f>
        <v>2.6947440835330089E-2</v>
      </c>
      <c r="T112" s="10">
        <f>($Z$1/Tabela3[[#This Row],[Cotação]]-MOD($Z$1/Tabela3[[#This Row],[Cotação]],100))</f>
        <v>100</v>
      </c>
      <c r="U112" s="7">
        <f>Tabela3[[#This Row],[Ativos]]*Tabela3[[#This Row],[Lucro Prev]]</f>
        <v>22.608902860841948</v>
      </c>
      <c r="V112" s="51">
        <f>SUMPRODUCT(N(Tabela1[Código]=Tabela3[[#This Row],[PAPEL]]),Tabela1[Fechamento])</f>
        <v>0</v>
      </c>
      <c r="W112" s="60">
        <f>SUMPRODUCT(N(Tabela17[Código]=Tabela3[[#This Row],[PAPEL]]),Tabela17[Fechamento])</f>
        <v>8.39</v>
      </c>
    </row>
    <row r="113" spans="1:23" hidden="1">
      <c r="A113" s="4" t="s">
        <v>14</v>
      </c>
      <c r="B113" s="15" t="s">
        <v>247</v>
      </c>
      <c r="C113" s="16">
        <v>3</v>
      </c>
      <c r="D113" s="5">
        <v>1002748000</v>
      </c>
      <c r="E113" s="5">
        <v>143437000</v>
      </c>
      <c r="F113" s="21">
        <v>36304650</v>
      </c>
      <c r="G113" s="16">
        <f>Tabela3[[#This Row],[Lucro Líquido]]/Tabela3[[#This Row],[Total Ações]]</f>
        <v>3.9509263964808916</v>
      </c>
      <c r="H113" s="16">
        <f>Tabela3[[#This Row],[Lucro/Ação]]/Tabela3[[#This Row],[Ref]]*4</f>
        <v>5.2679018619745221</v>
      </c>
      <c r="I113" s="18">
        <f>IF(GETPIVOTDATA("Payout",'Tabela LL'!$A$3,"Ativo",Tabela3[[#This Row],[PAPEL]])&gt;1,1,GETPIVOTDATA("Payout",'Tabela LL'!$A$3,"Ativo",Tabela3[[#This Row],[PAPEL]]))</f>
        <v>0.14691424979139903</v>
      </c>
      <c r="J113" s="5">
        <f>[Patrimônio Líquido]/[Total Ações]</f>
        <v>27.620373698685981</v>
      </c>
      <c r="K113" s="58">
        <f>MAX(Tabela3[[#This Row],[Cotação 1]],Tabela3[[#This Row],[Cotação 2]])</f>
        <v>29.02</v>
      </c>
      <c r="L113" s="59">
        <f>[Cotação]/[VPA]</f>
        <v>1.0506736916952215</v>
      </c>
      <c r="M113" s="40">
        <f>IF(Tabela3[[#This Row],[Lucro/Ação Ano]]&gt;0,Tabela3[[#This Row],[Cotação]]/Tabela3[[#This Row],[Lucro/Ação Ano]],0)</f>
        <v>5.5088345911445442</v>
      </c>
      <c r="N113" s="5">
        <f>ROUND(Tabela3[[#This Row],[Lucro Prev]]/10%,2)</f>
        <v>7.74</v>
      </c>
      <c r="O113" s="60">
        <f>MIN(Tabela3[[#This Row],[10% Rent]],Tabela3[[#This Row],[VPA]]*3.5)</f>
        <v>7.74</v>
      </c>
      <c r="P113" s="18">
        <f>Tabela3[[#This Row],[P Compra]]/Tabela3[[#This Row],[Cotação]]-1</f>
        <v>-0.7332873880082702</v>
      </c>
      <c r="Q113" s="5">
        <f>Tabela3[[#This Row],[Lucro/Ação Ano]]*Tabela3[[#This Row],[Payout]]</f>
        <v>0.77392985002670101</v>
      </c>
      <c r="R113" s="16" t="str">
        <f>IF(AND([% Yield]&gt;=10%,[PVPA]&lt;=3.5,[PL]&lt;=15,[PL]&gt;0),"Sim","Não")</f>
        <v>Não</v>
      </c>
      <c r="S113" s="22">
        <f>Tabela3[[#This Row],[Lucro Prev]]/Tabela3[[#This Row],[Cotação]]</f>
        <v>2.6668843901678188E-2</v>
      </c>
      <c r="T113" s="10">
        <f>($Z$1/Tabela3[[#This Row],[Cotação]]-MOD($Z$1/Tabela3[[#This Row],[Cotação]],100))</f>
        <v>0</v>
      </c>
      <c r="U113" s="7">
        <f>Tabela3[[#This Row],[Ativos]]*Tabela3[[#This Row],[Lucro Prev]]</f>
        <v>0</v>
      </c>
      <c r="V113" s="5">
        <f>SUMPRODUCT(N(Tabela1[Código]=Tabela3[[#This Row],[PAPEL]]),Tabela1[Fechamento])</f>
        <v>29.02</v>
      </c>
      <c r="W113" s="5">
        <f>SUMPRODUCT(N(Tabela17[Código]=Tabela3[[#This Row],[PAPEL]]),Tabela17[Fechamento])</f>
        <v>0</v>
      </c>
    </row>
    <row r="114" spans="1:23" hidden="1">
      <c r="A114" s="3" t="s">
        <v>361</v>
      </c>
      <c r="B114" s="74" t="s">
        <v>372</v>
      </c>
      <c r="C114" s="16">
        <v>3</v>
      </c>
      <c r="D114" s="5">
        <v>1185190000</v>
      </c>
      <c r="E114" s="5">
        <v>90444000</v>
      </c>
      <c r="F114" s="21">
        <v>12251221</v>
      </c>
      <c r="G114" s="72">
        <f>Tabela3[[#This Row],[Lucro Líquido]]/Tabela3[[#This Row],[Total Ações]]</f>
        <v>7.3824478392806725</v>
      </c>
      <c r="H114" s="16">
        <f>Tabela3[[#This Row],[Lucro/Ação]]/Tabela3[[#This Row],[Ref]]*4</f>
        <v>9.8432637857075633</v>
      </c>
      <c r="I114" s="18">
        <f>IF(GETPIVOTDATA("Payout",'Tabela LL'!$A$3,"Ativo",Tabela3[[#This Row],[PAPEL]])&gt;1,1,GETPIVOTDATA("Payout",'Tabela LL'!$A$3,"Ativo",Tabela3[[#This Row],[PAPEL]]))</f>
        <v>0.42680662187286622</v>
      </c>
      <c r="J114" s="5">
        <f>[Patrimônio Líquido]/[Total Ações]</f>
        <v>96.740561614226039</v>
      </c>
      <c r="K114" s="58">
        <f>MAX(Tabela3[[#This Row],[Cotação 1]],Tabela3[[#This Row],[Cotação 2]])</f>
        <v>158.99</v>
      </c>
      <c r="L114" s="59">
        <f>[Cotação]/[VPA]</f>
        <v>1.6434678210160398</v>
      </c>
      <c r="M114" s="40">
        <f>IF(Tabela3[[#This Row],[Lucro/Ação Ano]]&gt;0,Tabela3[[#This Row],[Cotação]]/Tabela3[[#This Row],[Lucro/Ação Ano]],0)</f>
        <v>16.152162886344037</v>
      </c>
      <c r="N114" s="7">
        <f>ROUND(Tabela3[[#This Row],[Lucro Prev]]/10%,2)</f>
        <v>42.01</v>
      </c>
      <c r="O114" s="51">
        <f>MIN(Tabela3[[#This Row],[10% Rent]],Tabela3[[#This Row],[VPA]]*3.5)</f>
        <v>42.01</v>
      </c>
      <c r="P114" s="18">
        <f>Tabela3[[#This Row],[P Compra]]/Tabela3[[#This Row],[Cotação]]-1</f>
        <v>-0.73576954525441862</v>
      </c>
      <c r="Q114" s="5">
        <f>Tabela3[[#This Row],[Lucro/Ação Ano]]*Tabela3[[#This Row],[Payout]]</f>
        <v>4.2011701645813657</v>
      </c>
      <c r="R114" s="16" t="str">
        <f>IF(AND([% Yield]&gt;=10%,[PVPA]&lt;=3.5,[PL]&lt;=15,[PL]&gt;0),"Sim","Não")</f>
        <v>Não</v>
      </c>
      <c r="S114" s="22">
        <f>Tabela3[[#This Row],[Lucro Prev]]/Tabela3[[#This Row],[Cotação]]</f>
        <v>2.6424115759364524E-2</v>
      </c>
      <c r="T114" s="10">
        <f>($Z$1/Tabela3[[#This Row],[Cotação]]-MOD($Z$1/Tabela3[[#This Row],[Cotação]],100))</f>
        <v>0</v>
      </c>
      <c r="U114" s="7">
        <f>Tabela3[[#This Row],[Ativos]]*Tabela3[[#This Row],[Lucro Prev]]</f>
        <v>0</v>
      </c>
      <c r="V114" s="51">
        <f>SUMPRODUCT(N(Tabela1[Código]=Tabela3[[#This Row],[PAPEL]]),Tabela1[Fechamento])</f>
        <v>0</v>
      </c>
      <c r="W114" s="60">
        <f>SUMPRODUCT(N(Tabela17[Código]=Tabela3[[#This Row],[PAPEL]]),Tabela17[Fechamento])</f>
        <v>158.99</v>
      </c>
    </row>
    <row r="115" spans="1:23" hidden="1">
      <c r="A115" s="4" t="s">
        <v>14</v>
      </c>
      <c r="B115" s="14" t="s">
        <v>79</v>
      </c>
      <c r="C115" s="15">
        <v>3</v>
      </c>
      <c r="D115" s="6">
        <v>699911000</v>
      </c>
      <c r="E115" s="6">
        <v>6746000</v>
      </c>
      <c r="F115" s="42">
        <v>137747421</v>
      </c>
      <c r="G115" s="15">
        <f>Tabela3[[#This Row],[Lucro Líquido]]/Tabela3[[#This Row],[Total Ações]]</f>
        <v>4.8973693670823791E-2</v>
      </c>
      <c r="H115" s="15">
        <f>Tabela3[[#This Row],[Lucro/Ação]]/Tabela3[[#This Row],[Ref]]*4</f>
        <v>6.5298258227765055E-2</v>
      </c>
      <c r="I115" s="19">
        <f>IF(GETPIVOTDATA("Payout",'Tabela LL'!$A$3,"Ativo",Tabela3[[#This Row],[PAPEL]])&gt;1,1,GETPIVOTDATA("Payout",'Tabela LL'!$A$3,"Ativo",Tabela3[[#This Row],[PAPEL]]))</f>
        <v>1</v>
      </c>
      <c r="J115" s="6">
        <f>[Patrimônio Líquido]/[Total Ações]</f>
        <v>5.0811187238126223</v>
      </c>
      <c r="K115" s="52">
        <f>MAX(Tabela3[[#This Row],[Cotação 1]],Tabela3[[#This Row],[Cotação 2]])</f>
        <v>2.65</v>
      </c>
      <c r="L115" s="48">
        <f>[Cotação]/[VPA]</f>
        <v>0.52153868941908321</v>
      </c>
      <c r="M115" s="44">
        <f>IF(Tabela3[[#This Row],[Lucro/Ação Ano]]&gt;0,Tabela3[[#This Row],[Cotação]]/Tabela3[[#This Row],[Lucro/Ação Ano]],0)</f>
        <v>40.583012042321371</v>
      </c>
      <c r="N115" s="6">
        <f>ROUND(Tabela3[[#This Row],[Lucro Prev]]/10%,2)</f>
        <v>0.65</v>
      </c>
      <c r="O115" s="61">
        <f>MIN(Tabela3[[#This Row],[10% Rent]],Tabela3[[#This Row],[VPA]]*3.5)</f>
        <v>0.65</v>
      </c>
      <c r="P115" s="19">
        <f>Tabela3[[#This Row],[P Compra]]/Tabela3[[#This Row],[Cotação]]-1</f>
        <v>-0.75471698113207542</v>
      </c>
      <c r="Q115" s="6">
        <f>Tabela3[[#This Row],[Lucro/Ação Ano]]*Tabela3[[#This Row],[Payout]]</f>
        <v>6.5298258227765055E-2</v>
      </c>
      <c r="R115" s="15" t="str">
        <f>IF(AND([% Yield]&gt;=10%,[PVPA]&lt;=3.5,[PL]&lt;=15,[PL]&gt;0),"Sim","Não")</f>
        <v>Não</v>
      </c>
      <c r="S115" s="46">
        <f>Tabela3[[#This Row],[Lucro Prev]]/Tabela3[[#This Row],[Cotação]]</f>
        <v>2.4640852161420777E-2</v>
      </c>
      <c r="T115" s="14">
        <f>($Z$1/Tabela3[[#This Row],[Cotação]]-MOD($Z$1/Tabela3[[#This Row],[Cotação]],100))</f>
        <v>300</v>
      </c>
      <c r="U115" s="17">
        <f>Tabela3[[#This Row],[Ativos]]*Tabela3[[#This Row],[Lucro Prev]]</f>
        <v>19.589477468329516</v>
      </c>
      <c r="V115" s="5">
        <f>SUMPRODUCT(N(Tabela1[Código]=Tabela3[[#This Row],[PAPEL]]),Tabela1[Fechamento])</f>
        <v>2.65</v>
      </c>
      <c r="W115" s="5">
        <f>SUMPRODUCT(N(Tabela17[Código]=Tabela3[[#This Row],[PAPEL]]),Tabela17[Fechamento])</f>
        <v>0</v>
      </c>
    </row>
    <row r="116" spans="1:23" hidden="1">
      <c r="A116" s="3" t="s">
        <v>361</v>
      </c>
      <c r="B116" s="74" t="s">
        <v>376</v>
      </c>
      <c r="C116" s="16">
        <v>3</v>
      </c>
      <c r="D116" s="5">
        <v>6332530000</v>
      </c>
      <c r="E116" s="5">
        <v>852330000</v>
      </c>
      <c r="F116" s="21">
        <v>544383996</v>
      </c>
      <c r="G116" s="72">
        <f>Tabela3[[#This Row],[Lucro Líquido]]/Tabela3[[#This Row],[Total Ações]]</f>
        <v>1.5656779153368057</v>
      </c>
      <c r="H116" s="16">
        <f>Tabela3[[#This Row],[Lucro/Ação]]/Tabela3[[#This Row],[Ref]]*4</f>
        <v>2.0875705537824074</v>
      </c>
      <c r="I116" s="18">
        <f>IF(GETPIVOTDATA("Payout",'Tabela LL'!$A$3,"Ativo",Tabela3[[#This Row],[PAPEL]])&gt;1,1,GETPIVOTDATA("Payout",'Tabela LL'!$A$3,"Ativo",Tabela3[[#This Row],[PAPEL]]))</f>
        <v>0.60454237373323505</v>
      </c>
      <c r="J116" s="5">
        <f>[Patrimônio Líquido]/[Total Ações]</f>
        <v>11.632469077948427</v>
      </c>
      <c r="K116" s="58">
        <f>MAX(Tabela3[[#This Row],[Cotação 1]],Tabela3[[#This Row],[Cotação 2]])</f>
        <v>53.4</v>
      </c>
      <c r="L116" s="59">
        <f>[Cotação]/[VPA]</f>
        <v>4.5905989211894767</v>
      </c>
      <c r="M116" s="40">
        <f>IF(Tabela3[[#This Row],[Lucro/Ação Ano]]&gt;0,Tabela3[[#This Row],[Cotação]]/Tabela3[[#This Row],[Lucro/Ação Ano]],0)</f>
        <v>25.579973765794939</v>
      </c>
      <c r="N116" s="7">
        <f>ROUND(Tabela3[[#This Row],[Lucro Prev]]/10%,2)</f>
        <v>12.62</v>
      </c>
      <c r="O116" s="51">
        <f>MIN(Tabela3[[#This Row],[10% Rent]],Tabela3[[#This Row],[VPA]]*3.5)</f>
        <v>12.62</v>
      </c>
      <c r="P116" s="18">
        <f>Tabela3[[#This Row],[P Compra]]/Tabela3[[#This Row],[Cotação]]-1</f>
        <v>-0.76367041198501873</v>
      </c>
      <c r="Q116" s="5">
        <f>Tabela3[[#This Row],[Lucro/Ação Ano]]*Tabela3[[#This Row],[Payout]]</f>
        <v>1.2620248579192206</v>
      </c>
      <c r="R116" s="16" t="str">
        <f>IF(AND([% Yield]&gt;=10%,[PVPA]&lt;=3.5,[PL]&lt;=15,[PL]&gt;0),"Sim","Não")</f>
        <v>Não</v>
      </c>
      <c r="S116" s="22">
        <f>Tabela3[[#This Row],[Lucro Prev]]/Tabela3[[#This Row],[Cotação]]</f>
        <v>2.3633424305603383E-2</v>
      </c>
      <c r="T116" s="10">
        <f>($Z$1/Tabela3[[#This Row],[Cotação]]-MOD($Z$1/Tabela3[[#This Row],[Cotação]],100))</f>
        <v>0</v>
      </c>
      <c r="U116" s="7">
        <f>Tabela3[[#This Row],[Ativos]]*Tabela3[[#This Row],[Lucro Prev]]</f>
        <v>0</v>
      </c>
      <c r="V116" s="51">
        <f>SUMPRODUCT(N(Tabela1[Código]=Tabela3[[#This Row],[PAPEL]]),Tabela1[Fechamento])</f>
        <v>0</v>
      </c>
      <c r="W116" s="60">
        <f>SUMPRODUCT(N(Tabela17[Código]=Tabela3[[#This Row],[PAPEL]]),Tabela17[Fechamento])</f>
        <v>53.4</v>
      </c>
    </row>
    <row r="117" spans="1:23" hidden="1">
      <c r="A117" s="3" t="s">
        <v>651</v>
      </c>
      <c r="B117" s="71" t="s">
        <v>696</v>
      </c>
      <c r="C117" s="16">
        <v>3</v>
      </c>
      <c r="D117" s="5">
        <v>984644000</v>
      </c>
      <c r="E117" s="5">
        <v>94588000</v>
      </c>
      <c r="F117" s="21">
        <v>57737317</v>
      </c>
      <c r="G117" s="16">
        <f>Tabela3[[#This Row],[Lucro Líquido]]/Tabela3[[#This Row],[Total Ações]]</f>
        <v>1.6382472361852214</v>
      </c>
      <c r="H117" s="16">
        <f>Tabela3[[#This Row],[Lucro/Ação]]/Tabela3[[#This Row],[Ref]]*4</f>
        <v>2.1843296482469619</v>
      </c>
      <c r="I117" s="18">
        <f>IF(GETPIVOTDATA("Payout",'Tabela LL'!$A$3,"Ativo",Tabela3[[#This Row],[PAPEL]])&gt;1,1,GETPIVOTDATA("Payout",'Tabela LL'!$A$3,"Ativo",Tabela3[[#This Row],[PAPEL]]))</f>
        <v>0.36698912893465502</v>
      </c>
      <c r="J117" s="5">
        <f>[Patrimônio Líquido]/[Total Ações]</f>
        <v>17.053857906144131</v>
      </c>
      <c r="K117" s="58">
        <f>MAX(Tabela3[[#This Row],[Cotação 1]],Tabela3[[#This Row],[Cotação 2]])</f>
        <v>36.799999999999997</v>
      </c>
      <c r="L117" s="59">
        <f>[Cotação]/[VPA]</f>
        <v>2.1578695097923717</v>
      </c>
      <c r="M117" s="40">
        <f>IF(Tabela3[[#This Row],[Lucro/Ação Ano]]&gt;0,Tabela3[[#This Row],[Cotação]]/Tabela3[[#This Row],[Lucro/Ação Ano]],0)</f>
        <v>16.847273958641686</v>
      </c>
      <c r="N117" s="7">
        <f>ROUND(Tabela3[[#This Row],[Lucro Prev]]/10%,2)</f>
        <v>8.02</v>
      </c>
      <c r="O117" s="51">
        <f>MIN(Tabela3[[#This Row],[10% Rent]],Tabela3[[#This Row],[VPA]]*3.5)</f>
        <v>8.02</v>
      </c>
      <c r="P117" s="18">
        <f>Tabela3[[#This Row],[P Compra]]/Tabela3[[#This Row],[Cotação]]-1</f>
        <v>-0.7820652173913043</v>
      </c>
      <c r="Q117" s="5">
        <f>Tabela3[[#This Row],[Lucro/Ação Ano]]*Tabela3[[#This Row],[Payout]]</f>
        <v>0.80162523491629389</v>
      </c>
      <c r="R117" s="16" t="str">
        <f>IF(AND([% Yield]&gt;=10%,[PVPA]&lt;=3.5,[PL]&lt;=15,[PL]&gt;0),"Sim","Não")</f>
        <v>Não</v>
      </c>
      <c r="S117" s="22">
        <f>Tabela3[[#This Row],[Lucro Prev]]/Tabela3[[#This Row],[Cotação]]</f>
        <v>2.1783294427073205E-2</v>
      </c>
      <c r="T117" s="10">
        <f>($Z$1/Tabela3[[#This Row],[Cotação]]-MOD($Z$1/Tabela3[[#This Row],[Cotação]],100))</f>
        <v>0</v>
      </c>
      <c r="U117" s="7">
        <f>Tabela3[[#This Row],[Ativos]]*Tabela3[[#This Row],[Lucro Prev]]</f>
        <v>0</v>
      </c>
      <c r="V117" s="51">
        <f>SUMPRODUCT(N(Tabela1[Código]=Tabela3[[#This Row],[PAPEL]]),Tabela1[Fechamento])</f>
        <v>0</v>
      </c>
      <c r="W117" s="60">
        <f>SUMPRODUCT(N(Tabela17[Código]=Tabela3[[#This Row],[PAPEL]]),Tabela17[Fechamento])</f>
        <v>36.799999999999997</v>
      </c>
    </row>
    <row r="118" spans="1:23" hidden="1">
      <c r="A118" s="3" t="s">
        <v>361</v>
      </c>
      <c r="B118" s="74" t="s">
        <v>378</v>
      </c>
      <c r="C118" s="16">
        <v>3</v>
      </c>
      <c r="D118" s="5">
        <v>43741000</v>
      </c>
      <c r="E118" s="5">
        <v>2583000</v>
      </c>
      <c r="F118" s="21">
        <v>5996334</v>
      </c>
      <c r="G118" s="72">
        <f>Tabela3[[#This Row],[Lucro Líquido]]/Tabela3[[#This Row],[Total Ações]]</f>
        <v>0.43076319631294718</v>
      </c>
      <c r="H118" s="16">
        <f>Tabela3[[#This Row],[Lucro/Ação]]/Tabela3[[#This Row],[Ref]]*4</f>
        <v>0.57435092841726287</v>
      </c>
      <c r="I118" s="18">
        <f>IF(GETPIVOTDATA("Payout",'Tabela LL'!$A$3,"Ativo",Tabela3[[#This Row],[PAPEL]])&gt;1,1,GETPIVOTDATA("Payout",'Tabela LL'!$A$3,"Ativo",Tabela3[[#This Row],[PAPEL]]))</f>
        <v>0.19103666588090965</v>
      </c>
      <c r="J118" s="5">
        <f>[Patrimônio Líquido]/[Total Ações]</f>
        <v>7.2946236817362076</v>
      </c>
      <c r="K118" s="58">
        <f>MAX(Tabela3[[#This Row],[Cotação 1]],Tabela3[[#This Row],[Cotação 2]])</f>
        <v>5.18</v>
      </c>
      <c r="L118" s="59">
        <f>[Cotação]/[VPA]</f>
        <v>0.71011202578816213</v>
      </c>
      <c r="M118" s="40">
        <f>IF(Tabela3[[#This Row],[Lucro/Ação Ano]]&gt;0,Tabela3[[#This Row],[Cotação]]/Tabela3[[#This Row],[Lucro/Ação Ano]],0)</f>
        <v>9.0188763414634145</v>
      </c>
      <c r="N118" s="7">
        <f>ROUND(Tabela3[[#This Row],[Lucro Prev]]/10%,2)</f>
        <v>1.1000000000000001</v>
      </c>
      <c r="O118" s="51">
        <f>MIN(Tabela3[[#This Row],[10% Rent]],Tabela3[[#This Row],[VPA]]*3.5)</f>
        <v>1.1000000000000001</v>
      </c>
      <c r="P118" s="18">
        <f>Tabela3[[#This Row],[P Compra]]/Tabela3[[#This Row],[Cotação]]-1</f>
        <v>-0.78764478764478763</v>
      </c>
      <c r="Q118" s="5">
        <f>Tabela3[[#This Row],[Lucro/Ação Ano]]*Tabela3[[#This Row],[Payout]]</f>
        <v>0.1097220864104389</v>
      </c>
      <c r="R118" s="16" t="str">
        <f>IF(AND([% Yield]&gt;=10%,[PVPA]&lt;=3.5,[PL]&lt;=15,[PL]&gt;0),"Sim","Não")</f>
        <v>Não</v>
      </c>
      <c r="S118" s="22">
        <f>Tabela3[[#This Row],[Lucro Prev]]/Tabela3[[#This Row],[Cotação]]</f>
        <v>2.1181869963405195E-2</v>
      </c>
      <c r="T118" s="10">
        <f>($Z$1/Tabela3[[#This Row],[Cotação]]-MOD($Z$1/Tabela3[[#This Row],[Cotação]],100))</f>
        <v>100</v>
      </c>
      <c r="U118" s="7">
        <f>Tabela3[[#This Row],[Ativos]]*Tabela3[[#This Row],[Lucro Prev]]</f>
        <v>10.97220864104389</v>
      </c>
      <c r="V118" s="51">
        <f>SUMPRODUCT(N(Tabela1[Código]=Tabela3[[#This Row],[PAPEL]]),Tabela1[Fechamento])</f>
        <v>0</v>
      </c>
      <c r="W118" s="60">
        <f>SUMPRODUCT(N(Tabela17[Código]=Tabela3[[#This Row],[PAPEL]]),Tabela17[Fechamento])</f>
        <v>5.18</v>
      </c>
    </row>
    <row r="119" spans="1:23" hidden="1">
      <c r="A119" s="4" t="s">
        <v>458</v>
      </c>
      <c r="B119" s="71" t="s">
        <v>455</v>
      </c>
      <c r="C119" s="15">
        <v>3</v>
      </c>
      <c r="D119" s="6">
        <v>719118000</v>
      </c>
      <c r="E119" s="6">
        <v>53337000</v>
      </c>
      <c r="F119" s="42">
        <v>17887362</v>
      </c>
      <c r="G119" s="73">
        <f>Tabela3[[#This Row],[Lucro Líquido]]/Tabela3[[#This Row],[Total Ações]]</f>
        <v>2.9818259394537887</v>
      </c>
      <c r="H119" s="15">
        <f>Tabela3[[#This Row],[Lucro/Ação]]/Tabela3[[#This Row],[Ref]]*4</f>
        <v>3.9757679192717181</v>
      </c>
      <c r="I119" s="19">
        <f>IF(GETPIVOTDATA("Payout",'Tabela LL'!$A$3,"Ativo",Tabela3[[#This Row],[PAPEL]])&gt;1,1,GETPIVOTDATA("Payout",'Tabela LL'!$A$3,"Ativo",Tabela3[[#This Row],[PAPEL]]))</f>
        <v>0.29704620053272746</v>
      </c>
      <c r="J119" s="6">
        <f>[Patrimônio Líquido]/[Total Ações]</f>
        <v>40.202574309168675</v>
      </c>
      <c r="K119" s="52">
        <f>MAX(Tabela3[[#This Row],[Cotação 1]],Tabela3[[#This Row],[Cotação 2]])</f>
        <v>56.6</v>
      </c>
      <c r="L119" s="48">
        <f>[Cotação]/[VPA]</f>
        <v>1.4078700424686907</v>
      </c>
      <c r="M119" s="44">
        <f>IF(Tabela3[[#This Row],[Lucro/Ação Ano]]&gt;0,Tabela3[[#This Row],[Cotação]]/Tabela3[[#This Row],[Lucro/Ação Ano]],0)</f>
        <v>14.236243450137804</v>
      </c>
      <c r="N119" s="17">
        <f>ROUND(Tabela3[[#This Row],[Lucro Prev]]/10%,2)</f>
        <v>11.81</v>
      </c>
      <c r="O119" s="13">
        <f>MIN(Tabela3[[#This Row],[10% Rent]],Tabela3[[#This Row],[VPA]]*3.5)</f>
        <v>11.81</v>
      </c>
      <c r="P119" s="19">
        <f>Tabela3[[#This Row],[P Compra]]/Tabela3[[#This Row],[Cotação]]-1</f>
        <v>-0.79134275618374561</v>
      </c>
      <c r="Q119" s="6">
        <f>Tabela3[[#This Row],[Lucro/Ação Ano]]*Tabela3[[#This Row],[Payout]]</f>
        <v>1.1809867546195714</v>
      </c>
      <c r="R119" s="15" t="str">
        <f>IF(AND([% Yield]&gt;=10%,[PVPA]&lt;=3.5,[PL]&lt;=15,[PL]&gt;0),"Sim","Não")</f>
        <v>Não</v>
      </c>
      <c r="S119" s="46">
        <f>Tabela3[[#This Row],[Lucro Prev]]/Tabela3[[#This Row],[Cotação]]</f>
        <v>2.086549036430338E-2</v>
      </c>
      <c r="T119" s="14">
        <f>($Z$1/Tabela3[[#This Row],[Cotação]]-MOD($Z$1/Tabela3[[#This Row],[Cotação]],100))</f>
        <v>0</v>
      </c>
      <c r="U119" s="17">
        <f>Tabela3[[#This Row],[Ativos]]*Tabela3[[#This Row],[Lucro Prev]]</f>
        <v>0</v>
      </c>
      <c r="V119" s="13">
        <f>SUMPRODUCT(N(Tabela1[Código]=Tabela3[[#This Row],[PAPEL]]),Tabela1[Fechamento])</f>
        <v>0</v>
      </c>
      <c r="W119" s="61">
        <f>SUMPRODUCT(N(Tabela17[Código]=Tabela3[[#This Row],[PAPEL]]),Tabela17[Fechamento])</f>
        <v>56.6</v>
      </c>
    </row>
    <row r="120" spans="1:23" hidden="1">
      <c r="A120" s="4" t="s">
        <v>40</v>
      </c>
      <c r="B120" s="15" t="s">
        <v>326</v>
      </c>
      <c r="C120" s="15">
        <v>3</v>
      </c>
      <c r="D120" s="5">
        <v>8048177000</v>
      </c>
      <c r="E120" s="5">
        <v>485601000</v>
      </c>
      <c r="F120" s="21">
        <v>797265348</v>
      </c>
      <c r="G120" s="73">
        <f>Tabela3[[#This Row],[Lucro Líquido]]/Tabela3[[#This Row],[Total Ações]]</f>
        <v>0.60908328854147065</v>
      </c>
      <c r="H120" s="15">
        <f>Tabela3[[#This Row],[Lucro/Ação]]/Tabela3[[#This Row],[Ref]]*4</f>
        <v>0.81211105138862749</v>
      </c>
      <c r="I120" s="19">
        <f>IF(GETPIVOTDATA("Payout",'Tabela LL'!$A$3,"Ativo",Tabela3[[#This Row],[PAPEL]])&gt;1,1,GETPIVOTDATA("Payout",'Tabela LL'!$A$3,"Ativo",Tabela3[[#This Row],[PAPEL]]))</f>
        <v>0.25322752895727813</v>
      </c>
      <c r="J120" s="6">
        <f>[Patrimônio Líquido]/[Total Ações]</f>
        <v>10.094728210864121</v>
      </c>
      <c r="K120" s="52">
        <f>MAX(Tabela3[[#This Row],[Cotação 1]],Tabela3[[#This Row],[Cotação 2]])</f>
        <v>10.1</v>
      </c>
      <c r="L120" s="48">
        <f>[Cotação]/[VPA]</f>
        <v>1.0005222319041938</v>
      </c>
      <c r="M120" s="44">
        <f>IF(Tabela3[[#This Row],[Lucro/Ação Ano]]&gt;0,Tabela3[[#This Row],[Cotação]]/Tabela3[[#This Row],[Lucro/Ação Ano]],0)</f>
        <v>12.436722764368277</v>
      </c>
      <c r="N120" s="13">
        <f>ROUND(Tabela3[[#This Row],[Lucro Prev]]/10%,2)</f>
        <v>2.06</v>
      </c>
      <c r="O120" s="13">
        <f>MIN(Tabela3[[#This Row],[10% Rent]],Tabela3[[#This Row],[VPA]]*3.5)</f>
        <v>2.06</v>
      </c>
      <c r="P120" s="19">
        <f>Tabela3[[#This Row],[P Compra]]/Tabela3[[#This Row],[Cotação]]-1</f>
        <v>-0.79603960396039608</v>
      </c>
      <c r="Q120" s="6">
        <f>Tabela3[[#This Row],[Lucro/Ação Ano]]*Tabela3[[#This Row],[Payout]]</f>
        <v>0.20564887478203925</v>
      </c>
      <c r="R120" s="15" t="str">
        <f>IF(AND([% Yield]&gt;=10%,[PVPA]&lt;=3.5,[PL]&lt;=15,[PL]&gt;0),"Sim","Não")</f>
        <v>Não</v>
      </c>
      <c r="S120" s="46">
        <f>Tabela3[[#This Row],[Lucro Prev]]/Tabela3[[#This Row],[Cotação]]</f>
        <v>2.0361274730894975E-2</v>
      </c>
      <c r="T120" s="14">
        <f>($Z$1/Tabela3[[#This Row],[Cotação]]-MOD($Z$1/Tabela3[[#This Row],[Cotação]],100))</f>
        <v>0</v>
      </c>
      <c r="U120" s="17">
        <f>Tabela3[[#This Row],[Ativos]]*Tabela3[[#This Row],[Lucro Prev]]</f>
        <v>0</v>
      </c>
      <c r="V120" s="13">
        <f>SUMPRODUCT(N(Tabela1[Código]=Tabela3[[#This Row],[PAPEL]]),Tabela1[Fechamento])</f>
        <v>0</v>
      </c>
      <c r="W120" s="13">
        <f>SUMPRODUCT(N(Tabela17[Código]=Tabela3[[#This Row],[PAPEL]]),Tabela17[Fechamento])</f>
        <v>10.1</v>
      </c>
    </row>
    <row r="121" spans="1:23" hidden="1">
      <c r="A121" s="3" t="s">
        <v>651</v>
      </c>
      <c r="B121" s="74" t="s">
        <v>682</v>
      </c>
      <c r="C121" s="16">
        <v>3</v>
      </c>
      <c r="D121" s="5">
        <v>2302519000</v>
      </c>
      <c r="E121" s="5">
        <v>128087000</v>
      </c>
      <c r="F121" s="21">
        <v>176611578</v>
      </c>
      <c r="G121" s="16">
        <f>Tabela3[[#This Row],[Lucro Líquido]]/Tabela3[[#This Row],[Total Ações]]</f>
        <v>0.72524690312205919</v>
      </c>
      <c r="H121" s="16">
        <f>Tabela3[[#This Row],[Lucro/Ação]]/Tabela3[[#This Row],[Ref]]*4</f>
        <v>0.9669958708294123</v>
      </c>
      <c r="I121" s="18">
        <f>IF(GETPIVOTDATA("Payout",'Tabela LL'!$A$3,"Ativo",Tabela3[[#This Row],[PAPEL]])&gt;1,1,GETPIVOTDATA("Payout",'Tabela LL'!$A$3,"Ativo",Tabela3[[#This Row],[PAPEL]]))</f>
        <v>0.43259017108800807</v>
      </c>
      <c r="J121" s="5">
        <f>[Patrimônio Líquido]/[Total Ações]</f>
        <v>13.037191706650173</v>
      </c>
      <c r="K121" s="58">
        <f>MAX(Tabela3[[#This Row],[Cotação 1]],Tabela3[[#This Row],[Cotação 2]])</f>
        <v>21.7</v>
      </c>
      <c r="L121" s="59">
        <f>[Cotação]/[VPA]</f>
        <v>1.664468889333812</v>
      </c>
      <c r="M121" s="40">
        <f>IF(Tabela3[[#This Row],[Lucro/Ação Ano]]&gt;0,Tabela3[[#This Row],[Cotação]]/Tabela3[[#This Row],[Lucro/Ação Ano]],0)</f>
        <v>22.440633568980456</v>
      </c>
      <c r="N121" s="7">
        <f>ROUND(Tabela3[[#This Row],[Lucro Prev]]/10%,2)</f>
        <v>4.18</v>
      </c>
      <c r="O121" s="51">
        <f>MIN(Tabela3[[#This Row],[10% Rent]],Tabela3[[#This Row],[VPA]]*3.5)</f>
        <v>4.18</v>
      </c>
      <c r="P121" s="18">
        <f>Tabela3[[#This Row],[P Compra]]/Tabela3[[#This Row],[Cotação]]-1</f>
        <v>-0.80737327188940089</v>
      </c>
      <c r="Q121" s="5">
        <f>Tabela3[[#This Row],[Lucro/Ação Ano]]*Tabela3[[#This Row],[Payout]]</f>
        <v>0.41831290920349279</v>
      </c>
      <c r="R121" s="16" t="str">
        <f>IF(AND([% Yield]&gt;=10%,[PVPA]&lt;=3.5,[PL]&lt;=15,[PL]&gt;0),"Sim","Não")</f>
        <v>Não</v>
      </c>
      <c r="S121" s="22">
        <f>Tabela3[[#This Row],[Lucro Prev]]/Tabela3[[#This Row],[Cotação]]</f>
        <v>1.927709259002271E-2</v>
      </c>
      <c r="T121" s="10">
        <f>($Z$1/Tabela3[[#This Row],[Cotação]]-MOD($Z$1/Tabela3[[#This Row],[Cotação]],100))</f>
        <v>0</v>
      </c>
      <c r="U121" s="7">
        <f>Tabela3[[#This Row],[Ativos]]*Tabela3[[#This Row],[Lucro Prev]]</f>
        <v>0</v>
      </c>
      <c r="V121" s="51">
        <f>SUMPRODUCT(N(Tabela1[Código]=Tabela3[[#This Row],[PAPEL]]),Tabela1[Fechamento])</f>
        <v>0</v>
      </c>
      <c r="W121" s="60">
        <f>SUMPRODUCT(N(Tabela17[Código]=Tabela3[[#This Row],[PAPEL]]),Tabela17[Fechamento])</f>
        <v>21.7</v>
      </c>
    </row>
    <row r="122" spans="1:23" hidden="1">
      <c r="A122" s="4" t="s">
        <v>14</v>
      </c>
      <c r="B122" s="14" t="s">
        <v>63</v>
      </c>
      <c r="C122" s="15">
        <v>3</v>
      </c>
      <c r="D122" s="6">
        <v>56483000</v>
      </c>
      <c r="E122" s="6">
        <v>1359000</v>
      </c>
      <c r="F122" s="42">
        <v>182520000</v>
      </c>
      <c r="G122" s="15">
        <f>Tabela3[[#This Row],[Lucro Líquido]]/Tabela3[[#This Row],[Total Ações]]</f>
        <v>7.4457593688362919E-3</v>
      </c>
      <c r="H122" s="15">
        <f>Tabela3[[#This Row],[Lucro/Ação]]/Tabela3[[#This Row],[Ref]]*4</f>
        <v>9.9276791584483898E-3</v>
      </c>
      <c r="I122" s="19">
        <f>IF(GETPIVOTDATA("Payout",'Tabela LL'!$A$3,"Ativo",Tabela3[[#This Row],[PAPEL]])&gt;1,1,GETPIVOTDATA("Payout",'Tabela LL'!$A$3,"Ativo",Tabela3[[#This Row],[PAPEL]]))</f>
        <v>0.49690562667042543</v>
      </c>
      <c r="J122" s="6">
        <f>[Patrimônio Líquido]/[Total Ações]</f>
        <v>0.30946197676966908</v>
      </c>
      <c r="K122" s="52">
        <f>MAX(Tabela3[[#This Row],[Cotação 1]],Tabela3[[#This Row],[Cotação 2]])</f>
        <v>0.26</v>
      </c>
      <c r="L122" s="48">
        <f>[Cotação]/[VPA]</f>
        <v>0.84016783811058193</v>
      </c>
      <c r="M122" s="44">
        <f>IF(Tabela3[[#This Row],[Lucro/Ação Ano]]&gt;0,Tabela3[[#This Row],[Cotação]]/Tabela3[[#This Row],[Lucro/Ação Ano]],0)</f>
        <v>26.189403973509933</v>
      </c>
      <c r="N122" s="6">
        <f>ROUND(Tabela3[[#This Row],[Lucro Prev]]/10%,2)</f>
        <v>0.05</v>
      </c>
      <c r="O122" s="61">
        <f>MIN(Tabela3[[#This Row],[10% Rent]],Tabela3[[#This Row],[VPA]]*3.5)</f>
        <v>0.05</v>
      </c>
      <c r="P122" s="19">
        <f>Tabela3[[#This Row],[P Compra]]/Tabela3[[#This Row],[Cotação]]-1</f>
        <v>-0.80769230769230771</v>
      </c>
      <c r="Q122" s="6">
        <f>Tabela3[[#This Row],[Lucro/Ação Ano]]*Tabela3[[#This Row],[Payout]]</f>
        <v>4.9331196336117192E-3</v>
      </c>
      <c r="R122" s="15" t="str">
        <f>IF(AND([% Yield]&gt;=10%,[PVPA]&lt;=3.5,[PL]&lt;=15,[PL]&gt;0),"Sim","Não")</f>
        <v>Não</v>
      </c>
      <c r="S122" s="46">
        <f>Tabela3[[#This Row],[Lucro Prev]]/Tabela3[[#This Row],[Cotação]]</f>
        <v>1.8973537052352767E-2</v>
      </c>
      <c r="T122" s="14">
        <f>($Z$1/Tabela3[[#This Row],[Cotação]]-MOD($Z$1/Tabela3[[#This Row],[Cotação]],100))</f>
        <v>3800</v>
      </c>
      <c r="U122" s="17">
        <f>Tabela3[[#This Row],[Ativos]]*Tabela3[[#This Row],[Lucro Prev]]</f>
        <v>18.745854607724532</v>
      </c>
      <c r="V122" s="5">
        <f>SUMPRODUCT(N(Tabela1[Código]=Tabela3[[#This Row],[PAPEL]]),Tabela1[Fechamento])</f>
        <v>0.26</v>
      </c>
      <c r="W122" s="5">
        <f>SUMPRODUCT(N(Tabela17[Código]=Tabela3[[#This Row],[PAPEL]]),Tabela17[Fechamento])</f>
        <v>0</v>
      </c>
    </row>
    <row r="123" spans="1:23" hidden="1">
      <c r="A123" s="4" t="s">
        <v>40</v>
      </c>
      <c r="B123" s="71" t="s">
        <v>324</v>
      </c>
      <c r="C123" s="16">
        <v>3</v>
      </c>
      <c r="D123" s="5">
        <v>8048177000</v>
      </c>
      <c r="E123" s="5">
        <v>485601000</v>
      </c>
      <c r="F123" s="21">
        <v>797265348</v>
      </c>
      <c r="G123" s="72">
        <f>Tabela3[[#This Row],[Lucro Líquido]]/Tabela3[[#This Row],[Total Ações]]</f>
        <v>0.60908328854147065</v>
      </c>
      <c r="H123" s="16">
        <f>Tabela3[[#This Row],[Lucro/Ação]]/Tabela3[[#This Row],[Ref]]*4</f>
        <v>0.81211105138862749</v>
      </c>
      <c r="I123" s="18">
        <f>IF(GETPIVOTDATA("Payout",'Tabela LL'!$A$3,"Ativo",Tabela3[[#This Row],[PAPEL]])&gt;1,1,GETPIVOTDATA("Payout",'Tabela LL'!$A$3,"Ativo",Tabela3[[#This Row],[PAPEL]]))</f>
        <v>0.35050699967240423</v>
      </c>
      <c r="J123" s="5">
        <f>[Patrimônio Líquido]/[Total Ações]</f>
        <v>10.094728210864121</v>
      </c>
      <c r="K123" s="58">
        <f>MAX(Tabela3[[#This Row],[Cotação 1]],Tabela3[[#This Row],[Cotação 2]])</f>
        <v>16.3</v>
      </c>
      <c r="L123" s="59">
        <f>[Cotação]/[VPA]</f>
        <v>1.6147041960434021</v>
      </c>
      <c r="M123" s="40">
        <f>IF(Tabela3[[#This Row],[Lucro/Ação Ano]]&gt;0,Tabela3[[#This Row],[Cotação]]/Tabela3[[#This Row],[Lucro/Ação Ano]],0)</f>
        <v>20.071146639525043</v>
      </c>
      <c r="N123" s="51">
        <f>ROUND(Tabela3[[#This Row],[Lucro Prev]]/10%,2)</f>
        <v>2.85</v>
      </c>
      <c r="O123" s="51">
        <f>MIN(Tabela3[[#This Row],[10% Rent]],Tabela3[[#This Row],[VPA]]*3.5)</f>
        <v>2.85</v>
      </c>
      <c r="P123" s="18">
        <f>Tabela3[[#This Row],[P Compra]]/Tabela3[[#This Row],[Cotação]]-1</f>
        <v>-0.82515337423312884</v>
      </c>
      <c r="Q123" s="5">
        <f>Tabela3[[#This Row],[Lucro/Ação Ano]]*Tabela3[[#This Row],[Payout]]</f>
        <v>0.28465060802302949</v>
      </c>
      <c r="R123" s="16" t="str">
        <f>IF(AND([% Yield]&gt;=10%,[PVPA]&lt;=3.5,[PL]&lt;=15,[PL]&gt;0),"Sim","Não")</f>
        <v>Não</v>
      </c>
      <c r="S123" s="22">
        <f>Tabela3[[#This Row],[Lucro Prev]]/Tabela3[[#This Row],[Cotação]]</f>
        <v>1.7463227486075428E-2</v>
      </c>
      <c r="T123" s="10">
        <f>($Z$1/Tabela3[[#This Row],[Cotação]]-MOD($Z$1/Tabela3[[#This Row],[Cotação]],100))</f>
        <v>0</v>
      </c>
      <c r="U123" s="7">
        <f>Tabela3[[#This Row],[Ativos]]*Tabela3[[#This Row],[Lucro Prev]]</f>
        <v>0</v>
      </c>
      <c r="V123" s="51">
        <f>SUMPRODUCT(N(Tabela1[Código]=Tabela3[[#This Row],[PAPEL]]),Tabela1[Fechamento])</f>
        <v>0</v>
      </c>
      <c r="W123" s="51">
        <f>SUMPRODUCT(N(Tabela17[Código]=Tabela3[[#This Row],[PAPEL]]),Tabela17[Fechamento])</f>
        <v>16.3</v>
      </c>
    </row>
    <row r="124" spans="1:23" hidden="1">
      <c r="A124" s="4" t="s">
        <v>14</v>
      </c>
      <c r="B124" s="14" t="s">
        <v>221</v>
      </c>
      <c r="C124" s="15">
        <v>3</v>
      </c>
      <c r="D124" s="6">
        <v>1179411000</v>
      </c>
      <c r="E124" s="6">
        <v>46761000</v>
      </c>
      <c r="F124" s="42">
        <v>90224492</v>
      </c>
      <c r="G124" s="15">
        <f>Tabela3[[#This Row],[Lucro Líquido]]/Tabela3[[#This Row],[Total Ações]]</f>
        <v>0.51827390726677625</v>
      </c>
      <c r="H124" s="15">
        <f>Tabela3[[#This Row],[Lucro/Ação]]/Tabela3[[#This Row],[Ref]]*4</f>
        <v>0.69103187635570162</v>
      </c>
      <c r="I124" s="19">
        <f>IF(GETPIVOTDATA("Payout",'Tabela LL'!$A$3,"Ativo",Tabela3[[#This Row],[PAPEL]])&gt;1,1,GETPIVOTDATA("Payout",'Tabela LL'!$A$3,"Ativo",Tabela3[[#This Row],[PAPEL]]))</f>
        <v>0.16455420283136202</v>
      </c>
      <c r="J124" s="6">
        <f>[Patrimônio Líquido]/[Total Ações]</f>
        <v>13.071960549248645</v>
      </c>
      <c r="K124" s="52">
        <f>MAX(Tabela3[[#This Row],[Cotação 1]],Tabela3[[#This Row],[Cotação 2]])</f>
        <v>6.61</v>
      </c>
      <c r="L124" s="48">
        <f>[Cotação]/[VPA]</f>
        <v>0.50566248078066089</v>
      </c>
      <c r="M124" s="44">
        <f>IF(Tabela3[[#This Row],[Lucro/Ação Ano]]&gt;0,Tabela3[[#This Row],[Cotação]]/Tabela3[[#This Row],[Lucro/Ação Ano]],0)</f>
        <v>9.5654053397061674</v>
      </c>
      <c r="N124" s="6">
        <f>ROUND(Tabela3[[#This Row],[Lucro Prev]]/10%,2)</f>
        <v>1.1399999999999999</v>
      </c>
      <c r="O124" s="61">
        <f>MIN(Tabela3[[#This Row],[10% Rent]],Tabela3[[#This Row],[VPA]]*3.5)</f>
        <v>1.1399999999999999</v>
      </c>
      <c r="P124" s="19">
        <f>Tabela3[[#This Row],[P Compra]]/Tabela3[[#This Row],[Cotação]]-1</f>
        <v>-0.827534039334342</v>
      </c>
      <c r="Q124" s="6">
        <f>Tabela3[[#This Row],[Lucro/Ação Ano]]*Tabela3[[#This Row],[Payout]]</f>
        <v>0.11371219954477281</v>
      </c>
      <c r="R124" s="15" t="str">
        <f>IF(AND([% Yield]&gt;=10%,[PVPA]&lt;=3.5,[PL]&lt;=15,[PL]&gt;0),"Sim","Não")</f>
        <v>Não</v>
      </c>
      <c r="S124" s="46">
        <f>Tabela3[[#This Row],[Lucro Prev]]/Tabela3[[#This Row],[Cotação]]</f>
        <v>1.720305590692478E-2</v>
      </c>
      <c r="T124" s="14">
        <f>($Z$1/Tabela3[[#This Row],[Cotação]]-MOD($Z$1/Tabela3[[#This Row],[Cotação]],100))</f>
        <v>100</v>
      </c>
      <c r="U124" s="17">
        <f>Tabela3[[#This Row],[Ativos]]*Tabela3[[#This Row],[Lucro Prev]]</f>
        <v>11.371219954477281</v>
      </c>
      <c r="V124" s="5">
        <f>SUMPRODUCT(N(Tabela1[Código]=Tabela3[[#This Row],[PAPEL]]),Tabela1[Fechamento])</f>
        <v>6.61</v>
      </c>
      <c r="W124" s="5">
        <f>SUMPRODUCT(N(Tabela17[Código]=Tabela3[[#This Row],[PAPEL]]),Tabela17[Fechamento])</f>
        <v>0</v>
      </c>
    </row>
    <row r="125" spans="1:23" hidden="1">
      <c r="A125" s="4" t="s">
        <v>26</v>
      </c>
      <c r="B125" s="71" t="s">
        <v>58</v>
      </c>
      <c r="C125" s="15">
        <v>3</v>
      </c>
      <c r="D125" s="6">
        <v>3411209000</v>
      </c>
      <c r="E125" s="6">
        <v>191254000</v>
      </c>
      <c r="F125" s="42">
        <v>1022205493</v>
      </c>
      <c r="G125" s="73">
        <f>Tabela3[[#This Row],[Lucro Líquido]]/Tabela3[[#This Row],[Total Ações]]</f>
        <v>0.18709936633064053</v>
      </c>
      <c r="H125" s="15">
        <f>Tabela3[[#This Row],[Lucro/Ação]]/Tabela3[[#This Row],[Ref]]*4</f>
        <v>0.24946582177418739</v>
      </c>
      <c r="I125" s="19">
        <f>IF(GETPIVOTDATA("Payout",'Tabela LL'!$A$3,"Ativo",Tabela3[[#This Row],[PAPEL]])&gt;1,1,GETPIVOTDATA("Payout",'Tabela LL'!$A$3,"Ativo",Tabela3[[#This Row],[PAPEL]]))</f>
        <v>1</v>
      </c>
      <c r="J125" s="6">
        <f>[Patrimônio Líquido]/[Total Ações]</f>
        <v>3.3371068961766968</v>
      </c>
      <c r="K125" s="52">
        <f>MAX(Tabela3[[#This Row],[Cotação 1]],Tabela3[[#This Row],[Cotação 2]])</f>
        <v>14.58</v>
      </c>
      <c r="L125" s="48">
        <f>[Cotação]/[VPA]</f>
        <v>4.3690539301285849</v>
      </c>
      <c r="M125" s="44">
        <f>IF(Tabela3[[#This Row],[Lucro/Ação Ano]]&gt;0,Tabela3[[#This Row],[Cotação]]/Tabela3[[#This Row],[Lucro/Ação Ano]],0)</f>
        <v>58.444879929073373</v>
      </c>
      <c r="N125" s="13">
        <f>ROUND(Tabela3[[#This Row],[Lucro Prev]]/10%,2)</f>
        <v>2.4900000000000002</v>
      </c>
      <c r="O125" s="13">
        <f>MIN(Tabela3[[#This Row],[10% Rent]],Tabela3[[#This Row],[VPA]]*3.5)</f>
        <v>2.4900000000000002</v>
      </c>
      <c r="P125" s="19">
        <f>Tabela3[[#This Row],[P Compra]]/Tabela3[[#This Row],[Cotação]]-1</f>
        <v>-0.82921810699588472</v>
      </c>
      <c r="Q125" s="6">
        <f>Tabela3[[#This Row],[Lucro/Ação Ano]]*Tabela3[[#This Row],[Payout]]</f>
        <v>0.24946582177418739</v>
      </c>
      <c r="R125" s="15" t="str">
        <f>IF(AND([% Yield]&gt;=10%,[PVPA]&lt;=3.5,[PL]&lt;=15,[PL]&gt;0),"Sim","Não")</f>
        <v>Não</v>
      </c>
      <c r="S125" s="46">
        <f>Tabela3[[#This Row],[Lucro Prev]]/Tabela3[[#This Row],[Cotação]]</f>
        <v>1.7110138667639739E-2</v>
      </c>
      <c r="T125" s="14">
        <f>($Z$1/Tabela3[[#This Row],[Cotação]]-MOD($Z$1/Tabela3[[#This Row],[Cotação]],100))</f>
        <v>0</v>
      </c>
      <c r="U125" s="17">
        <f>Tabela3[[#This Row],[Ativos]]*Tabela3[[#This Row],[Lucro Prev]]</f>
        <v>0</v>
      </c>
      <c r="V125" s="13">
        <f>SUMPRODUCT(N(Tabela1[Código]=Tabela3[[#This Row],[PAPEL]]),Tabela1[Fechamento])</f>
        <v>0</v>
      </c>
      <c r="W125" s="13">
        <f>SUMPRODUCT(N(Tabela17[Código]=Tabela3[[#This Row],[PAPEL]]),Tabela17[Fechamento])</f>
        <v>14.58</v>
      </c>
    </row>
    <row r="126" spans="1:23" hidden="1">
      <c r="A126" s="3" t="s">
        <v>651</v>
      </c>
      <c r="B126" s="71" t="s">
        <v>695</v>
      </c>
      <c r="C126" s="16">
        <v>3</v>
      </c>
      <c r="D126" s="5">
        <v>2243051000</v>
      </c>
      <c r="E126" s="5">
        <v>151349000</v>
      </c>
      <c r="F126" s="21">
        <v>76423831</v>
      </c>
      <c r="G126" s="16">
        <f>Tabela3[[#This Row],[Lucro Líquido]]/Tabela3[[#This Row],[Total Ações]]</f>
        <v>1.9803901220288211</v>
      </c>
      <c r="H126" s="16">
        <f>Tabela3[[#This Row],[Lucro/Ação]]/Tabela3[[#This Row],[Ref]]*4</f>
        <v>2.6405201627050947</v>
      </c>
      <c r="I126" s="18">
        <f>IF(GETPIVOTDATA("Payout",'Tabela LL'!$A$3,"Ativo",Tabela3[[#This Row],[PAPEL]])&gt;1,1,GETPIVOTDATA("Payout",'Tabela LL'!$A$3,"Ativo",Tabela3[[#This Row],[PAPEL]]))</f>
        <v>0.11521495903029355</v>
      </c>
      <c r="J126" s="5">
        <f>[Patrimônio Líquido]/[Total Ações]</f>
        <v>29.350151263681088</v>
      </c>
      <c r="K126" s="58">
        <f>MAX(Tabela3[[#This Row],[Cotação 1]],Tabela3[[#This Row],[Cotação 2]])</f>
        <v>17.93</v>
      </c>
      <c r="L126" s="59">
        <f>[Cotação]/[VPA]</f>
        <v>0.61089974763391475</v>
      </c>
      <c r="M126" s="40">
        <f>IF(Tabela3[[#This Row],[Lucro/Ação Ano]]&gt;0,Tabela3[[#This Row],[Cotação]]/Tabela3[[#This Row],[Lucro/Ação Ano]],0)</f>
        <v>6.7903287591758126</v>
      </c>
      <c r="N126" s="7">
        <f>ROUND(Tabela3[[#This Row],[Lucro Prev]]/10%,2)</f>
        <v>3.04</v>
      </c>
      <c r="O126" s="51">
        <f>MIN(Tabela3[[#This Row],[10% Rent]],Tabela3[[#This Row],[VPA]]*3.5)</f>
        <v>3.04</v>
      </c>
      <c r="P126" s="18">
        <f>Tabela3[[#This Row],[P Compra]]/Tabela3[[#This Row],[Cotação]]-1</f>
        <v>-0.83045175683212491</v>
      </c>
      <c r="Q126" s="5">
        <f>Tabela3[[#This Row],[Lucro/Ação Ano]]*Tabela3[[#This Row],[Payout]]</f>
        <v>0.30422742236473155</v>
      </c>
      <c r="R126" s="16" t="str">
        <f>IF(AND([% Yield]&gt;=10%,[PVPA]&lt;=3.5,[PL]&lt;=15,[PL]&gt;0),"Sim","Não")</f>
        <v>Não</v>
      </c>
      <c r="S126" s="22">
        <f>Tabela3[[#This Row],[Lucro Prev]]/Tabela3[[#This Row],[Cotação]]</f>
        <v>1.6967508218891886E-2</v>
      </c>
      <c r="T126" s="10">
        <f>($Z$1/Tabela3[[#This Row],[Cotação]]-MOD($Z$1/Tabela3[[#This Row],[Cotação]],100))</f>
        <v>0</v>
      </c>
      <c r="U126" s="7">
        <f>Tabela3[[#This Row],[Ativos]]*Tabela3[[#This Row],[Lucro Prev]]</f>
        <v>0</v>
      </c>
      <c r="V126" s="51">
        <f>SUMPRODUCT(N(Tabela1[Código]=Tabela3[[#This Row],[PAPEL]]),Tabela1[Fechamento])</f>
        <v>0</v>
      </c>
      <c r="W126" s="60">
        <f>SUMPRODUCT(N(Tabela17[Código]=Tabela3[[#This Row],[PAPEL]]),Tabela17[Fechamento])</f>
        <v>17.93</v>
      </c>
    </row>
    <row r="127" spans="1:23" hidden="1">
      <c r="A127" s="4" t="s">
        <v>12</v>
      </c>
      <c r="B127" s="14" t="s">
        <v>92</v>
      </c>
      <c r="C127" s="15">
        <v>3</v>
      </c>
      <c r="D127" s="6">
        <v>1825587000</v>
      </c>
      <c r="E127" s="6">
        <v>190026000</v>
      </c>
      <c r="F127" s="42">
        <v>1245690889</v>
      </c>
      <c r="G127" s="15">
        <f>Tabela3[[#This Row],[Lucro Líquido]]/Tabela3[[#This Row],[Total Ações]]</f>
        <v>0.15254667243536371</v>
      </c>
      <c r="H127" s="15">
        <f>Tabela3[[#This Row],[Lucro/Ação]]/Tabela3[[#This Row],[Ref]]*4</f>
        <v>0.20339556324715161</v>
      </c>
      <c r="I127" s="19">
        <f>IF(GETPIVOTDATA("Payout",'Tabela LL'!$A$3,"Ativo",Tabela3[[#This Row],[PAPEL]])&gt;1,1,GETPIVOTDATA("Payout",'Tabela LL'!$A$3,"Ativo",Tabela3[[#This Row],[PAPEL]]))</f>
        <v>1</v>
      </c>
      <c r="J127" s="6">
        <f>[Patrimônio Líquido]/[Total Ações]</f>
        <v>1.4655216764614227</v>
      </c>
      <c r="K127" s="52">
        <f>MAX(Tabela3[[#This Row],[Cotação 1]],Tabela3[[#This Row],[Cotação 2]])</f>
        <v>12.5</v>
      </c>
      <c r="L127" s="48">
        <f>[Cotação]/[VPA]</f>
        <v>8.5293859522991777</v>
      </c>
      <c r="M127" s="44">
        <f>IF(Tabela3[[#This Row],[Lucro/Ação Ano]]&gt;0,Tabela3[[#This Row],[Cotação]]/Tabela3[[#This Row],[Lucro/Ação Ano]],0)</f>
        <v>61.456601119715195</v>
      </c>
      <c r="N127" s="6">
        <f>ROUND(Tabela3[[#This Row],[Lucro Prev]]/10%,2)</f>
        <v>2.0299999999999998</v>
      </c>
      <c r="O127" s="61">
        <f>MIN(Tabela3[[#This Row],[10% Rent]],Tabela3[[#This Row],[VPA]]*3.5)</f>
        <v>2.0299999999999998</v>
      </c>
      <c r="P127" s="19">
        <f>Tabela3[[#This Row],[P Compra]]/Tabela3[[#This Row],[Cotação]]-1</f>
        <v>-0.83760000000000001</v>
      </c>
      <c r="Q127" s="6">
        <f>Tabela3[[#This Row],[Lucro/Ação Ano]]*Tabela3[[#This Row],[Payout]]</f>
        <v>0.20339556324715161</v>
      </c>
      <c r="R127" s="14" t="str">
        <f>IF(AND([% Yield]&gt;=10%,[PVPA]&lt;=3.5,[PL]&lt;=15,[PL]&gt;0),"Sim","Não")</f>
        <v>Não</v>
      </c>
      <c r="S127" s="46">
        <f>Tabela3[[#This Row],[Lucro Prev]]/Tabela3[[#This Row],[Cotação]]</f>
        <v>1.6271645059772129E-2</v>
      </c>
      <c r="T127" s="14">
        <f>($Z$1/Tabela3[[#This Row],[Cotação]]-MOD($Z$1/Tabela3[[#This Row],[Cotação]],100))</f>
        <v>0</v>
      </c>
      <c r="U127" s="17">
        <f>Tabela3[[#This Row],[Ativos]]*Tabela3[[#This Row],[Lucro Prev]]</f>
        <v>0</v>
      </c>
      <c r="V127" s="5">
        <f>SUMPRODUCT(N(Tabela1[Código]=Tabela3[[#This Row],[PAPEL]]),Tabela1[Fechamento])</f>
        <v>12.5</v>
      </c>
      <c r="W127" s="5">
        <f>SUMPRODUCT(N(Tabela17[Código]=Tabela3[[#This Row],[PAPEL]]),Tabela17[Fechamento])</f>
        <v>0</v>
      </c>
    </row>
    <row r="128" spans="1:23" hidden="1">
      <c r="A128" s="3" t="s">
        <v>651</v>
      </c>
      <c r="B128" s="74" t="s">
        <v>689</v>
      </c>
      <c r="C128" s="16">
        <v>3</v>
      </c>
      <c r="D128" s="5">
        <v>3824504000</v>
      </c>
      <c r="E128" s="5">
        <v>227417000</v>
      </c>
      <c r="F128" s="21">
        <v>189997214</v>
      </c>
      <c r="G128" s="16">
        <f>Tabela3[[#This Row],[Lucro Líquido]]/Tabela3[[#This Row],[Total Ações]]</f>
        <v>1.1969491300014536</v>
      </c>
      <c r="H128" s="16">
        <f>Tabela3[[#This Row],[Lucro/Ação]]/Tabela3[[#This Row],[Ref]]*4</f>
        <v>1.5959321733352716</v>
      </c>
      <c r="I128" s="18">
        <f>IF(GETPIVOTDATA("Payout",'Tabela LL'!$A$3,"Ativo",Tabela3[[#This Row],[PAPEL]])&gt;1,1,GETPIVOTDATA("Payout",'Tabela LL'!$A$3,"Ativo",Tabela3[[#This Row],[PAPEL]]))</f>
        <v>0.46005623926256656</v>
      </c>
      <c r="J128" s="5">
        <f>[Patrimônio Líquido]/[Total Ações]</f>
        <v>20.129263579622805</v>
      </c>
      <c r="K128" s="58">
        <f>MAX(Tabela3[[#This Row],[Cotação 1]],Tabela3[[#This Row],[Cotação 2]])</f>
        <v>48.12</v>
      </c>
      <c r="L128" s="59">
        <f>[Cotação]/[VPA]</f>
        <v>2.3905494510346963</v>
      </c>
      <c r="M128" s="40">
        <f>IF(Tabela3[[#This Row],[Lucro/Ação Ano]]&gt;0,Tabela3[[#This Row],[Cotação]]/Tabela3[[#This Row],[Lucro/Ação Ano]],0)</f>
        <v>30.151657322275817</v>
      </c>
      <c r="N128" s="7">
        <f>ROUND(Tabela3[[#This Row],[Lucro Prev]]/10%,2)</f>
        <v>7.34</v>
      </c>
      <c r="O128" s="51">
        <f>MIN(Tabela3[[#This Row],[10% Rent]],Tabela3[[#This Row],[VPA]]*3.5)</f>
        <v>7.34</v>
      </c>
      <c r="P128" s="18">
        <f>Tabela3[[#This Row],[P Compra]]/Tabela3[[#This Row],[Cotação]]-1</f>
        <v>-0.84746467165419781</v>
      </c>
      <c r="Q128" s="5">
        <f>Tabela3[[#This Row],[Lucro/Ação Ano]]*Tabela3[[#This Row],[Payout]]</f>
        <v>0.73421855378275958</v>
      </c>
      <c r="R128" s="16" t="str">
        <f>IF(AND([% Yield]&gt;=10%,[PVPA]&lt;=3.5,[PL]&lt;=15,[PL]&gt;0),"Sim","Não")</f>
        <v>Não</v>
      </c>
      <c r="S128" s="22">
        <f>Tabela3[[#This Row],[Lucro Prev]]/Tabela3[[#This Row],[Cotação]]</f>
        <v>1.5258074683764746E-2</v>
      </c>
      <c r="T128" s="10">
        <f>($Z$1/Tabela3[[#This Row],[Cotação]]-MOD($Z$1/Tabela3[[#This Row],[Cotação]],100))</f>
        <v>0</v>
      </c>
      <c r="U128" s="7">
        <f>Tabela3[[#This Row],[Ativos]]*Tabela3[[#This Row],[Lucro Prev]]</f>
        <v>0</v>
      </c>
      <c r="V128" s="51">
        <f>SUMPRODUCT(N(Tabela1[Código]=Tabela3[[#This Row],[PAPEL]]),Tabela1[Fechamento])</f>
        <v>0</v>
      </c>
      <c r="W128" s="60">
        <f>SUMPRODUCT(N(Tabela17[Código]=Tabela3[[#This Row],[PAPEL]]),Tabela17[Fechamento])</f>
        <v>48.12</v>
      </c>
    </row>
    <row r="129" spans="1:23" hidden="1">
      <c r="A129" s="4" t="s">
        <v>19</v>
      </c>
      <c r="B129" s="14" t="s">
        <v>55</v>
      </c>
      <c r="C129" s="15">
        <v>3</v>
      </c>
      <c r="D129" s="6">
        <v>5466325000</v>
      </c>
      <c r="E129" s="6">
        <v>268577000</v>
      </c>
      <c r="F129" s="42">
        <v>917683296</v>
      </c>
      <c r="G129" s="15">
        <f>Tabela3[[#This Row],[Lucro Líquido]]/Tabela3[[#This Row],[Total Ações]]</f>
        <v>0.29266850684835827</v>
      </c>
      <c r="H129" s="15">
        <f>Tabela3[[#This Row],[Lucro/Ação]]/Tabela3[[#This Row],[Ref]]*4</f>
        <v>0.390224675797811</v>
      </c>
      <c r="I129" s="19">
        <f>IF(GETPIVOTDATA("Payout",'Tabela LL'!$A$3,"Ativo",Tabela3[[#This Row],[PAPEL]])&gt;1,1,GETPIVOTDATA("Payout",'Tabela LL'!$A$3,"Ativo",Tabela3[[#This Row],[PAPEL]]))</f>
        <v>0.43406605496565737</v>
      </c>
      <c r="J129" s="6">
        <f>[Patrimônio Líquido]/[Total Ações]</f>
        <v>5.9566574043862728</v>
      </c>
      <c r="K129" s="52">
        <f>MAX(Tabela3[[#This Row],[Cotação 1]],Tabela3[[#This Row],[Cotação 2]])</f>
        <v>11.93</v>
      </c>
      <c r="L129" s="48">
        <f>[Cotação]/[VPA]</f>
        <v>2.0028010996931211</v>
      </c>
      <c r="M129" s="44">
        <f>IF(Tabela3[[#This Row],[Lucro/Ação Ano]]&gt;0,Tabela3[[#This Row],[Cotação]]/Tabela3[[#This Row],[Lucro/Ação Ano]],0)</f>
        <v>30.572131235958405</v>
      </c>
      <c r="N129" s="6">
        <f>ROUND(Tabela3[[#This Row],[Lucro Prev]]/10%,2)</f>
        <v>1.69</v>
      </c>
      <c r="O129" s="61">
        <f>MIN(Tabela3[[#This Row],[10% Rent]],Tabela3[[#This Row],[VPA]]*3.5)</f>
        <v>1.69</v>
      </c>
      <c r="P129" s="19">
        <f>Tabela3[[#This Row],[P Compra]]/Tabela3[[#This Row],[Cotação]]-1</f>
        <v>-0.85834031852472759</v>
      </c>
      <c r="Q129" s="6">
        <f>Tabela3[[#This Row],[Lucro/Ação Ano]]*Tabela3[[#This Row],[Payout]]</f>
        <v>0.16938328557380847</v>
      </c>
      <c r="R129" s="15" t="str">
        <f>IF(AND([% Yield]&gt;=10%,[PVPA]&lt;=3.5,[PL]&lt;=15,[PL]&gt;0),"Sim","Não")</f>
        <v>Não</v>
      </c>
      <c r="S129" s="46">
        <f>Tabela3[[#This Row],[Lucro Prev]]/Tabela3[[#This Row],[Cotação]]</f>
        <v>1.4198096024627701E-2</v>
      </c>
      <c r="T129" s="14">
        <f>($Z$1/Tabela3[[#This Row],[Cotação]]-MOD($Z$1/Tabela3[[#This Row],[Cotação]],100))</f>
        <v>0</v>
      </c>
      <c r="U129" s="17">
        <f>Tabela3[[#This Row],[Ativos]]*Tabela3[[#This Row],[Lucro Prev]]</f>
        <v>0</v>
      </c>
      <c r="V129" s="5">
        <f>SUMPRODUCT(N(Tabela1[Código]=Tabela3[[#This Row],[PAPEL]]),Tabela1[Fechamento])</f>
        <v>11.93</v>
      </c>
      <c r="W129" s="5">
        <f>SUMPRODUCT(N(Tabela17[Código]=Tabela3[[#This Row],[PAPEL]]),Tabela17[Fechamento])</f>
        <v>0</v>
      </c>
    </row>
    <row r="130" spans="1:23" hidden="1">
      <c r="A130" s="3" t="s">
        <v>280</v>
      </c>
      <c r="B130" s="15" t="s">
        <v>83</v>
      </c>
      <c r="C130" s="16">
        <v>3</v>
      </c>
      <c r="D130" s="5">
        <v>1206918000</v>
      </c>
      <c r="E130" s="5">
        <v>49929000</v>
      </c>
      <c r="F130" s="21">
        <v>88320000</v>
      </c>
      <c r="G130" s="16">
        <f>Tabela3[[#This Row],[Lucro Líquido]]/Tabela3[[#This Row],[Total Ações]]</f>
        <v>0.56531929347826082</v>
      </c>
      <c r="H130" s="16">
        <f>Tabela3[[#This Row],[Lucro/Ação]]/Tabela3[[#This Row],[Ref]]*4</f>
        <v>0.75375905797101439</v>
      </c>
      <c r="I130" s="18">
        <f>IF(GETPIVOTDATA("Payout",'Tabela LL'!$A$3,"Ativo",Tabela3[[#This Row],[PAPEL]])&gt;1,1,GETPIVOTDATA("Payout",'Tabela LL'!$A$3,"Ativo",Tabela3[[#This Row],[PAPEL]]))</f>
        <v>0.24741229164584114</v>
      </c>
      <c r="J130" s="5">
        <f>[Patrimônio Líquido]/[Total Ações]</f>
        <v>13.665285326086957</v>
      </c>
      <c r="K130" s="58">
        <f>MAX(Tabela3[[#This Row],[Cotação 1]],Tabela3[[#This Row],[Cotação 2]])</f>
        <v>13.1</v>
      </c>
      <c r="L130" s="59">
        <f>[Cotação]/[VPA]</f>
        <v>0.95863347799933374</v>
      </c>
      <c r="M130" s="40">
        <f>IF(Tabela3[[#This Row],[Lucro/Ação Ano]]&gt;0,Tabela3[[#This Row],[Cotação]]/Tabela3[[#This Row],[Lucro/Ação Ano]],0)</f>
        <v>17.379558973742718</v>
      </c>
      <c r="N130" s="5">
        <f>ROUND(Tabela3[[#This Row],[Lucro Prev]]/10%,2)</f>
        <v>1.86</v>
      </c>
      <c r="O130" s="60">
        <f>MIN(Tabela3[[#This Row],[10% Rent]],Tabela3[[#This Row],[VPA]]*3.5)</f>
        <v>1.86</v>
      </c>
      <c r="P130" s="18">
        <f>Tabela3[[#This Row],[P Compra]]/Tabela3[[#This Row],[Cotação]]-1</f>
        <v>-0.85801526717557253</v>
      </c>
      <c r="Q130" s="5">
        <f>Tabela3[[#This Row],[Lucro/Ação Ano]]*Tabela3[[#This Row],[Payout]]</f>
        <v>0.1864892558814191</v>
      </c>
      <c r="R130" s="16" t="str">
        <f>IF(AND([% Yield]&gt;=10%,[PVPA]&lt;=3.5,[PL]&lt;=15,[PL]&gt;0),"Sim","Não")</f>
        <v>Não</v>
      </c>
      <c r="S130" s="22">
        <f>Tabela3[[#This Row],[Lucro Prev]]/Tabela3[[#This Row],[Cotação]]</f>
        <v>1.4235821059650313E-2</v>
      </c>
      <c r="T130" s="10">
        <f>($Z$1/Tabela3[[#This Row],[Cotação]]-MOD($Z$1/Tabela3[[#This Row],[Cotação]],100))</f>
        <v>0</v>
      </c>
      <c r="U130" s="7">
        <f>Tabela3[[#This Row],[Ativos]]*Tabela3[[#This Row],[Lucro Prev]]</f>
        <v>0</v>
      </c>
      <c r="V130" s="5">
        <f>SUMPRODUCT(N(Tabela1[Código]=Tabela3[[#This Row],[PAPEL]]),Tabela1[Fechamento])</f>
        <v>13.1</v>
      </c>
      <c r="W130" s="5">
        <f>SUMPRODUCT(N(Tabela17[Código]=Tabela3[[#This Row],[PAPEL]]),Tabela17[Fechamento])</f>
        <v>0</v>
      </c>
    </row>
    <row r="131" spans="1:23" hidden="1">
      <c r="A131" s="4" t="s">
        <v>19</v>
      </c>
      <c r="B131" s="14" t="s">
        <v>211</v>
      </c>
      <c r="C131" s="15">
        <v>3</v>
      </c>
      <c r="D131" s="6">
        <v>5466325000</v>
      </c>
      <c r="E131" s="6">
        <v>268577000</v>
      </c>
      <c r="F131" s="42">
        <v>917683296</v>
      </c>
      <c r="G131" s="15">
        <f>Tabela3[[#This Row],[Lucro Líquido]]/Tabela3[[#This Row],[Total Ações]]</f>
        <v>0.29266850684835827</v>
      </c>
      <c r="H131" s="15">
        <f>Tabela3[[#This Row],[Lucro/Ação]]/Tabela3[[#This Row],[Ref]]*4</f>
        <v>0.390224675797811</v>
      </c>
      <c r="I131" s="19">
        <f>IF(GETPIVOTDATA("Payout",'Tabela LL'!$A$3,"Ativo",Tabela3[[#This Row],[PAPEL]])&gt;1,1,GETPIVOTDATA("Payout",'Tabela LL'!$A$3,"Ativo",Tabela3[[#This Row],[PAPEL]]))</f>
        <v>0.39457960469026815</v>
      </c>
      <c r="J131" s="6">
        <f>[Patrimônio Líquido]/[Total Ações]</f>
        <v>5.9566574043862728</v>
      </c>
      <c r="K131" s="52">
        <f>MAX(Tabela3[[#This Row],[Cotação 1]],Tabela3[[#This Row],[Cotação 2]])</f>
        <v>11</v>
      </c>
      <c r="L131" s="48">
        <f>[Cotação]/[VPA]</f>
        <v>1.8466732687866163</v>
      </c>
      <c r="M131" s="44">
        <f>IF(Tabela3[[#This Row],[Lucro/Ação Ano]]&gt;0,Tabela3[[#This Row],[Cotação]]/Tabela3[[#This Row],[Lucro/Ação Ano]],0)</f>
        <v>28.188888817731975</v>
      </c>
      <c r="N131" s="6">
        <f>ROUND(Tabela3[[#This Row],[Lucro Prev]]/10%,2)</f>
        <v>1.54</v>
      </c>
      <c r="O131" s="61">
        <f>MIN(Tabela3[[#This Row],[10% Rent]],Tabela3[[#This Row],[VPA]]*3.5)</f>
        <v>1.54</v>
      </c>
      <c r="P131" s="19">
        <f>Tabela3[[#This Row],[P Compra]]/Tabela3[[#This Row],[Cotação]]-1</f>
        <v>-0.86</v>
      </c>
      <c r="Q131" s="6">
        <f>Tabela3[[#This Row],[Lucro/Ação Ano]]*Tabela3[[#This Row],[Payout]]</f>
        <v>0.15397469831668831</v>
      </c>
      <c r="R131" s="15" t="str">
        <f>IF(AND([% Yield]&gt;=10%,[PVPA]&lt;=3.5,[PL]&lt;=15,[PL]&gt;0),"Sim","Não")</f>
        <v>Não</v>
      </c>
      <c r="S131" s="46">
        <f>Tabela3[[#This Row],[Lucro Prev]]/Tabela3[[#This Row],[Cotação]]</f>
        <v>1.3997699846971664E-2</v>
      </c>
      <c r="T131" s="14">
        <f>($Z$1/Tabela3[[#This Row],[Cotação]]-MOD($Z$1/Tabela3[[#This Row],[Cotação]],100))</f>
        <v>0</v>
      </c>
      <c r="U131" s="17">
        <f>Tabela3[[#This Row],[Ativos]]*Tabela3[[#This Row],[Lucro Prev]]</f>
        <v>0</v>
      </c>
      <c r="V131" s="5">
        <f>SUMPRODUCT(N(Tabela1[Código]=Tabela3[[#This Row],[PAPEL]]),Tabela1[Fechamento])</f>
        <v>11</v>
      </c>
      <c r="W131" s="5">
        <f>SUMPRODUCT(N(Tabela17[Código]=Tabela3[[#This Row],[PAPEL]]),Tabela17[Fechamento])</f>
        <v>0</v>
      </c>
    </row>
    <row r="132" spans="1:23" hidden="1">
      <c r="A132" s="4" t="s">
        <v>40</v>
      </c>
      <c r="B132" s="14" t="s">
        <v>325</v>
      </c>
      <c r="C132" s="16">
        <v>3</v>
      </c>
      <c r="D132" s="5">
        <v>8048177000</v>
      </c>
      <c r="E132" s="5">
        <v>485601000</v>
      </c>
      <c r="F132" s="21">
        <v>797265348</v>
      </c>
      <c r="G132" s="72">
        <f>Tabela3[[#This Row],[Lucro Líquido]]/Tabela3[[#This Row],[Total Ações]]</f>
        <v>0.60908328854147065</v>
      </c>
      <c r="H132" s="16">
        <f>Tabela3[[#This Row],[Lucro/Ação]]/Tabela3[[#This Row],[Ref]]*4</f>
        <v>0.81211105138862749</v>
      </c>
      <c r="I132" s="18">
        <f>IF(GETPIVOTDATA("Payout",'Tabela LL'!$A$3,"Ativo",Tabela3[[#This Row],[PAPEL]])&gt;1,1,GETPIVOTDATA("Payout",'Tabela LL'!$A$3,"Ativo",Tabela3[[#This Row],[PAPEL]]))</f>
        <v>0.35050699967240423</v>
      </c>
      <c r="J132" s="5">
        <f>[Patrimônio Líquido]/[Total Ações]</f>
        <v>10.094728210864121</v>
      </c>
      <c r="K132" s="58">
        <f>MAX(Tabela3[[#This Row],[Cotação 1]],Tabela3[[#This Row],[Cotação 2]])</f>
        <v>20.399999999999999</v>
      </c>
      <c r="L132" s="59">
        <f>[Cotação]/[VPA]</f>
        <v>2.0208567852322332</v>
      </c>
      <c r="M132" s="40">
        <f>IF(Tabela3[[#This Row],[Lucro/Ação Ano]]&gt;0,Tabela3[[#This Row],[Cotação]]/Tabela3[[#This Row],[Lucro/Ação Ano]],0)</f>
        <v>25.119717266644837</v>
      </c>
      <c r="N132" s="51">
        <f>ROUND(Tabela3[[#This Row],[Lucro Prev]]/10%,2)</f>
        <v>2.85</v>
      </c>
      <c r="O132" s="51">
        <f>MIN(Tabela3[[#This Row],[10% Rent]],Tabela3[[#This Row],[VPA]]*3.5)</f>
        <v>2.85</v>
      </c>
      <c r="P132" s="18">
        <f>Tabela3[[#This Row],[P Compra]]/Tabela3[[#This Row],[Cotação]]-1</f>
        <v>-0.86029411764705888</v>
      </c>
      <c r="Q132" s="5">
        <f>Tabela3[[#This Row],[Lucro/Ação Ano]]*Tabela3[[#This Row],[Payout]]</f>
        <v>0.28465060802302949</v>
      </c>
      <c r="R132" s="16" t="str">
        <f>IF(AND([% Yield]&gt;=10%,[PVPA]&lt;=3.5,[PL]&lt;=15,[PL]&gt;0),"Sim","Não")</f>
        <v>Não</v>
      </c>
      <c r="S132" s="22">
        <f>Tabela3[[#This Row],[Lucro Prev]]/Tabela3[[#This Row],[Cotação]]</f>
        <v>1.3953461177599486E-2</v>
      </c>
      <c r="T132" s="10">
        <f>($Z$1/Tabela3[[#This Row],[Cotação]]-MOD($Z$1/Tabela3[[#This Row],[Cotação]],100))</f>
        <v>0</v>
      </c>
      <c r="U132" s="7">
        <f>Tabela3[[#This Row],[Ativos]]*Tabela3[[#This Row],[Lucro Prev]]</f>
        <v>0</v>
      </c>
      <c r="V132" s="51">
        <f>SUMPRODUCT(N(Tabela1[Código]=Tabela3[[#This Row],[PAPEL]]),Tabela1[Fechamento])</f>
        <v>0</v>
      </c>
      <c r="W132" s="51">
        <f>SUMPRODUCT(N(Tabela17[Código]=Tabela3[[#This Row],[PAPEL]]),Tabela17[Fechamento])</f>
        <v>20.399999999999999</v>
      </c>
    </row>
    <row r="133" spans="1:23" hidden="1">
      <c r="A133" s="3" t="s">
        <v>331</v>
      </c>
      <c r="B133" s="74" t="s">
        <v>334</v>
      </c>
      <c r="C133" s="16">
        <v>3</v>
      </c>
      <c r="D133" s="5">
        <v>2075419000</v>
      </c>
      <c r="E133" s="5">
        <v>95615000</v>
      </c>
      <c r="F133" s="21">
        <v>113000000</v>
      </c>
      <c r="G133" s="72">
        <f>Tabela3[[#This Row],[Lucro Líquido]]/Tabela3[[#This Row],[Total Ações]]</f>
        <v>0.84615044247787607</v>
      </c>
      <c r="H133" s="16">
        <f>Tabela3[[#This Row],[Lucro/Ação]]/Tabela3[[#This Row],[Ref]]*4</f>
        <v>1.1282005899705014</v>
      </c>
      <c r="I133" s="18">
        <f>IF(GETPIVOTDATA("Payout",'Tabela LL'!$A$3,"Ativo",Tabela3[[#This Row],[PAPEL]])&gt;1,1,GETPIVOTDATA("Payout",'Tabela LL'!$A$3,"Ativo",Tabela3[[#This Row],[PAPEL]]))</f>
        <v>0.3337402763144719</v>
      </c>
      <c r="J133" s="5">
        <f>[Patrimônio Líquido]/[Total Ações]</f>
        <v>18.36653982300885</v>
      </c>
      <c r="K133" s="58">
        <f>MAX(Tabela3[[#This Row],[Cotação 1]],Tabela3[[#This Row],[Cotação 2]])</f>
        <v>28.04</v>
      </c>
      <c r="L133" s="59">
        <f>[Cotação]/[VPA]</f>
        <v>1.5266893094840126</v>
      </c>
      <c r="M133" s="40">
        <f>IF(Tabela3[[#This Row],[Lucro/Ação Ano]]&gt;0,Tabela3[[#This Row],[Cotação]]/Tabela3[[#This Row],[Lucro/Ação Ano]],0)</f>
        <v>24.853736338440623</v>
      </c>
      <c r="N133" s="7">
        <f>ROUND(Tabela3[[#This Row],[Lucro Prev]]/10%,2)</f>
        <v>3.77</v>
      </c>
      <c r="O133" s="51">
        <f>MIN(Tabela3[[#This Row],[10% Rent]],Tabela3[[#This Row],[VPA]]*3.5)</f>
        <v>3.77</v>
      </c>
      <c r="P133" s="18">
        <f>Tabela3[[#This Row],[P Compra]]/Tabela3[[#This Row],[Cotação]]-1</f>
        <v>-0.86554921540656204</v>
      </c>
      <c r="Q133" s="5">
        <f>Tabela3[[#This Row],[Lucro/Ação Ano]]*Tabela3[[#This Row],[Payout]]</f>
        <v>0.37652597663490533</v>
      </c>
      <c r="R133" s="16" t="str">
        <f>IF(AND([% Yield]&gt;=10%,[PVPA]&lt;=3.5,[PL]&lt;=15,[PL]&gt;0),"Sim","Não")</f>
        <v>Não</v>
      </c>
      <c r="S133" s="22">
        <f>Tabela3[[#This Row],[Lucro Prev]]/Tabela3[[#This Row],[Cotação]]</f>
        <v>1.3428173203812602E-2</v>
      </c>
      <c r="T133" s="10">
        <f>($Z$1/Tabela3[[#This Row],[Cotação]]-MOD($Z$1/Tabela3[[#This Row],[Cotação]],100))</f>
        <v>0</v>
      </c>
      <c r="U133" s="7">
        <f>Tabela3[[#This Row],[Ativos]]*Tabela3[[#This Row],[Lucro Prev]]</f>
        <v>0</v>
      </c>
      <c r="V133" s="51">
        <f>SUMPRODUCT(N(Tabela1[Código]=Tabela3[[#This Row],[PAPEL]]),Tabela1[Fechamento])</f>
        <v>0</v>
      </c>
      <c r="W133" s="60">
        <f>SUMPRODUCT(N(Tabela17[Código]=Tabela3[[#This Row],[PAPEL]]),Tabela17[Fechamento])</f>
        <v>28.04</v>
      </c>
    </row>
    <row r="134" spans="1:23" hidden="1">
      <c r="A134" s="3" t="s">
        <v>350</v>
      </c>
      <c r="B134" s="74" t="s">
        <v>349</v>
      </c>
      <c r="C134" s="16">
        <v>3</v>
      </c>
      <c r="D134" s="5">
        <v>14444342000</v>
      </c>
      <c r="E134" s="5">
        <v>1006640000</v>
      </c>
      <c r="F134" s="21">
        <v>2417632647</v>
      </c>
      <c r="G134" s="72">
        <f>Tabela3[[#This Row],[Lucro Líquido]]/Tabela3[[#This Row],[Total Ações]]</f>
        <v>0.41637425820218088</v>
      </c>
      <c r="H134" s="16">
        <f>Tabela3[[#This Row],[Lucro/Ação]]/Tabela3[[#This Row],[Ref]]*4</f>
        <v>0.5551656776029078</v>
      </c>
      <c r="I134" s="18">
        <f>IF(GETPIVOTDATA("Payout",'Tabela LL'!$A$3,"Ativo",Tabela3[[#This Row],[PAPEL]])&gt;1,1,GETPIVOTDATA("Payout",'Tabela LL'!$A$3,"Ativo",Tabela3[[#This Row],[PAPEL]]))</f>
        <v>0.31662042253674527</v>
      </c>
      <c r="J134" s="5">
        <f>[Patrimônio Líquido]/[Total Ações]</f>
        <v>5.974580967842134</v>
      </c>
      <c r="K134" s="58">
        <f>MAX(Tabela3[[#This Row],[Cotação 1]],Tabela3[[#This Row],[Cotação 2]])</f>
        <v>13.29</v>
      </c>
      <c r="L134" s="59">
        <f>[Cotação]/[VPA]</f>
        <v>2.224423783279986</v>
      </c>
      <c r="M134" s="40">
        <f>IF(Tabela3[[#This Row],[Lucro/Ação Ano]]&gt;0,Tabela3[[#This Row],[Cotação]]/Tabela3[[#This Row],[Lucro/Ação Ano]],0)</f>
        <v>23.938799778443634</v>
      </c>
      <c r="N134" s="7">
        <f>ROUND(Tabela3[[#This Row],[Lucro Prev]]/10%,2)</f>
        <v>1.76</v>
      </c>
      <c r="O134" s="51">
        <f>MIN(Tabela3[[#This Row],[10% Rent]],Tabela3[[#This Row],[VPA]]*3.5)</f>
        <v>1.76</v>
      </c>
      <c r="P134" s="18">
        <f>Tabela3[[#This Row],[P Compra]]/Tabela3[[#This Row],[Cotação]]-1</f>
        <v>-0.86756960120391269</v>
      </c>
      <c r="Q134" s="5">
        <f>Tabela3[[#This Row],[Lucro/Ação Ano]]*Tabela3[[#This Row],[Payout]]</f>
        <v>0.17577679142053118</v>
      </c>
      <c r="R134" s="16" t="str">
        <f>IF(AND([% Yield]&gt;=10%,[PVPA]&lt;=3.5,[PL]&lt;=15,[PL]&gt;0),"Sim","Não")</f>
        <v>Não</v>
      </c>
      <c r="S134" s="22">
        <f>Tabela3[[#This Row],[Lucro Prev]]/Tabela3[[#This Row],[Cotação]]</f>
        <v>1.3226244651657728E-2</v>
      </c>
      <c r="T134" s="10">
        <f>($Z$1/Tabela3[[#This Row],[Cotação]]-MOD($Z$1/Tabela3[[#This Row],[Cotação]],100))</f>
        <v>0</v>
      </c>
      <c r="U134" s="7">
        <f>Tabela3[[#This Row],[Ativos]]*Tabela3[[#This Row],[Lucro Prev]]</f>
        <v>0</v>
      </c>
      <c r="V134" s="51">
        <f>SUMPRODUCT(N(Tabela1[Código]=Tabela3[[#This Row],[PAPEL]]),Tabela1[Fechamento])</f>
        <v>0</v>
      </c>
      <c r="W134" s="60">
        <f>SUMPRODUCT(N(Tabela17[Código]=Tabela3[[#This Row],[PAPEL]]),Tabela17[Fechamento])</f>
        <v>13.29</v>
      </c>
    </row>
    <row r="135" spans="1:23" hidden="1">
      <c r="A135" s="4" t="s">
        <v>26</v>
      </c>
      <c r="B135" s="71" t="s">
        <v>25</v>
      </c>
      <c r="C135" s="15">
        <v>3</v>
      </c>
      <c r="D135" s="6">
        <v>6389579000</v>
      </c>
      <c r="E135" s="6">
        <v>1570142000</v>
      </c>
      <c r="F135" s="42">
        <v>2000000000</v>
      </c>
      <c r="G135" s="73">
        <f>Tabela3[[#This Row],[Lucro Líquido]]/Tabela3[[#This Row],[Total Ações]]</f>
        <v>0.78507099999999996</v>
      </c>
      <c r="H135" s="15">
        <f>Tabela3[[#This Row],[Lucro/Ação]]/Tabela3[[#This Row],[Ref]]*4</f>
        <v>1.0467613333333332</v>
      </c>
      <c r="I135" s="19">
        <f>IF(GETPIVOTDATA("Payout",'Tabela LL'!$A$3,"Ativo",Tabela3[[#This Row],[PAPEL]])&gt;1,1,GETPIVOTDATA("Payout",'Tabela LL'!$A$3,"Ativo",Tabela3[[#This Row],[PAPEL]]))</f>
        <v>0.25</v>
      </c>
      <c r="J135" s="6">
        <f>[Patrimônio Líquido]/[Total Ações]</f>
        <v>3.1947895000000002</v>
      </c>
      <c r="K135" s="52">
        <f>MAX(Tabela3[[#This Row],[Cotação 1]],Tabela3[[#This Row],[Cotação 2]])</f>
        <v>22.95</v>
      </c>
      <c r="L135" s="48">
        <f>[Cotação]/[VPA]</f>
        <v>7.1835718753927287</v>
      </c>
      <c r="M135" s="44">
        <f>IF(Tabela3[[#This Row],[Lucro/Ação Ano]]&gt;0,Tabela3[[#This Row],[Cotação]]/Tabela3[[#This Row],[Lucro/Ação Ano]],0)</f>
        <v>21.924768587809258</v>
      </c>
      <c r="N135" s="13">
        <f>ROUND(Tabela3[[#This Row],[Lucro Prev]]/10%,2)</f>
        <v>2.62</v>
      </c>
      <c r="O135" s="13">
        <f>MIN(Tabela3[[#This Row],[10% Rent]],Tabela3[[#This Row],[VPA]]*3.5)</f>
        <v>2.62</v>
      </c>
      <c r="P135" s="19">
        <f>Tabela3[[#This Row],[P Compra]]/Tabela3[[#This Row],[Cotação]]-1</f>
        <v>-0.88583877995642701</v>
      </c>
      <c r="Q135" s="6">
        <f>Tabela3[[#This Row],[Lucro/Ação Ano]]*Tabela3[[#This Row],[Payout]]</f>
        <v>0.2616903333333333</v>
      </c>
      <c r="R135" s="15" t="str">
        <f>IF(AND([% Yield]&gt;=10%,[PVPA]&lt;=3.5,[PL]&lt;=15,[PL]&gt;0),"Sim","Não")</f>
        <v>Não</v>
      </c>
      <c r="S135" s="46">
        <f>Tabela3[[#This Row],[Lucro Prev]]/Tabela3[[#This Row],[Cotação]]</f>
        <v>1.1402628903413215E-2</v>
      </c>
      <c r="T135" s="14">
        <f>($Z$1/Tabela3[[#This Row],[Cotação]]-MOD($Z$1/Tabela3[[#This Row],[Cotação]],100))</f>
        <v>0</v>
      </c>
      <c r="U135" s="17">
        <f>Tabela3[[#This Row],[Ativos]]*Tabela3[[#This Row],[Lucro Prev]]</f>
        <v>0</v>
      </c>
      <c r="V135" s="13">
        <f>SUMPRODUCT(N(Tabela1[Código]=Tabela3[[#This Row],[PAPEL]]),Tabela1[Fechamento])</f>
        <v>0</v>
      </c>
      <c r="W135" s="13">
        <f>SUMPRODUCT(N(Tabela17[Código]=Tabela3[[#This Row],[PAPEL]]),Tabela17[Fechamento])</f>
        <v>22.95</v>
      </c>
    </row>
    <row r="136" spans="1:23" hidden="1">
      <c r="A136" s="4" t="s">
        <v>14</v>
      </c>
      <c r="B136" s="14" t="s">
        <v>10</v>
      </c>
      <c r="C136" s="15">
        <v>3</v>
      </c>
      <c r="D136" s="6">
        <v>1922945000</v>
      </c>
      <c r="E136" s="6">
        <v>22434000</v>
      </c>
      <c r="F136" s="42">
        <v>252903569</v>
      </c>
      <c r="G136" s="15">
        <f>Tabela3[[#This Row],[Lucro Líquido]]/Tabela3[[#This Row],[Total Ações]]</f>
        <v>8.8705746971882396E-2</v>
      </c>
      <c r="H136" s="15">
        <f>Tabela3[[#This Row],[Lucro/Ação]]/Tabela3[[#This Row],[Ref]]*4</f>
        <v>0.11827432929584319</v>
      </c>
      <c r="I136" s="19">
        <f>IF(GETPIVOTDATA("Payout",'Tabela LL'!$A$3,"Ativo",Tabela3[[#This Row],[PAPEL]])&gt;1,1,GETPIVOTDATA("Payout",'Tabela LL'!$A$3,"Ativo",Tabela3[[#This Row],[PAPEL]]))</f>
        <v>0.69029873873004899</v>
      </c>
      <c r="J136" s="6">
        <f>[Patrimônio Líquido]/[Total Ações]</f>
        <v>7.60347118707526</v>
      </c>
      <c r="K136" s="52">
        <f>MAX(Tabela3[[#This Row],[Cotação 1]],Tabela3[[#This Row],[Cotação 2]])</f>
        <v>7.4</v>
      </c>
      <c r="L136" s="48">
        <f>[Cotação]/[VPA]</f>
        <v>0.97323969775526609</v>
      </c>
      <c r="M136" s="44">
        <f>IF(Tabela3[[#This Row],[Lucro/Ação Ano]]&gt;0,Tabela3[[#This Row],[Cotação]]/Tabela3[[#This Row],[Lucro/Ação Ano]],0)</f>
        <v>62.56640848488901</v>
      </c>
      <c r="N136" s="6">
        <f>ROUND(Tabela3[[#This Row],[Lucro Prev]]/10%,2)</f>
        <v>0.82</v>
      </c>
      <c r="O136" s="61">
        <f>MIN(Tabela3[[#This Row],[10% Rent]],Tabela3[[#This Row],[VPA]]*3.5)</f>
        <v>0.82</v>
      </c>
      <c r="P136" s="19">
        <f>Tabela3[[#This Row],[P Compra]]/Tabela3[[#This Row],[Cotação]]-1</f>
        <v>-0.88918918918918921</v>
      </c>
      <c r="Q136" s="6">
        <f>Tabela3[[#This Row],[Lucro/Ação Ano]]*Tabela3[[#This Row],[Payout]]</f>
        <v>8.1644620337063045E-2</v>
      </c>
      <c r="R136" s="15" t="str">
        <f>IF(AND([% Yield]&gt;=10%,[PVPA]&lt;=3.5,[PL]&lt;=15,[PL]&gt;0),"Sim","Não")</f>
        <v>Não</v>
      </c>
      <c r="S136" s="46">
        <f>Tabela3[[#This Row],[Lucro Prev]]/Tabela3[[#This Row],[Cotação]]</f>
        <v>1.1033056802305817E-2</v>
      </c>
      <c r="T136" s="14">
        <f>($Z$1/Tabela3[[#This Row],[Cotação]]-MOD($Z$1/Tabela3[[#This Row],[Cotação]],100))</f>
        <v>100</v>
      </c>
      <c r="U136" s="17">
        <f>Tabela3[[#This Row],[Ativos]]*Tabela3[[#This Row],[Lucro Prev]]</f>
        <v>8.1644620337063039</v>
      </c>
      <c r="V136" s="5">
        <f>SUMPRODUCT(N(Tabela1[Código]=Tabela3[[#This Row],[PAPEL]]),Tabela1[Fechamento])</f>
        <v>7.4</v>
      </c>
      <c r="W136" s="5">
        <f>SUMPRODUCT(N(Tabela17[Código]=Tabela3[[#This Row],[PAPEL]]),Tabela17[Fechamento])</f>
        <v>0</v>
      </c>
    </row>
    <row r="137" spans="1:23" hidden="1">
      <c r="A137" s="3" t="s">
        <v>342</v>
      </c>
      <c r="B137" s="74" t="s">
        <v>341</v>
      </c>
      <c r="C137" s="16">
        <v>3</v>
      </c>
      <c r="D137" s="5">
        <v>14822624000</v>
      </c>
      <c r="E137" s="5">
        <v>853987000</v>
      </c>
      <c r="F137" s="21">
        <v>872473246</v>
      </c>
      <c r="G137" s="72">
        <f>Tabela3[[#This Row],[Lucro Líquido]]/Tabela3[[#This Row],[Total Ações]]</f>
        <v>0.97881167579091588</v>
      </c>
      <c r="H137" s="16">
        <f>Tabela3[[#This Row],[Lucro/Ação]]/Tabela3[[#This Row],[Ref]]*4</f>
        <v>1.3050822343878878</v>
      </c>
      <c r="I137" s="18">
        <f>IF(GETPIVOTDATA("Payout",'Tabela LL'!$A$3,"Ativo",Tabela3[[#This Row],[PAPEL]])&gt;1,1,GETPIVOTDATA("Payout",'Tabela LL'!$A$3,"Ativo",Tabela3[[#This Row],[PAPEL]]))</f>
        <v>0.37734950584130339</v>
      </c>
      <c r="J137" s="5">
        <f>[Patrimônio Líquido]/[Total Ações]</f>
        <v>16.989201752554369</v>
      </c>
      <c r="K137" s="58">
        <f>MAX(Tabela3[[#This Row],[Cotação 1]],Tabela3[[#This Row],[Cotação 2]])</f>
        <v>47.28</v>
      </c>
      <c r="L137" s="59">
        <f>[Cotação]/[VPA]</f>
        <v>2.782944171752586</v>
      </c>
      <c r="M137" s="40">
        <f>IF(Tabela3[[#This Row],[Lucro/Ação Ano]]&gt;0,Tabela3[[#This Row],[Cotação]]/Tabela3[[#This Row],[Lucro/Ação Ano]],0)</f>
        <v>36.227602180314221</v>
      </c>
      <c r="N137" s="7">
        <f>ROUND(Tabela3[[#This Row],[Lucro Prev]]/10%,2)</f>
        <v>4.92</v>
      </c>
      <c r="O137" s="51">
        <f>MIN(Tabela3[[#This Row],[10% Rent]],Tabela3[[#This Row],[VPA]]*3.5)</f>
        <v>4.92</v>
      </c>
      <c r="P137" s="18">
        <f>Tabela3[[#This Row],[P Compra]]/Tabela3[[#This Row],[Cotação]]-1</f>
        <v>-0.89593908629441621</v>
      </c>
      <c r="Q137" s="5">
        <f>Tabela3[[#This Row],[Lucro/Ação Ano]]*Tabela3[[#This Row],[Payout]]</f>
        <v>0.49247213622853359</v>
      </c>
      <c r="R137" s="16" t="str">
        <f>IF(AND([% Yield]&gt;=10%,[PVPA]&lt;=3.5,[PL]&lt;=15,[PL]&gt;0),"Sim","Não")</f>
        <v>Não</v>
      </c>
      <c r="S137" s="22">
        <f>Tabela3[[#This Row],[Lucro Prev]]/Tabela3[[#This Row],[Cotação]]</f>
        <v>1.0416077331398764E-2</v>
      </c>
      <c r="T137" s="10">
        <f>($Z$1/Tabela3[[#This Row],[Cotação]]-MOD($Z$1/Tabela3[[#This Row],[Cotação]],100))</f>
        <v>0</v>
      </c>
      <c r="U137" s="7">
        <f>Tabela3[[#This Row],[Ativos]]*Tabela3[[#This Row],[Lucro Prev]]</f>
        <v>0</v>
      </c>
      <c r="V137" s="51">
        <f>SUMPRODUCT(N(Tabela1[Código]=Tabela3[[#This Row],[PAPEL]]),Tabela1[Fechamento])</f>
        <v>0</v>
      </c>
      <c r="W137" s="60">
        <f>SUMPRODUCT(N(Tabela17[Código]=Tabela3[[#This Row],[PAPEL]]),Tabela17[Fechamento])</f>
        <v>47.28</v>
      </c>
    </row>
    <row r="138" spans="1:23" hidden="1">
      <c r="A138" s="3" t="s">
        <v>342</v>
      </c>
      <c r="B138" s="74" t="s">
        <v>344</v>
      </c>
      <c r="C138" s="16">
        <v>3</v>
      </c>
      <c r="D138" s="5">
        <v>21913989000</v>
      </c>
      <c r="E138" s="5">
        <v>786184000</v>
      </c>
      <c r="F138" s="21">
        <v>2943644008</v>
      </c>
      <c r="G138" s="72">
        <f>Tabela3[[#This Row],[Lucro Líquido]]/Tabela3[[#This Row],[Total Ações]]</f>
        <v>0.26707849110265103</v>
      </c>
      <c r="H138" s="16">
        <f>Tabela3[[#This Row],[Lucro/Ação]]/Tabela3[[#This Row],[Ref]]*4</f>
        <v>0.3561046548035347</v>
      </c>
      <c r="I138" s="18">
        <f>IF(GETPIVOTDATA("Payout",'Tabela LL'!$A$3,"Ativo",Tabela3[[#This Row],[PAPEL]])&gt;1,1,GETPIVOTDATA("Payout",'Tabela LL'!$A$3,"Ativo",Tabela3[[#This Row],[PAPEL]]))</f>
        <v>0.23749999886663223</v>
      </c>
      <c r="J138" s="5">
        <f>[Patrimônio Líquido]/[Total Ações]</f>
        <v>7.4445105931437077</v>
      </c>
      <c r="K138" s="58">
        <f>MAX(Tabela3[[#This Row],[Cotação 1]],Tabela3[[#This Row],[Cotação 2]])</f>
        <v>8.39</v>
      </c>
      <c r="L138" s="59">
        <f>[Cotação]/[VPA]</f>
        <v>1.1270049112062619</v>
      </c>
      <c r="M138" s="40">
        <f>IF(Tabela3[[#This Row],[Lucro/Ação Ano]]&gt;0,Tabela3[[#This Row],[Cotação]]/Tabela3[[#This Row],[Lucro/Ação Ano]],0)</f>
        <v>23.560489555040551</v>
      </c>
      <c r="N138" s="7">
        <f>ROUND(Tabela3[[#This Row],[Lucro Prev]]/10%,2)</f>
        <v>0.85</v>
      </c>
      <c r="O138" s="51">
        <f>MIN(Tabela3[[#This Row],[10% Rent]],Tabela3[[#This Row],[VPA]]*3.5)</f>
        <v>0.85</v>
      </c>
      <c r="P138" s="18">
        <f>Tabela3[[#This Row],[P Compra]]/Tabela3[[#This Row],[Cotação]]-1</f>
        <v>-0.89868891537544693</v>
      </c>
      <c r="Q138" s="5">
        <f>Tabela3[[#This Row],[Lucro/Ação Ano]]*Tabela3[[#This Row],[Payout]]</f>
        <v>8.4574855112241956E-2</v>
      </c>
      <c r="R138" s="16" t="str">
        <f>IF(AND([% Yield]&gt;=10%,[PVPA]&lt;=3.5,[PL]&lt;=15,[PL]&gt;0),"Sim","Não")</f>
        <v>Não</v>
      </c>
      <c r="S138" s="22">
        <f>Tabela3[[#This Row],[Lucro Prev]]/Tabela3[[#This Row],[Cotação]]</f>
        <v>1.0080435651041948E-2</v>
      </c>
      <c r="T138" s="10">
        <f>($Z$1/Tabela3[[#This Row],[Cotação]]-MOD($Z$1/Tabela3[[#This Row],[Cotação]],100))</f>
        <v>100</v>
      </c>
      <c r="U138" s="7">
        <f>Tabela3[[#This Row],[Ativos]]*Tabela3[[#This Row],[Lucro Prev]]</f>
        <v>8.4574855112241956</v>
      </c>
      <c r="V138" s="51">
        <f>SUMPRODUCT(N(Tabela1[Código]=Tabela3[[#This Row],[PAPEL]]),Tabela1[Fechamento])</f>
        <v>0</v>
      </c>
      <c r="W138" s="60">
        <f>SUMPRODUCT(N(Tabela17[Código]=Tabela3[[#This Row],[PAPEL]]),Tabela17[Fechamento])</f>
        <v>8.39</v>
      </c>
    </row>
    <row r="139" spans="1:23" hidden="1">
      <c r="A139" s="3" t="s">
        <v>280</v>
      </c>
      <c r="B139" s="14" t="s">
        <v>277</v>
      </c>
      <c r="C139" s="16">
        <v>3</v>
      </c>
      <c r="D139" s="5">
        <v>1206918000</v>
      </c>
      <c r="E139" s="5">
        <v>49929000</v>
      </c>
      <c r="F139" s="21">
        <v>88320000</v>
      </c>
      <c r="G139" s="16">
        <f>Tabela3[[#This Row],[Lucro Líquido]]/Tabela3[[#This Row],[Total Ações]]</f>
        <v>0.56531929347826082</v>
      </c>
      <c r="H139" s="16">
        <f>Tabela3[[#This Row],[Lucro/Ação]]/Tabela3[[#This Row],[Ref]]*4</f>
        <v>0.75375905797101439</v>
      </c>
      <c r="I139" s="18">
        <f>IF(GETPIVOTDATA("Payout",'Tabela LL'!$A$3,"Ativo",Tabela3[[#This Row],[PAPEL]])&gt;1,1,GETPIVOTDATA("Payout",'Tabela LL'!$A$3,"Ativo",Tabela3[[#This Row],[PAPEL]]))</f>
        <v>0.22491646614074809</v>
      </c>
      <c r="J139" s="5">
        <f>[Patrimônio Líquido]/[Total Ações]</f>
        <v>13.665285326086957</v>
      </c>
      <c r="K139" s="58">
        <f>MAX(Tabela3[[#This Row],[Cotação 1]],Tabela3[[#This Row],[Cotação 2]])</f>
        <v>19</v>
      </c>
      <c r="L139" s="59">
        <f>[Cotação]/[VPA]</f>
        <v>1.3903844337394917</v>
      </c>
      <c r="M139" s="40">
        <f>IF(Tabela3[[#This Row],[Lucro/Ação Ano]]&gt;0,Tabela3[[#This Row],[Cotação]]/Tabela3[[#This Row],[Lucro/Ação Ano]],0)</f>
        <v>25.206993931382566</v>
      </c>
      <c r="N139" s="5">
        <f>ROUND(Tabela3[[#This Row],[Lucro Prev]]/10%,2)</f>
        <v>1.7</v>
      </c>
      <c r="O139" s="60">
        <f>MIN(Tabela3[[#This Row],[10% Rent]],Tabela3[[#This Row],[VPA]]*3.5)</f>
        <v>1.7</v>
      </c>
      <c r="P139" s="18">
        <f>Tabela3[[#This Row],[P Compra]]/Tabela3[[#This Row],[Cotação]]-1</f>
        <v>-0.91052631578947363</v>
      </c>
      <c r="Q139" s="5">
        <f>Tabela3[[#This Row],[Lucro/Ação Ano]]*Tabela3[[#This Row],[Payout]]</f>
        <v>0.16953282364041983</v>
      </c>
      <c r="R139" s="16" t="str">
        <f>IF(AND([% Yield]&gt;=10%,[PVPA]&lt;=3.5,[PL]&lt;=15,[PL]&gt;0),"Sim","Não")</f>
        <v>Não</v>
      </c>
      <c r="S139" s="22">
        <f>Tabela3[[#This Row],[Lucro Prev]]/Tabela3[[#This Row],[Cotação]]</f>
        <v>8.922780191601044E-3</v>
      </c>
      <c r="T139" s="10">
        <f>($Z$1/Tabela3[[#This Row],[Cotação]]-MOD($Z$1/Tabela3[[#This Row],[Cotação]],100))</f>
        <v>0</v>
      </c>
      <c r="U139" s="7">
        <f>Tabela3[[#This Row],[Ativos]]*Tabela3[[#This Row],[Lucro Prev]]</f>
        <v>0</v>
      </c>
      <c r="V139" s="5">
        <f>SUMPRODUCT(N(Tabela1[Código]=Tabela3[[#This Row],[PAPEL]]),Tabela1[Fechamento])</f>
        <v>19</v>
      </c>
      <c r="W139" s="5">
        <f>SUMPRODUCT(N(Tabela17[Código]=Tabela3[[#This Row],[PAPEL]]),Tabela17[Fechamento])</f>
        <v>0</v>
      </c>
    </row>
    <row r="140" spans="1:23" hidden="1">
      <c r="A140" s="4" t="s">
        <v>14</v>
      </c>
      <c r="B140" s="14" t="s">
        <v>258</v>
      </c>
      <c r="C140" s="15">
        <v>3</v>
      </c>
      <c r="D140" s="5">
        <v>843867000</v>
      </c>
      <c r="E140" s="5">
        <v>34502000</v>
      </c>
      <c r="F140" s="21">
        <v>73646388</v>
      </c>
      <c r="G140" s="15">
        <f>Tabela3[[#This Row],[Lucro Líquido]]/Tabela3[[#This Row],[Total Ações]]</f>
        <v>0.46848190300928266</v>
      </c>
      <c r="H140" s="15">
        <f>Tabela3[[#This Row],[Lucro/Ação]]/Tabela3[[#This Row],[Ref]]*4</f>
        <v>0.62464253734571018</v>
      </c>
      <c r="I140" s="19">
        <f>IF(GETPIVOTDATA("Payout",'Tabela LL'!$A$3,"Ativo",Tabela3[[#This Row],[PAPEL]])&gt;1,1,GETPIVOTDATA("Payout",'Tabela LL'!$A$3,"Ativo",Tabela3[[#This Row],[PAPEL]]))</f>
        <v>5.4484299057845742E-2</v>
      </c>
      <c r="J140" s="6">
        <f>[Patrimônio Líquido]/[Total Ações]</f>
        <v>11.45836235716</v>
      </c>
      <c r="K140" s="52">
        <f>MAX(Tabela3[[#This Row],[Cotação 1]],Tabela3[[#This Row],[Cotação 2]])</f>
        <v>4</v>
      </c>
      <c r="L140" s="48">
        <f>[Cotação]/[VPA]</f>
        <v>0.34909002484988749</v>
      </c>
      <c r="M140" s="44">
        <f>IF(Tabela3[[#This Row],[Lucro/Ação Ano]]&gt;0,Tabela3[[#This Row],[Cotação]]/Tabela3[[#This Row],[Lucro/Ação Ano]],0)</f>
        <v>6.4036625123181272</v>
      </c>
      <c r="N140" s="6">
        <f>ROUND(Tabela3[[#This Row],[Lucro Prev]]/10%,2)</f>
        <v>0.34</v>
      </c>
      <c r="O140" s="61">
        <f>MIN(Tabela3[[#This Row],[10% Rent]],Tabela3[[#This Row],[VPA]]*3.5)</f>
        <v>0.34</v>
      </c>
      <c r="P140" s="19">
        <f>Tabela3[[#This Row],[P Compra]]/Tabela3[[#This Row],[Cotação]]-1</f>
        <v>-0.91500000000000004</v>
      </c>
      <c r="Q140" s="6">
        <f>Tabela3[[#This Row],[Lucro/Ação Ano]]*Tabela3[[#This Row],[Payout]]</f>
        <v>3.4033210808995254E-2</v>
      </c>
      <c r="R140" s="15" t="str">
        <f>IF(AND([% Yield]&gt;=10%,[PVPA]&lt;=3.5,[PL]&lt;=15,[PL]&gt;0),"Sim","Não")</f>
        <v>Não</v>
      </c>
      <c r="S140" s="46">
        <f>Tabela3[[#This Row],[Lucro Prev]]/Tabela3[[#This Row],[Cotação]]</f>
        <v>8.5083027022488135E-3</v>
      </c>
      <c r="T140" s="14">
        <f>($Z$1/Tabela3[[#This Row],[Cotação]]-MOD($Z$1/Tabela3[[#This Row],[Cotação]],100))</f>
        <v>200</v>
      </c>
      <c r="U140" s="17">
        <f>Tabela3[[#This Row],[Ativos]]*Tabela3[[#This Row],[Lucro Prev]]</f>
        <v>6.8066421617990507</v>
      </c>
      <c r="V140" s="5">
        <f>SUMPRODUCT(N(Tabela1[Código]=Tabela3[[#This Row],[PAPEL]]),Tabela1[Fechamento])</f>
        <v>4</v>
      </c>
      <c r="W140" s="5">
        <f>SUMPRODUCT(N(Tabela17[Código]=Tabela3[[#This Row],[PAPEL]]),Tabela17[Fechamento])</f>
        <v>0</v>
      </c>
    </row>
    <row r="141" spans="1:23" hidden="1">
      <c r="A141" s="4" t="s">
        <v>14</v>
      </c>
      <c r="B141" s="14" t="s">
        <v>237</v>
      </c>
      <c r="C141" s="15">
        <v>3</v>
      </c>
      <c r="D141" s="6">
        <v>1922945000</v>
      </c>
      <c r="E141" s="6">
        <v>22434000</v>
      </c>
      <c r="F141" s="42">
        <v>252903569</v>
      </c>
      <c r="G141" s="15">
        <f>Tabela3[[#This Row],[Lucro Líquido]]/Tabela3[[#This Row],[Total Ações]]</f>
        <v>8.8705746971882396E-2</v>
      </c>
      <c r="H141" s="15">
        <f>Tabela3[[#This Row],[Lucro/Ação]]/Tabela3[[#This Row],[Ref]]*4</f>
        <v>0.11827432929584319</v>
      </c>
      <c r="I141" s="19">
        <f>IF(GETPIVOTDATA("Payout",'Tabela LL'!$A$3,"Ativo",Tabela3[[#This Row],[PAPEL]])&gt;1,1,GETPIVOTDATA("Payout",'Tabela LL'!$A$3,"Ativo",Tabela3[[#This Row],[PAPEL]]))</f>
        <v>0.69029873873004899</v>
      </c>
      <c r="J141" s="6">
        <f>[Patrimônio Líquido]/[Total Ações]</f>
        <v>7.60347118707526</v>
      </c>
      <c r="K141" s="52">
        <f>MAX(Tabela3[[#This Row],[Cotação 1]],Tabela3[[#This Row],[Cotação 2]])</f>
        <v>9.65</v>
      </c>
      <c r="L141" s="48">
        <f>[Cotação]/[VPA]</f>
        <v>1.269157173424097</v>
      </c>
      <c r="M141" s="44">
        <f>IF(Tabela3[[#This Row],[Lucro/Ação Ano]]&gt;0,Tabela3[[#This Row],[Cotação]]/Tabela3[[#This Row],[Lucro/Ação Ano]],0)</f>
        <v>81.589978632321476</v>
      </c>
      <c r="N141" s="6">
        <f>ROUND(Tabela3[[#This Row],[Lucro Prev]]/10%,2)</f>
        <v>0.82</v>
      </c>
      <c r="O141" s="61">
        <f>MIN(Tabela3[[#This Row],[10% Rent]],Tabela3[[#This Row],[VPA]]*3.5)</f>
        <v>0.82</v>
      </c>
      <c r="P141" s="19">
        <f>Tabela3[[#This Row],[P Compra]]/Tabela3[[#This Row],[Cotação]]-1</f>
        <v>-0.91502590673575135</v>
      </c>
      <c r="Q141" s="6">
        <f>Tabela3[[#This Row],[Lucro/Ação Ano]]*Tabela3[[#This Row],[Payout]]</f>
        <v>8.1644620337063045E-2</v>
      </c>
      <c r="R141" s="15" t="str">
        <f>IF(AND([% Yield]&gt;=10%,[PVPA]&lt;=3.5,[PL]&lt;=15,[PL]&gt;0),"Sim","Não")</f>
        <v>Não</v>
      </c>
      <c r="S141" s="46">
        <f>Tabela3[[#This Row],[Lucro Prev]]/Tabela3[[#This Row],[Cotação]]</f>
        <v>8.4605824183485012E-3</v>
      </c>
      <c r="T141" s="14">
        <f>($Z$1/Tabela3[[#This Row],[Cotação]]-MOD($Z$1/Tabela3[[#This Row],[Cotação]],100))</f>
        <v>100</v>
      </c>
      <c r="U141" s="17">
        <f>Tabela3[[#This Row],[Ativos]]*Tabela3[[#This Row],[Lucro Prev]]</f>
        <v>8.1644620337063039</v>
      </c>
      <c r="V141" s="5">
        <f>SUMPRODUCT(N(Tabela1[Código]=Tabela3[[#This Row],[PAPEL]]),Tabela1[Fechamento])</f>
        <v>9.65</v>
      </c>
      <c r="W141" s="5">
        <f>SUMPRODUCT(N(Tabela17[Código]=Tabela3[[#This Row],[PAPEL]]),Tabela17[Fechamento])</f>
        <v>0</v>
      </c>
    </row>
    <row r="142" spans="1:23" hidden="1">
      <c r="A142" s="4" t="s">
        <v>14</v>
      </c>
      <c r="B142" s="15" t="s">
        <v>253</v>
      </c>
      <c r="C142" s="16">
        <v>3</v>
      </c>
      <c r="D142" s="5">
        <v>843867000</v>
      </c>
      <c r="E142" s="5">
        <v>34502000</v>
      </c>
      <c r="F142" s="21">
        <v>73646388</v>
      </c>
      <c r="G142" s="16">
        <f>Tabela3[[#This Row],[Lucro Líquido]]/Tabela3[[#This Row],[Total Ações]]</f>
        <v>0.46848190300928266</v>
      </c>
      <c r="H142" s="16">
        <f>Tabela3[[#This Row],[Lucro/Ação]]/Tabela3[[#This Row],[Ref]]*4</f>
        <v>0.62464253734571018</v>
      </c>
      <c r="I142" s="18">
        <f>IF(GETPIVOTDATA("Payout",'Tabela LL'!$A$3,"Ativo",Tabela3[[#This Row],[PAPEL]])&gt;1,1,GETPIVOTDATA("Payout",'Tabela LL'!$A$3,"Ativo",Tabela3[[#This Row],[PAPEL]]))</f>
        <v>4.7361278676921532E-2</v>
      </c>
      <c r="J142" s="5">
        <f>[Patrimônio Líquido]/[Total Ações]</f>
        <v>11.45836235716</v>
      </c>
      <c r="K142" s="58">
        <f>MAX(Tabela3[[#This Row],[Cotação 1]],Tabela3[[#This Row],[Cotação 2]])</f>
        <v>4.2</v>
      </c>
      <c r="L142" s="59">
        <f>[Cotação]/[VPA]</f>
        <v>0.36654452609238186</v>
      </c>
      <c r="M142" s="40">
        <f>IF(Tabela3[[#This Row],[Lucro/Ação Ano]]&gt;0,Tabela3[[#This Row],[Cotação]]/Tabela3[[#This Row],[Lucro/Ação Ano]],0)</f>
        <v>6.7238456379340334</v>
      </c>
      <c r="N142" s="5">
        <f>ROUND(Tabela3[[#This Row],[Lucro Prev]]/10%,2)</f>
        <v>0.3</v>
      </c>
      <c r="O142" s="60">
        <f>MIN(Tabela3[[#This Row],[10% Rent]],Tabela3[[#This Row],[VPA]]*3.5)</f>
        <v>0.3</v>
      </c>
      <c r="P142" s="18">
        <f>Tabela3[[#This Row],[P Compra]]/Tabela3[[#This Row],[Cotação]]-1</f>
        <v>-0.9285714285714286</v>
      </c>
      <c r="Q142" s="5">
        <f>Tabela3[[#This Row],[Lucro/Ação Ano]]*Tabela3[[#This Row],[Payout]]</f>
        <v>2.9583869284689545E-2</v>
      </c>
      <c r="R142" s="16" t="str">
        <f>IF(AND([% Yield]&gt;=10%,[PVPA]&lt;=3.5,[PL]&lt;=15,[PL]&gt;0),"Sim","Não")</f>
        <v>Não</v>
      </c>
      <c r="S142" s="22">
        <f>Tabela3[[#This Row],[Lucro Prev]]/Tabela3[[#This Row],[Cotação]]</f>
        <v>7.043778401116558E-3</v>
      </c>
      <c r="T142" s="10">
        <f>($Z$1/Tabela3[[#This Row],[Cotação]]-MOD($Z$1/Tabela3[[#This Row],[Cotação]],100))</f>
        <v>200</v>
      </c>
      <c r="U142" s="7">
        <f>Tabela3[[#This Row],[Ativos]]*Tabela3[[#This Row],[Lucro Prev]]</f>
        <v>5.9167738569379091</v>
      </c>
      <c r="V142" s="5">
        <f>SUMPRODUCT(N(Tabela1[Código]=Tabela3[[#This Row],[PAPEL]]),Tabela1[Fechamento])</f>
        <v>4.2</v>
      </c>
      <c r="W142" s="5">
        <f>SUMPRODUCT(N(Tabela17[Código]=Tabela3[[#This Row],[PAPEL]]),Tabela17[Fechamento])</f>
        <v>0</v>
      </c>
    </row>
    <row r="143" spans="1:23" hidden="1">
      <c r="A143" s="3" t="s">
        <v>708</v>
      </c>
      <c r="B143" s="74" t="s">
        <v>706</v>
      </c>
      <c r="C143" s="16">
        <v>3</v>
      </c>
      <c r="D143" s="5">
        <v>162348000</v>
      </c>
      <c r="E143" s="5">
        <v>18569000</v>
      </c>
      <c r="F143" s="21">
        <v>11759999</v>
      </c>
      <c r="G143" s="16">
        <f>Tabela3[[#This Row],[Lucro Líquido]]/Tabela3[[#This Row],[Total Ações]]</f>
        <v>1.5789967329078856</v>
      </c>
      <c r="H143" s="16">
        <f>Tabela3[[#This Row],[Lucro/Ação]]/Tabela3[[#This Row],[Ref]]*4</f>
        <v>2.1053289772105139</v>
      </c>
      <c r="I143" s="18">
        <f>IF(GETPIVOTDATA("Payout",'Tabela LL'!$A$3,"Ativo",Tabela3[[#This Row],[PAPEL]])&gt;1,1,GETPIVOTDATA("Payout",'Tabela LL'!$A$3,"Ativo",Tabela3[[#This Row],[PAPEL]]))</f>
        <v>0.27169719418566168</v>
      </c>
      <c r="J143" s="5">
        <f>[Patrimônio Líquido]/[Total Ações]</f>
        <v>13.805103214719662</v>
      </c>
      <c r="K143" s="58">
        <f>MAX(Tabela3[[#This Row],[Cotação 1]],Tabela3[[#This Row],[Cotação 2]])</f>
        <v>83.91</v>
      </c>
      <c r="L143" s="59">
        <f>[Cotação]/[VPA]</f>
        <v>6.0781870801611353</v>
      </c>
      <c r="M143" s="40">
        <f>IF(Tabela3[[#This Row],[Lucro/Ação Ano]]&gt;0,Tabela3[[#This Row],[Cotação]]/Tabela3[[#This Row],[Lucro/Ação Ano]],0)</f>
        <v>39.856003934918412</v>
      </c>
      <c r="N143" s="7">
        <f>ROUND(Tabela3[[#This Row],[Lucro Prev]]/10%,2)</f>
        <v>5.72</v>
      </c>
      <c r="O143" s="51">
        <f>MIN(Tabela3[[#This Row],[10% Rent]],Tabela3[[#This Row],[VPA]]*3.5)</f>
        <v>5.72</v>
      </c>
      <c r="P143" s="18">
        <f>Tabela3[[#This Row],[P Compra]]/Tabela3[[#This Row],[Cotação]]-1</f>
        <v>-0.93183172446669049</v>
      </c>
      <c r="Q143" s="5">
        <f>Tabela3[[#This Row],[Lucro/Ação Ano]]*Tabela3[[#This Row],[Payout]]</f>
        <v>0.5720119759458655</v>
      </c>
      <c r="R143" s="16" t="str">
        <f>IF(AND([% Yield]&gt;=10%,[PVPA]&lt;=3.5,[PL]&lt;=15,[PL]&gt;0),"Sim","Não")</f>
        <v>Não</v>
      </c>
      <c r="S143" s="22">
        <f>Tabela3[[#This Row],[Lucro Prev]]/Tabela3[[#This Row],[Cotação]]</f>
        <v>6.8169702770333159E-3</v>
      </c>
      <c r="T143" s="10">
        <f>($Z$1/Tabela3[[#This Row],[Cotação]]-MOD($Z$1/Tabela3[[#This Row],[Cotação]],100))</f>
        <v>0</v>
      </c>
      <c r="U143" s="7">
        <f>Tabela3[[#This Row],[Ativos]]*Tabela3[[#This Row],[Lucro Prev]]</f>
        <v>0</v>
      </c>
      <c r="V143" s="51">
        <f>SUMPRODUCT(N(Tabela1[Código]=Tabela3[[#This Row],[PAPEL]]),Tabela1[Fechamento])</f>
        <v>0</v>
      </c>
      <c r="W143" s="60">
        <f>SUMPRODUCT(N(Tabela17[Código]=Tabela3[[#This Row],[PAPEL]]),Tabela17[Fechamento])</f>
        <v>83.91</v>
      </c>
    </row>
    <row r="144" spans="1:23" hidden="1">
      <c r="A144" s="3" t="s">
        <v>651</v>
      </c>
      <c r="B144" s="74" t="s">
        <v>666</v>
      </c>
      <c r="C144" s="16">
        <v>3</v>
      </c>
      <c r="D144" s="5">
        <v>8579316000</v>
      </c>
      <c r="E144" s="5">
        <v>334866000</v>
      </c>
      <c r="F144" s="21">
        <v>457066306</v>
      </c>
      <c r="G144" s="16">
        <f>Tabela3[[#This Row],[Lucro Líquido]]/Tabela3[[#This Row],[Total Ações]]</f>
        <v>0.73264206003406429</v>
      </c>
      <c r="H144" s="16">
        <f>Tabela3[[#This Row],[Lucro/Ação]]/Tabela3[[#This Row],[Ref]]*4</f>
        <v>0.97685608004541902</v>
      </c>
      <c r="I144" s="18">
        <f>IF(GETPIVOTDATA("Payout",'Tabela LL'!$A$3,"Ativo",Tabela3[[#This Row],[PAPEL]])&gt;1,1,GETPIVOTDATA("Payout",'Tabela LL'!$A$3,"Ativo",Tabela3[[#This Row],[PAPEL]]))</f>
        <v>0.11310764362768161</v>
      </c>
      <c r="J144" s="5">
        <f>[Patrimônio Líquido]/[Total Ações]</f>
        <v>18.770396958554194</v>
      </c>
      <c r="K144" s="58">
        <f>MAX(Tabela3[[#This Row],[Cotação 1]],Tabela3[[#This Row],[Cotação 2]])</f>
        <v>16.96</v>
      </c>
      <c r="L144" s="59">
        <f>[Cotação]/[VPA]</f>
        <v>0.90355041704490191</v>
      </c>
      <c r="M144" s="40">
        <f>IF(Tabela3[[#This Row],[Lucro/Ação Ano]]&gt;0,Tabela3[[#This Row],[Cotação]]/Tabela3[[#This Row],[Lucro/Ação Ano]],0)</f>
        <v>17.361820585906006</v>
      </c>
      <c r="N144" s="7">
        <f>ROUND(Tabela3[[#This Row],[Lucro Prev]]/10%,2)</f>
        <v>1.1000000000000001</v>
      </c>
      <c r="O144" s="51">
        <f>MIN(Tabela3[[#This Row],[10% Rent]],Tabela3[[#This Row],[VPA]]*3.5)</f>
        <v>1.1000000000000001</v>
      </c>
      <c r="P144" s="18">
        <f>Tabela3[[#This Row],[P Compra]]/Tabela3[[#This Row],[Cotação]]-1</f>
        <v>-0.93514150943396224</v>
      </c>
      <c r="Q144" s="5">
        <f>Tabela3[[#This Row],[Lucro/Ação Ano]]*Tabela3[[#This Row],[Payout]]</f>
        <v>0.11048988937731127</v>
      </c>
      <c r="R144" s="16" t="str">
        <f>IF(AND([% Yield]&gt;=10%,[PVPA]&lt;=3.5,[PL]&lt;=15,[PL]&gt;0),"Sim","Não")</f>
        <v>Não</v>
      </c>
      <c r="S144" s="22">
        <f>Tabela3[[#This Row],[Lucro Prev]]/Tabela3[[#This Row],[Cotação]]</f>
        <v>6.5147340434735419E-3</v>
      </c>
      <c r="T144" s="10">
        <f>($Z$1/Tabela3[[#This Row],[Cotação]]-MOD($Z$1/Tabela3[[#This Row],[Cotação]],100))</f>
        <v>0</v>
      </c>
      <c r="U144" s="7">
        <f>Tabela3[[#This Row],[Ativos]]*Tabela3[[#This Row],[Lucro Prev]]</f>
        <v>0</v>
      </c>
      <c r="V144" s="51">
        <f>SUMPRODUCT(N(Tabela1[Código]=Tabela3[[#This Row],[PAPEL]]),Tabela1[Fechamento])</f>
        <v>0</v>
      </c>
      <c r="W144" s="60">
        <f>SUMPRODUCT(N(Tabela17[Código]=Tabela3[[#This Row],[PAPEL]]),Tabela17[Fechamento])</f>
        <v>16.96</v>
      </c>
    </row>
    <row r="145" spans="1:23" hidden="1">
      <c r="A145" s="3" t="s">
        <v>651</v>
      </c>
      <c r="B145" s="74" t="s">
        <v>652</v>
      </c>
      <c r="C145" s="16">
        <v>3</v>
      </c>
      <c r="D145" s="5">
        <v>1645312000</v>
      </c>
      <c r="E145" s="5">
        <v>40163000</v>
      </c>
      <c r="F145" s="21">
        <v>159025920</v>
      </c>
      <c r="G145" s="16">
        <f>Tabela3[[#This Row],[Lucro Líquido]]/Tabela3[[#This Row],[Total Ações]]</f>
        <v>0.25255631283252439</v>
      </c>
      <c r="H145" s="16">
        <f>Tabela3[[#This Row],[Lucro/Ação]]/Tabela3[[#This Row],[Ref]]*4</f>
        <v>0.33674175044336585</v>
      </c>
      <c r="I145" s="18">
        <f>IF(GETPIVOTDATA("Payout",'Tabela LL'!$A$3,"Ativo",Tabela3[[#This Row],[PAPEL]])&gt;1,1,GETPIVOTDATA("Payout",'Tabela LL'!$A$3,"Ativo",Tabela3[[#This Row],[PAPEL]]))</f>
        <v>0.31390723596420989</v>
      </c>
      <c r="J145" s="5">
        <f>[Patrimônio Líquido]/[Total Ações]</f>
        <v>10.346187590048213</v>
      </c>
      <c r="K145" s="58">
        <f>MAX(Tabela3[[#This Row],[Cotação 1]],Tabela3[[#This Row],[Cotação 2]])</f>
        <v>18.2</v>
      </c>
      <c r="L145" s="59">
        <f>[Cotação]/[VPA]</f>
        <v>1.7591020693947408</v>
      </c>
      <c r="M145" s="40">
        <f>IF(Tabela3[[#This Row],[Lucro/Ação Ano]]&gt;0,Tabela3[[#This Row],[Cotação]]/Tabela3[[#This Row],[Lucro/Ação Ano]],0)</f>
        <v>54.047352239623535</v>
      </c>
      <c r="N145" s="7">
        <f>ROUND(Tabela3[[#This Row],[Lucro Prev]]/10%,2)</f>
        <v>1.06</v>
      </c>
      <c r="O145" s="51">
        <f>MIN(Tabela3[[#This Row],[10% Rent]],Tabela3[[#This Row],[VPA]]*3.5)</f>
        <v>1.06</v>
      </c>
      <c r="P145" s="18">
        <f>Tabela3[[#This Row],[P Compra]]/Tabela3[[#This Row],[Cotação]]-1</f>
        <v>-0.94175824175824174</v>
      </c>
      <c r="Q145" s="5">
        <f>Tabela3[[#This Row],[Lucro/Ação Ano]]*Tabela3[[#This Row],[Payout]]</f>
        <v>0.10570567211542672</v>
      </c>
      <c r="R145" s="16" t="str">
        <f>IF(AND([% Yield]&gt;=10%,[PVPA]&lt;=3.5,[PL]&lt;=15,[PL]&gt;0),"Sim","Não")</f>
        <v>Não</v>
      </c>
      <c r="S145" s="22">
        <f>Tabela3[[#This Row],[Lucro Prev]]/Tabela3[[#This Row],[Cotação]]</f>
        <v>5.808003962386084E-3</v>
      </c>
      <c r="T145" s="10">
        <f>($Z$1/Tabela3[[#This Row],[Cotação]]-MOD($Z$1/Tabela3[[#This Row],[Cotação]],100))</f>
        <v>0</v>
      </c>
      <c r="U145" s="7">
        <f>Tabela3[[#This Row],[Ativos]]*Tabela3[[#This Row],[Lucro Prev]]</f>
        <v>0</v>
      </c>
      <c r="V145" s="51">
        <f>SUMPRODUCT(N(Tabela1[Código]=Tabela3[[#This Row],[PAPEL]]),Tabela1[Fechamento])</f>
        <v>0</v>
      </c>
      <c r="W145" s="60">
        <f>SUMPRODUCT(N(Tabela17[Código]=Tabela3[[#This Row],[PAPEL]]),Tabela17[Fechamento])</f>
        <v>18.2</v>
      </c>
    </row>
    <row r="146" spans="1:23" hidden="1">
      <c r="A146" s="4" t="s">
        <v>14</v>
      </c>
      <c r="B146" s="14" t="s">
        <v>217</v>
      </c>
      <c r="C146" s="15">
        <v>3</v>
      </c>
      <c r="D146" s="6">
        <v>727021000</v>
      </c>
      <c r="E146" s="6">
        <v>31097000</v>
      </c>
      <c r="F146" s="42">
        <v>84682269</v>
      </c>
      <c r="G146" s="15">
        <f>Tabela3[[#This Row],[Lucro Líquido]]/Tabela3[[#This Row],[Total Ações]]</f>
        <v>0.36721973049635692</v>
      </c>
      <c r="H146" s="15">
        <f>Tabela3[[#This Row],[Lucro/Ação]]/Tabela3[[#This Row],[Ref]]*4</f>
        <v>0.4896263073284759</v>
      </c>
      <c r="I146" s="19">
        <f>IF(GETPIVOTDATA("Payout",'Tabela LL'!$A$3,"Ativo",Tabela3[[#This Row],[PAPEL]])&gt;1,1,GETPIVOTDATA("Payout",'Tabela LL'!$A$3,"Ativo",Tabela3[[#This Row],[PAPEL]]))</f>
        <v>2.9204663914363771E-2</v>
      </c>
      <c r="J146" s="6">
        <f>[Patrimônio Líquido]/[Total Ações]</f>
        <v>8.5852801133611578</v>
      </c>
      <c r="K146" s="52">
        <f>MAX(Tabela3[[#This Row],[Cotação 1]],Tabela3[[#This Row],[Cotação 2]])</f>
        <v>2.83</v>
      </c>
      <c r="L146" s="48">
        <f>[Cotação]/[VPA]</f>
        <v>0.32963397380543341</v>
      </c>
      <c r="M146" s="44">
        <f>IF(Tabela3[[#This Row],[Lucro/Ação Ano]]&gt;0,Tabela3[[#This Row],[Cotação]]/Tabela3[[#This Row],[Lucro/Ação Ano]],0)</f>
        <v>5.7799181899379359</v>
      </c>
      <c r="N146" s="6">
        <f>ROUND(Tabela3[[#This Row],[Lucro Prev]]/10%,2)</f>
        <v>0.14000000000000001</v>
      </c>
      <c r="O146" s="61">
        <f>MIN(Tabela3[[#This Row],[10% Rent]],Tabela3[[#This Row],[VPA]]*3.5)</f>
        <v>0.14000000000000001</v>
      </c>
      <c r="P146" s="19">
        <f>Tabela3[[#This Row],[P Compra]]/Tabela3[[#This Row],[Cotação]]-1</f>
        <v>-0.95053003533568903</v>
      </c>
      <c r="Q146" s="6">
        <f>Tabela3[[#This Row],[Lucro/Ação Ano]]*Tabela3[[#This Row],[Payout]]</f>
        <v>1.4299371749159125E-2</v>
      </c>
      <c r="R146" s="15" t="str">
        <f>IF(AND([% Yield]&gt;=10%,[PVPA]&lt;=3.5,[PL]&lt;=15,[PL]&gt;0),"Sim","Não")</f>
        <v>Não</v>
      </c>
      <c r="S146" s="46">
        <f>Tabela3[[#This Row],[Lucro Prev]]/Tabela3[[#This Row],[Cotação]]</f>
        <v>5.0527815368053442E-3</v>
      </c>
      <c r="T146" s="14">
        <f>($Z$1/Tabela3[[#This Row],[Cotação]]-MOD($Z$1/Tabela3[[#This Row],[Cotação]],100))</f>
        <v>300</v>
      </c>
      <c r="U146" s="17">
        <f>Tabela3[[#This Row],[Ativos]]*Tabela3[[#This Row],[Lucro Prev]]</f>
        <v>4.289811524747738</v>
      </c>
      <c r="V146" s="5">
        <f>SUMPRODUCT(N(Tabela1[Código]=Tabela3[[#This Row],[PAPEL]]),Tabela1[Fechamento])</f>
        <v>2.83</v>
      </c>
      <c r="W146" s="5">
        <f>SUMPRODUCT(N(Tabela17[Código]=Tabela3[[#This Row],[PAPEL]]),Tabela17[Fechamento])</f>
        <v>0</v>
      </c>
    </row>
    <row r="147" spans="1:23" hidden="1">
      <c r="A147" s="4" t="s">
        <v>12</v>
      </c>
      <c r="B147" s="14" t="s">
        <v>185</v>
      </c>
      <c r="C147" s="15">
        <v>3</v>
      </c>
      <c r="D147" s="6">
        <v>143016000</v>
      </c>
      <c r="E147" s="6">
        <v>5000000</v>
      </c>
      <c r="F147" s="42">
        <v>11764889</v>
      </c>
      <c r="G147" s="15">
        <f>Tabela3[[#This Row],[Lucro Líquido]]/Tabela3[[#This Row],[Total Ações]]</f>
        <v>0.4249933849779628</v>
      </c>
      <c r="H147" s="15">
        <f>Tabela3[[#This Row],[Lucro/Ação]]/Tabela3[[#This Row],[Ref]]*4</f>
        <v>0.56665784663728369</v>
      </c>
      <c r="I147" s="19">
        <f>IF(GETPIVOTDATA("Payout",'Tabela LL'!$A$3,"Ativo",Tabela3[[#This Row],[PAPEL]])&gt;1,1,GETPIVOTDATA("Payout",'Tabela LL'!$A$3,"Ativo",Tabela3[[#This Row],[PAPEL]]))</f>
        <v>0.43168732302801038</v>
      </c>
      <c r="J147" s="6">
        <f>[Patrimônio Líquido]/[Total Ações]</f>
        <v>12.156170789201665</v>
      </c>
      <c r="K147" s="52">
        <f>MAX(Tabela3[[#This Row],[Cotação 1]],Tabela3[[#This Row],[Cotação 2]])</f>
        <v>49.6</v>
      </c>
      <c r="L147" s="48">
        <f>[Cotação]/[VPA]</f>
        <v>4.0802322425462894</v>
      </c>
      <c r="M147" s="44">
        <f>IF(Tabela3[[#This Row],[Lucro/Ação Ano]]&gt;0,Tabela3[[#This Row],[Cotação]]/Tabela3[[#This Row],[Lucro/Ação Ano]],0)</f>
        <v>87.530774160000007</v>
      </c>
      <c r="N147" s="6">
        <f>ROUND(Tabela3[[#This Row],[Lucro Prev]]/10%,2)</f>
        <v>2.4500000000000002</v>
      </c>
      <c r="O147" s="61">
        <f>MIN(Tabela3[[#This Row],[10% Rent]],Tabela3[[#This Row],[VPA]]*3.5)</f>
        <v>2.4500000000000002</v>
      </c>
      <c r="P147" s="19">
        <f>Tabela3[[#This Row],[P Compra]]/Tabela3[[#This Row],[Cotação]]-1</f>
        <v>-0.95060483870967738</v>
      </c>
      <c r="Q147" s="6">
        <f>Tabela3[[#This Row],[Lucro/Ação Ano]]*Tabela3[[#This Row],[Payout]]</f>
        <v>0.24461900888766586</v>
      </c>
      <c r="R147" s="15" t="str">
        <f>IF(AND([% Yield]&gt;=10%,[PVPA]&lt;=3.5,[PL]&lt;=15,[PL]&gt;0),"Sim","Não")</f>
        <v>Não</v>
      </c>
      <c r="S147" s="46">
        <f>Tabela3[[#This Row],[Lucro Prev]]/Tabela3[[#This Row],[Cotação]]</f>
        <v>4.9318348566061666E-3</v>
      </c>
      <c r="T147" s="14">
        <f>($Z$1/Tabela3[[#This Row],[Cotação]]-MOD($Z$1/Tabela3[[#This Row],[Cotação]],100))</f>
        <v>0</v>
      </c>
      <c r="U147" s="17">
        <f>Tabela3[[#This Row],[Ativos]]*Tabela3[[#This Row],[Lucro Prev]]</f>
        <v>0</v>
      </c>
      <c r="V147" s="5">
        <f>SUMPRODUCT(N(Tabela1[Código]=Tabela3[[#This Row],[PAPEL]]),Tabela1[Fechamento])</f>
        <v>49.6</v>
      </c>
      <c r="W147" s="5">
        <f>SUMPRODUCT(N(Tabela17[Código]=Tabela3[[#This Row],[PAPEL]]),Tabela17[Fechamento])</f>
        <v>0</v>
      </c>
    </row>
    <row r="148" spans="1:23" hidden="1">
      <c r="A148" s="4" t="s">
        <v>14</v>
      </c>
      <c r="B148" s="14" t="s">
        <v>216</v>
      </c>
      <c r="C148" s="15">
        <v>3</v>
      </c>
      <c r="D148" s="6">
        <v>727021000</v>
      </c>
      <c r="E148" s="6">
        <v>31097000</v>
      </c>
      <c r="F148" s="42">
        <v>84682269</v>
      </c>
      <c r="G148" s="15">
        <f>Tabela3[[#This Row],[Lucro Líquido]]/Tabela3[[#This Row],[Total Ações]]</f>
        <v>0.36721973049635692</v>
      </c>
      <c r="H148" s="15">
        <f>Tabela3[[#This Row],[Lucro/Ação]]/Tabela3[[#This Row],[Ref]]*4</f>
        <v>0.4896263073284759</v>
      </c>
      <c r="I148" s="19">
        <f>IF(GETPIVOTDATA("Payout",'Tabela LL'!$A$3,"Ativo",Tabela3[[#This Row],[PAPEL]])&gt;1,1,GETPIVOTDATA("Payout",'Tabela LL'!$A$3,"Ativo",Tabela3[[#This Row],[PAPEL]]))</f>
        <v>2.6538214988206538E-2</v>
      </c>
      <c r="J148" s="6">
        <f>[Patrimônio Líquido]/[Total Ações]</f>
        <v>8.5852801133611578</v>
      </c>
      <c r="K148" s="52">
        <f>MAX(Tabela3[[#This Row],[Cotação 1]],Tabela3[[#This Row],[Cotação 2]])</f>
        <v>3.08</v>
      </c>
      <c r="L148" s="48">
        <f>[Cotação]/[VPA]</f>
        <v>0.35875358279884623</v>
      </c>
      <c r="M148" s="44">
        <f>IF(Tabela3[[#This Row],[Lucro/Ação Ano]]&gt;0,Tabela3[[#This Row],[Cotação]]/Tabela3[[#This Row],[Lucro/Ação Ano]],0)</f>
        <v>6.2905116696144328</v>
      </c>
      <c r="N148" s="6">
        <f>ROUND(Tabela3[[#This Row],[Lucro Prev]]/10%,2)</f>
        <v>0.13</v>
      </c>
      <c r="O148" s="61">
        <f>MIN(Tabela3[[#This Row],[10% Rent]],Tabela3[[#This Row],[VPA]]*3.5)</f>
        <v>0.13</v>
      </c>
      <c r="P148" s="19">
        <f>Tabela3[[#This Row],[P Compra]]/Tabela3[[#This Row],[Cotação]]-1</f>
        <v>-0.95779220779220775</v>
      </c>
      <c r="Q148" s="6">
        <f>Tabela3[[#This Row],[Lucro/Ação Ano]]*Tabela3[[#This Row],[Payout]]</f>
        <v>1.299380820776478E-2</v>
      </c>
      <c r="R148" s="15" t="str">
        <f>IF(AND([% Yield]&gt;=10%,[PVPA]&lt;=3.5,[PL]&lt;=15,[PL]&gt;0),"Sim","Não")</f>
        <v>Não</v>
      </c>
      <c r="S148" s="46">
        <f>Tabela3[[#This Row],[Lucro Prev]]/Tabela3[[#This Row],[Cotação]]</f>
        <v>4.2187688986249283E-3</v>
      </c>
      <c r="T148" s="14">
        <f>($Z$1/Tabela3[[#This Row],[Cotação]]-MOD($Z$1/Tabela3[[#This Row],[Cotação]],100))</f>
        <v>300</v>
      </c>
      <c r="U148" s="17">
        <f>Tabela3[[#This Row],[Ativos]]*Tabela3[[#This Row],[Lucro Prev]]</f>
        <v>3.8981424623294338</v>
      </c>
      <c r="V148" s="5">
        <f>SUMPRODUCT(N(Tabela1[Código]=Tabela3[[#This Row],[PAPEL]]),Tabela1[Fechamento])</f>
        <v>3.08</v>
      </c>
      <c r="W148" s="5">
        <f>SUMPRODUCT(N(Tabela17[Código]=Tabela3[[#This Row],[PAPEL]]),Tabela17[Fechamento])</f>
        <v>0</v>
      </c>
    </row>
    <row r="149" spans="1:23" hidden="1">
      <c r="A149" s="4" t="s">
        <v>26</v>
      </c>
      <c r="B149" s="71" t="s">
        <v>303</v>
      </c>
      <c r="C149" s="15">
        <v>3</v>
      </c>
      <c r="D149" s="6">
        <v>168049000</v>
      </c>
      <c r="E149" s="6">
        <v>901000</v>
      </c>
      <c r="F149" s="42">
        <v>7680000</v>
      </c>
      <c r="G149" s="73">
        <f>Tabela3[[#This Row],[Lucro Líquido]]/Tabela3[[#This Row],[Total Ações]]</f>
        <v>0.11731770833333334</v>
      </c>
      <c r="H149" s="15">
        <f>Tabela3[[#This Row],[Lucro/Ação]]/Tabela3[[#This Row],[Ref]]*4</f>
        <v>0.15642361111111111</v>
      </c>
      <c r="I149" s="19">
        <f>IF(GETPIVOTDATA("Payout",'Tabela LL'!$A$3,"Ativo",Tabela3[[#This Row],[PAPEL]])&gt;1,1,GETPIVOTDATA("Payout",'Tabela LL'!$A$3,"Ativo",Tabela3[[#This Row],[PAPEL]]))</f>
        <v>0.80406042099383901</v>
      </c>
      <c r="J149" s="6">
        <f>[Patrimônio Líquido]/[Total Ações]</f>
        <v>21.881380208333333</v>
      </c>
      <c r="K149" s="52">
        <f>MAX(Tabela3[[#This Row],[Cotação 1]],Tabela3[[#This Row],[Cotação 2]])</f>
        <v>30.05</v>
      </c>
      <c r="L149" s="48">
        <f>[Cotação]/[VPA]</f>
        <v>1.3733137358746557</v>
      </c>
      <c r="M149" s="44">
        <f>IF(Tabela3[[#This Row],[Lucro/Ação Ano]]&gt;0,Tabela3[[#This Row],[Cotação]]/Tabela3[[#This Row],[Lucro/Ação Ano]],0)</f>
        <v>192.10654827968924</v>
      </c>
      <c r="N149" s="13">
        <f>ROUND(Tabela3[[#This Row],[Lucro Prev]]/10%,2)</f>
        <v>1.26</v>
      </c>
      <c r="O149" s="13">
        <f>MIN(Tabela3[[#This Row],[10% Rent]],Tabela3[[#This Row],[VPA]]*3.5)</f>
        <v>1.26</v>
      </c>
      <c r="P149" s="19">
        <f>Tabela3[[#This Row],[P Compra]]/Tabela3[[#This Row],[Cotação]]-1</f>
        <v>-0.95806988352745426</v>
      </c>
      <c r="Q149" s="6">
        <f>Tabela3[[#This Row],[Lucro/Ação Ano]]*Tabela3[[#This Row],[Payout]]</f>
        <v>0.12577403460337655</v>
      </c>
      <c r="R149" s="15" t="str">
        <f>IF(AND([% Yield]&gt;=10%,[PVPA]&lt;=3.5,[PL]&lt;=15,[PL]&gt;0),"Sim","Não")</f>
        <v>Não</v>
      </c>
      <c r="S149" s="46">
        <f>Tabela3[[#This Row],[Lucro Prev]]/Tabela3[[#This Row],[Cotação]]</f>
        <v>4.185492000112364E-3</v>
      </c>
      <c r="T149" s="14">
        <f>($Z$1/Tabela3[[#This Row],[Cotação]]-MOD($Z$1/Tabela3[[#This Row],[Cotação]],100))</f>
        <v>0</v>
      </c>
      <c r="U149" s="17">
        <f>Tabela3[[#This Row],[Ativos]]*Tabela3[[#This Row],[Lucro Prev]]</f>
        <v>0</v>
      </c>
      <c r="V149" s="13">
        <f>SUMPRODUCT(N(Tabela1[Código]=Tabela3[[#This Row],[PAPEL]]),Tabela1[Fechamento])</f>
        <v>0</v>
      </c>
      <c r="W149" s="13">
        <f>SUMPRODUCT(N(Tabela17[Código]=Tabela3[[#This Row],[PAPEL]]),Tabela17[Fechamento])</f>
        <v>30.05</v>
      </c>
    </row>
    <row r="150" spans="1:23" hidden="1">
      <c r="A150" s="4" t="s">
        <v>316</v>
      </c>
      <c r="B150" s="15" t="s">
        <v>82</v>
      </c>
      <c r="C150" s="15">
        <v>3</v>
      </c>
      <c r="D150" s="6">
        <v>3566000000</v>
      </c>
      <c r="E150" s="6">
        <v>22000000</v>
      </c>
      <c r="F150" s="42">
        <v>817720079</v>
      </c>
      <c r="G150" s="73">
        <f>Tabela3[[#This Row],[Lucro Líquido]]/Tabela3[[#This Row],[Total Ações]]</f>
        <v>2.6904072145206549E-2</v>
      </c>
      <c r="H150" s="15">
        <f>Tabela3[[#This Row],[Lucro/Ação]]/Tabela3[[#This Row],[Ref]]*4</f>
        <v>3.5872096193608732E-2</v>
      </c>
      <c r="I150" s="19">
        <f>IF(GETPIVOTDATA("Payout",'Tabela LL'!$A$3,"Ativo",Tabela3[[#This Row],[PAPEL]])&gt;1,1,GETPIVOTDATA("Payout",'Tabela LL'!$A$3,"Ativo",Tabela3[[#This Row],[PAPEL]]))</f>
        <v>0.27744555988769093</v>
      </c>
      <c r="J150" s="6">
        <f>[Patrimônio Líquido]/[Total Ações]</f>
        <v>4.3609055122639342</v>
      </c>
      <c r="K150" s="52">
        <f>MAX(Tabela3[[#This Row],[Cotação 1]],Tabela3[[#This Row],[Cotação 2]])</f>
        <v>2.44</v>
      </c>
      <c r="L150" s="48">
        <f>[Cotação]/[VPA]</f>
        <v>0.55951682354458776</v>
      </c>
      <c r="M150" s="44">
        <f>IF(Tabela3[[#This Row],[Lucro/Ação Ano]]&gt;0,Tabela3[[#This Row],[Cotação]]/Tabela3[[#This Row],[Lucro/Ação Ano]],0)</f>
        <v>68.019442935000001</v>
      </c>
      <c r="N150" s="13">
        <f>ROUND(Tabela3[[#This Row],[Lucro Prev]]/10%,2)</f>
        <v>0.1</v>
      </c>
      <c r="O150" s="13">
        <f>MIN(Tabela3[[#This Row],[10% Rent]],Tabela3[[#This Row],[VPA]]*3.5)</f>
        <v>0.1</v>
      </c>
      <c r="P150" s="19">
        <f>Tabela3[[#This Row],[P Compra]]/Tabela3[[#This Row],[Cotação]]-1</f>
        <v>-0.95901639344262291</v>
      </c>
      <c r="Q150" s="6">
        <f>Tabela3[[#This Row],[Lucro/Ação Ano]]*Tabela3[[#This Row],[Payout]]</f>
        <v>9.9525538127808819E-3</v>
      </c>
      <c r="R150" s="15" t="str">
        <f>IF(AND([% Yield]&gt;=10%,[PVPA]&lt;=3.5,[PL]&lt;=15,[PL]&gt;0),"Sim","Não")</f>
        <v>Não</v>
      </c>
      <c r="S150" s="46">
        <f>Tabela3[[#This Row],[Lucro Prev]]/Tabela3[[#This Row],[Cotação]]</f>
        <v>4.0789154970413454E-3</v>
      </c>
      <c r="T150" s="14">
        <f>($Z$1/Tabela3[[#This Row],[Cotação]]-MOD($Z$1/Tabela3[[#This Row],[Cotação]],100))</f>
        <v>400</v>
      </c>
      <c r="U150" s="17">
        <f>Tabela3[[#This Row],[Ativos]]*Tabela3[[#This Row],[Lucro Prev]]</f>
        <v>3.9810215251123529</v>
      </c>
      <c r="V150" s="13">
        <f>SUMPRODUCT(N(Tabela1[Código]=Tabela3[[#This Row],[PAPEL]]),Tabela1[Fechamento])</f>
        <v>0</v>
      </c>
      <c r="W150" s="13">
        <f>SUMPRODUCT(N(Tabela17[Código]=Tabela3[[#This Row],[PAPEL]]),Tabela17[Fechamento])</f>
        <v>2.44</v>
      </c>
    </row>
    <row r="151" spans="1:23" hidden="1">
      <c r="A151" s="4" t="s">
        <v>26</v>
      </c>
      <c r="B151" s="71" t="s">
        <v>302</v>
      </c>
      <c r="C151" s="15">
        <v>3</v>
      </c>
      <c r="D151" s="6">
        <v>168049000</v>
      </c>
      <c r="E151" s="6">
        <v>901000</v>
      </c>
      <c r="F151" s="42">
        <v>7680000</v>
      </c>
      <c r="G151" s="73">
        <f>Tabela3[[#This Row],[Lucro Líquido]]/Tabela3[[#This Row],[Total Ações]]</f>
        <v>0.11731770833333334</v>
      </c>
      <c r="H151" s="15">
        <f>Tabela3[[#This Row],[Lucro/Ação]]/Tabela3[[#This Row],[Ref]]*4</f>
        <v>0.15642361111111111</v>
      </c>
      <c r="I151" s="19">
        <f>IF(GETPIVOTDATA("Payout",'Tabela LL'!$A$3,"Ativo",Tabela3[[#This Row],[PAPEL]])&gt;1,1,GETPIVOTDATA("Payout",'Tabela LL'!$A$3,"Ativo",Tabela3[[#This Row],[PAPEL]]))</f>
        <v>0.72895763504872801</v>
      </c>
      <c r="J151" s="6">
        <f>[Patrimônio Líquido]/[Total Ações]</f>
        <v>21.881380208333333</v>
      </c>
      <c r="K151" s="52">
        <f>MAX(Tabela3[[#This Row],[Cotação 1]],Tabela3[[#This Row],[Cotação 2]])</f>
        <v>30.01</v>
      </c>
      <c r="L151" s="48">
        <f>[Cotação]/[VPA]</f>
        <v>1.3714856976239074</v>
      </c>
      <c r="M151" s="44">
        <f>IF(Tabela3[[#This Row],[Lucro/Ação Ano]]&gt;0,Tabela3[[#This Row],[Cotação]]/Tabela3[[#This Row],[Lucro/Ação Ano]],0)</f>
        <v>191.85083240843508</v>
      </c>
      <c r="N151" s="13">
        <f>ROUND(Tabela3[[#This Row],[Lucro Prev]]/10%,2)</f>
        <v>1.1399999999999999</v>
      </c>
      <c r="O151" s="13">
        <f>MIN(Tabela3[[#This Row],[10% Rent]],Tabela3[[#This Row],[VPA]]*3.5)</f>
        <v>1.1399999999999999</v>
      </c>
      <c r="P151" s="19">
        <f>Tabela3[[#This Row],[P Compra]]/Tabela3[[#This Row],[Cotação]]-1</f>
        <v>-0.96201266244585137</v>
      </c>
      <c r="Q151" s="6">
        <f>Tabela3[[#This Row],[Lucro/Ação Ano]]*Tabela3[[#This Row],[Payout]]</f>
        <v>0.11402618562133748</v>
      </c>
      <c r="R151" s="15" t="str">
        <f>IF(AND([% Yield]&gt;=10%,[PVPA]&lt;=3.5,[PL]&lt;=15,[PL]&gt;0),"Sim","Não")</f>
        <v>Não</v>
      </c>
      <c r="S151" s="46">
        <f>Tabela3[[#This Row],[Lucro Prev]]/Tabela3[[#This Row],[Cotação]]</f>
        <v>3.7996063186050474E-3</v>
      </c>
      <c r="T151" s="14">
        <f>($Z$1/Tabela3[[#This Row],[Cotação]]-MOD($Z$1/Tabela3[[#This Row],[Cotação]],100))</f>
        <v>0</v>
      </c>
      <c r="U151" s="17">
        <f>Tabela3[[#This Row],[Ativos]]*Tabela3[[#This Row],[Lucro Prev]]</f>
        <v>0</v>
      </c>
      <c r="V151" s="13">
        <f>SUMPRODUCT(N(Tabela1[Código]=Tabela3[[#This Row],[PAPEL]]),Tabela1[Fechamento])</f>
        <v>0</v>
      </c>
      <c r="W151" s="13">
        <f>SUMPRODUCT(N(Tabela17[Código]=Tabela3[[#This Row],[PAPEL]]),Tabela17[Fechamento])</f>
        <v>30.01</v>
      </c>
    </row>
    <row r="152" spans="1:23" hidden="1">
      <c r="A152" s="4" t="s">
        <v>468</v>
      </c>
      <c r="B152" s="71" t="s">
        <v>473</v>
      </c>
      <c r="C152" s="15">
        <v>3</v>
      </c>
      <c r="D152" s="6">
        <v>2907030000</v>
      </c>
      <c r="E152" s="6">
        <v>25088000</v>
      </c>
      <c r="F152" s="42">
        <v>290677834</v>
      </c>
      <c r="G152" s="73">
        <f>Tabela3[[#This Row],[Lucro Líquido]]/Tabela3[[#This Row],[Total Ações]]</f>
        <v>8.6308610652437986E-2</v>
      </c>
      <c r="H152" s="15">
        <f>Tabela3[[#This Row],[Lucro/Ação]]/Tabela3[[#This Row],[Ref]]*4</f>
        <v>0.11507814753658398</v>
      </c>
      <c r="I152" s="19">
        <f>IF(GETPIVOTDATA("Payout",'Tabela LL'!$A$3,"Ativo",Tabela3[[#This Row],[PAPEL]])&gt;1,1,GETPIVOTDATA("Payout",'Tabela LL'!$A$3,"Ativo",Tabela3[[#This Row],[PAPEL]]))</f>
        <v>0.16275155588949558</v>
      </c>
      <c r="J152" s="6">
        <f>[Patrimônio Líquido]/[Total Ações]</f>
        <v>10.000865769489668</v>
      </c>
      <c r="K152" s="52">
        <f>MAX(Tabela3[[#This Row],[Cotação 1]],Tabela3[[#This Row],[Cotação 2]])</f>
        <v>5.85</v>
      </c>
      <c r="L152" s="48">
        <f>[Cotação]/[VPA]</f>
        <v>0.5849493568693821</v>
      </c>
      <c r="M152" s="44">
        <f>IF(Tabela3[[#This Row],[Lucro/Ação Ano]]&gt;0,Tabela3[[#This Row],[Cotação]]/Tabela3[[#This Row],[Lucro/Ação Ano]],0)</f>
        <v>50.835020594507334</v>
      </c>
      <c r="N152" s="17">
        <f>ROUND(Tabela3[[#This Row],[Lucro Prev]]/10%,2)</f>
        <v>0.19</v>
      </c>
      <c r="O152" s="13">
        <f>MIN(Tabela3[[#This Row],[10% Rent]],Tabela3[[#This Row],[VPA]]*3.5)</f>
        <v>0.19</v>
      </c>
      <c r="P152" s="19">
        <f>Tabela3[[#This Row],[P Compra]]/Tabela3[[#This Row],[Cotação]]-1</f>
        <v>-0.96752136752136753</v>
      </c>
      <c r="Q152" s="6">
        <f>Tabela3[[#This Row],[Lucro/Ação Ano]]*Tabela3[[#This Row],[Payout]]</f>
        <v>1.8729147560459965E-2</v>
      </c>
      <c r="R152" s="15" t="str">
        <f>IF(AND([% Yield]&gt;=10%,[PVPA]&lt;=3.5,[PL]&lt;=15,[PL]&gt;0),"Sim","Não")</f>
        <v>Não</v>
      </c>
      <c r="S152" s="46">
        <f>Tabela3[[#This Row],[Lucro Prev]]/Tabela3[[#This Row],[Cotação]]</f>
        <v>3.2015636855487121E-3</v>
      </c>
      <c r="T152" s="14">
        <f>($Z$1/Tabela3[[#This Row],[Cotação]]-MOD($Z$1/Tabela3[[#This Row],[Cotação]],100))</f>
        <v>100</v>
      </c>
      <c r="U152" s="17">
        <f>Tabela3[[#This Row],[Ativos]]*Tabela3[[#This Row],[Lucro Prev]]</f>
        <v>1.8729147560459964</v>
      </c>
      <c r="V152" s="13">
        <f>SUMPRODUCT(N(Tabela1[Código]=Tabela3[[#This Row],[PAPEL]]),Tabela1[Fechamento])</f>
        <v>0</v>
      </c>
      <c r="W152" s="61">
        <f>SUMPRODUCT(N(Tabela17[Código]=Tabela3[[#This Row],[PAPEL]]),Tabela17[Fechamento])</f>
        <v>5.85</v>
      </c>
    </row>
    <row r="153" spans="1:23" hidden="1">
      <c r="A153" s="4" t="s">
        <v>14</v>
      </c>
      <c r="B153" s="14" t="s">
        <v>241</v>
      </c>
      <c r="C153" s="15">
        <v>3</v>
      </c>
      <c r="D153" s="6">
        <v>56483000</v>
      </c>
      <c r="E153" s="6">
        <v>1359000</v>
      </c>
      <c r="F153" s="42">
        <v>182520000</v>
      </c>
      <c r="G153" s="15">
        <f>Tabela3[[#This Row],[Lucro Líquido]]/Tabela3[[#This Row],[Total Ações]]</f>
        <v>7.4457593688362919E-3</v>
      </c>
      <c r="H153" s="15">
        <f>Tabela3[[#This Row],[Lucro/Ação]]/Tabela3[[#This Row],[Ref]]*4</f>
        <v>9.9276791584483898E-3</v>
      </c>
      <c r="I153" s="19">
        <f>IF(GETPIVOTDATA("Payout",'Tabela LL'!$A$3,"Ativo",Tabela3[[#This Row],[PAPEL]])&gt;1,1,GETPIVOTDATA("Payout",'Tabela LL'!$A$3,"Ativo",Tabela3[[#This Row],[PAPEL]]))</f>
        <v>0.29293027940656419</v>
      </c>
      <c r="J153" s="6">
        <f>[Patrimônio Líquido]/[Total Ações]</f>
        <v>0.30946197676966908</v>
      </c>
      <c r="K153" s="52">
        <f>MAX(Tabela3[[#This Row],[Cotação 1]],Tabela3[[#This Row],[Cotação 2]])</f>
        <v>1.1000000000000001</v>
      </c>
      <c r="L153" s="48">
        <f>[Cotação]/[VPA]</f>
        <v>3.5545562381601545</v>
      </c>
      <c r="M153" s="44">
        <f>IF(Tabela3[[#This Row],[Lucro/Ação Ano]]&gt;0,Tabela3[[#This Row],[Cotação]]/Tabela3[[#This Row],[Lucro/Ação Ano]],0)</f>
        <v>110.80132450331126</v>
      </c>
      <c r="N153" s="6">
        <f>ROUND(Tabela3[[#This Row],[Lucro Prev]]/10%,2)</f>
        <v>0.03</v>
      </c>
      <c r="O153" s="61">
        <f>MIN(Tabela3[[#This Row],[10% Rent]],Tabela3[[#This Row],[VPA]]*3.5)</f>
        <v>0.03</v>
      </c>
      <c r="P153" s="19">
        <f>Tabela3[[#This Row],[P Compra]]/Tabela3[[#This Row],[Cotação]]-1</f>
        <v>-0.97272727272727277</v>
      </c>
      <c r="Q153" s="6">
        <f>Tabela3[[#This Row],[Lucro/Ação Ano]]*Tabela3[[#This Row],[Payout]]</f>
        <v>2.9081178297430108E-3</v>
      </c>
      <c r="R153" s="15" t="str">
        <f>IF(AND([% Yield]&gt;=10%,[PVPA]&lt;=3.5,[PL]&lt;=15,[PL]&gt;0),"Sim","Não")</f>
        <v>Não</v>
      </c>
      <c r="S153" s="46">
        <f>Tabela3[[#This Row],[Lucro Prev]]/Tabela3[[#This Row],[Cotação]]</f>
        <v>2.6437434815845553E-3</v>
      </c>
      <c r="T153" s="14">
        <f>($Z$1/Tabela3[[#This Row],[Cotação]]-MOD($Z$1/Tabela3[[#This Row],[Cotação]],100))</f>
        <v>900</v>
      </c>
      <c r="U153" s="17">
        <f>Tabela3[[#This Row],[Ativos]]*Tabela3[[#This Row],[Lucro Prev]]</f>
        <v>2.6173060467687099</v>
      </c>
      <c r="V153" s="5">
        <f>SUMPRODUCT(N(Tabela1[Código]=Tabela3[[#This Row],[PAPEL]]),Tabela1[Fechamento])</f>
        <v>1.1000000000000001</v>
      </c>
      <c r="W153" s="5">
        <f>SUMPRODUCT(N(Tabela17[Código]=Tabela3[[#This Row],[PAPEL]]),Tabela17[Fechamento])</f>
        <v>0</v>
      </c>
    </row>
    <row r="154" spans="1:23" hidden="1">
      <c r="A154" s="4" t="s">
        <v>37</v>
      </c>
      <c r="B154" s="14" t="s">
        <v>201</v>
      </c>
      <c r="C154" s="15">
        <v>3</v>
      </c>
      <c r="D154" s="6">
        <v>1255450000</v>
      </c>
      <c r="E154" s="6">
        <v>19870000</v>
      </c>
      <c r="F154" s="42">
        <v>715094432</v>
      </c>
      <c r="G154" s="15">
        <f>Tabela3[[#This Row],[Lucro Líquido]]/Tabela3[[#This Row],[Total Ações]]</f>
        <v>2.7786539946097637E-2</v>
      </c>
      <c r="H154" s="15">
        <f>Tabela3[[#This Row],[Lucro/Ação]]/Tabela3[[#This Row],[Ref]]*4</f>
        <v>3.7048719928130185E-2</v>
      </c>
      <c r="I154" s="19">
        <f>IF(GETPIVOTDATA("Payout",'Tabela LL'!$A$3,"Ativo",Tabela3[[#This Row],[PAPEL]])&gt;1,1,GETPIVOTDATA("Payout",'Tabela LL'!$A$3,"Ativo",Tabela3[[#This Row],[PAPEL]]))</f>
        <v>0.26641697668818037</v>
      </c>
      <c r="J154" s="6">
        <f>[Patrimônio Líquido]/[Total Ações]</f>
        <v>1.7556422534136022</v>
      </c>
      <c r="K154" s="52">
        <f>MAX(Tabela3[[#This Row],[Cotação 1]],Tabela3[[#This Row],[Cotação 2]])</f>
        <v>4.12</v>
      </c>
      <c r="L154" s="48">
        <f>[Cotação]/[VPA]</f>
        <v>2.3467195506312479</v>
      </c>
      <c r="M154" s="44">
        <f>IF(Tabela3[[#This Row],[Lucro/Ação Ano]]&gt;0,Tabela3[[#This Row],[Cotação]]/Tabela3[[#This Row],[Lucro/Ação Ano]],0)</f>
        <v>111.20492173527931</v>
      </c>
      <c r="N154" s="6">
        <f>ROUND(Tabela3[[#This Row],[Lucro Prev]]/10%,2)</f>
        <v>0.1</v>
      </c>
      <c r="O154" s="61">
        <f>MIN(Tabela3[[#This Row],[10% Rent]],Tabela3[[#This Row],[VPA]]*3.5)</f>
        <v>0.1</v>
      </c>
      <c r="P154" s="19">
        <f>Tabela3[[#This Row],[P Compra]]/Tabela3[[#This Row],[Cotação]]-1</f>
        <v>-0.97572815533980584</v>
      </c>
      <c r="Q154" s="6">
        <f>Tabela3[[#This Row],[Lucro/Ação Ano]]*Tabela3[[#This Row],[Payout]]</f>
        <v>9.8704079534195823E-3</v>
      </c>
      <c r="R154" s="15" t="str">
        <f>IF(AND([% Yield]&gt;=10%,[PVPA]&lt;=3.5,[PL]&lt;=15,[PL]&gt;0),"Sim","Não")</f>
        <v>Não</v>
      </c>
      <c r="S154" s="46">
        <f>Tabela3[[#This Row],[Lucro Prev]]/Tabela3[[#This Row],[Cotação]]</f>
        <v>2.3957300857814518E-3</v>
      </c>
      <c r="T154" s="14">
        <f>($Z$1/Tabela3[[#This Row],[Cotação]]-MOD($Z$1/Tabela3[[#This Row],[Cotação]],100))</f>
        <v>200</v>
      </c>
      <c r="U154" s="17">
        <f>Tabela3[[#This Row],[Ativos]]*Tabela3[[#This Row],[Lucro Prev]]</f>
        <v>1.9740815906839164</v>
      </c>
      <c r="V154" s="5">
        <f>SUMPRODUCT(N(Tabela1[Código]=Tabela3[[#This Row],[PAPEL]]),Tabela1[Fechamento])</f>
        <v>4.12</v>
      </c>
      <c r="W154" s="5">
        <f>SUMPRODUCT(N(Tabela17[Código]=Tabela3[[#This Row],[PAPEL]]),Tabela17[Fechamento])</f>
        <v>0</v>
      </c>
    </row>
    <row r="155" spans="1:23" hidden="1">
      <c r="A155" s="3" t="s">
        <v>331</v>
      </c>
      <c r="B155" s="74" t="s">
        <v>332</v>
      </c>
      <c r="C155" s="16">
        <v>3</v>
      </c>
      <c r="D155" s="5">
        <v>9543805000</v>
      </c>
      <c r="E155" s="5">
        <v>10847000</v>
      </c>
      <c r="F155" s="21">
        <v>407214353</v>
      </c>
      <c r="G155" s="72">
        <f>Tabela3[[#This Row],[Lucro Líquido]]/Tabela3[[#This Row],[Total Ações]]</f>
        <v>2.6637076812466874E-2</v>
      </c>
      <c r="H155" s="16">
        <f>Tabela3[[#This Row],[Lucro/Ação]]/Tabela3[[#This Row],[Ref]]*4</f>
        <v>3.5516102416622501E-2</v>
      </c>
      <c r="I155" s="18">
        <f>IF(GETPIVOTDATA("Payout",'Tabela LL'!$A$3,"Ativo",Tabela3[[#This Row],[PAPEL]])&gt;1,1,GETPIVOTDATA("Payout",'Tabela LL'!$A$3,"Ativo",Tabela3[[#This Row],[PAPEL]]))</f>
        <v>0.27635601621607192</v>
      </c>
      <c r="J155" s="5">
        <f>[Patrimônio Líquido]/[Total Ações]</f>
        <v>23.436808967290993</v>
      </c>
      <c r="K155" s="58">
        <f>MAX(Tabela3[[#This Row],[Cotação 1]],Tabela3[[#This Row],[Cotação 2]])</f>
        <v>37.42</v>
      </c>
      <c r="L155" s="59">
        <f>[Cotação]/[VPA]</f>
        <v>1.5966337419153054</v>
      </c>
      <c r="M155" s="40">
        <f>IF(Tabela3[[#This Row],[Lucro/Ação Ano]]&gt;0,Tabela3[[#This Row],[Cotação]]/Tabela3[[#This Row],[Lucro/Ação Ano]],0)</f>
        <v>1053.6066024656586</v>
      </c>
      <c r="N155" s="7">
        <f>ROUND(Tabela3[[#This Row],[Lucro Prev]]/10%,2)</f>
        <v>0.1</v>
      </c>
      <c r="O155" s="51">
        <f>MIN(Tabela3[[#This Row],[10% Rent]],Tabela3[[#This Row],[VPA]]*3.5)</f>
        <v>0.1</v>
      </c>
      <c r="P155" s="18">
        <f>Tabela3[[#This Row],[P Compra]]/Tabela3[[#This Row],[Cotação]]-1</f>
        <v>-0.997327632282202</v>
      </c>
      <c r="Q155" s="5">
        <f>Tabela3[[#This Row],[Lucro/Ação Ano]]*Tabela3[[#This Row],[Payout]]</f>
        <v>9.815088575379799E-3</v>
      </c>
      <c r="R155" s="16" t="str">
        <f>IF(AND([% Yield]&gt;=10%,[PVPA]&lt;=3.5,[PL]&lt;=15,[PL]&gt;0),"Sim","Não")</f>
        <v>Não</v>
      </c>
      <c r="S155" s="22">
        <f>Tabela3[[#This Row],[Lucro Prev]]/Tabela3[[#This Row],[Cotação]]</f>
        <v>2.6229525856172629E-4</v>
      </c>
      <c r="T155" s="10">
        <f>($Z$1/Tabela3[[#This Row],[Cotação]]-MOD($Z$1/Tabela3[[#This Row],[Cotação]],100))</f>
        <v>0</v>
      </c>
      <c r="U155" s="7">
        <f>Tabela3[[#This Row],[Ativos]]*Tabela3[[#This Row],[Lucro Prev]]</f>
        <v>0</v>
      </c>
      <c r="V155" s="51">
        <f>SUMPRODUCT(N(Tabela1[Código]=Tabela3[[#This Row],[PAPEL]]),Tabela1[Fechamento])</f>
        <v>0</v>
      </c>
      <c r="W155" s="60">
        <f>SUMPRODUCT(N(Tabela17[Código]=Tabela3[[#This Row],[PAPEL]]),Tabela17[Fechamento])</f>
        <v>37.42</v>
      </c>
    </row>
    <row r="156" spans="1:23" hidden="1">
      <c r="A156" s="4" t="s">
        <v>12</v>
      </c>
      <c r="B156" s="14" t="s">
        <v>175</v>
      </c>
      <c r="C156" s="15">
        <v>3</v>
      </c>
      <c r="D156" s="6">
        <v>4953037000</v>
      </c>
      <c r="E156" s="6">
        <v>-126863000</v>
      </c>
      <c r="F156" s="42">
        <v>152661565</v>
      </c>
      <c r="G156" s="15">
        <f>Tabela3[[#This Row],[Lucro Líquido]]/Tabela3[[#This Row],[Total Ações]]</f>
        <v>-0.83100811916869843</v>
      </c>
      <c r="H156" s="15">
        <f>Tabela3[[#This Row],[Lucro/Ação]]/Tabela3[[#This Row],[Ref]]*4</f>
        <v>-1.1080108255582646</v>
      </c>
      <c r="I156" s="19">
        <f>IF(GETPIVOTDATA("Payout",'Tabela LL'!$A$3,"Ativo",Tabela3[[#This Row],[PAPEL]])&gt;1,1,GETPIVOTDATA("Payout",'Tabela LL'!$A$3,"Ativo",Tabela3[[#This Row],[PAPEL]]))</f>
        <v>0.70044394399833187</v>
      </c>
      <c r="J156" s="6">
        <f>[Patrimônio Líquido]/[Total Ações]</f>
        <v>32.444557999913073</v>
      </c>
      <c r="K156" s="52">
        <f>MAX(Tabela3[[#This Row],[Cotação 1]],Tabela3[[#This Row],[Cotação 2]])</f>
        <v>42.11</v>
      </c>
      <c r="L156" s="48">
        <f>[Cotação]/[VPA]</f>
        <v>1.2979064162351301</v>
      </c>
      <c r="M156" s="44">
        <f>IF(Tabela3[[#This Row],[Lucro/Ação Ano]]&gt;0,Tabela3[[#This Row],[Cotação]]/Tabela3[[#This Row],[Lucro/Ação Ano]],0)</f>
        <v>0</v>
      </c>
      <c r="N156" s="6">
        <f>ROUND(Tabela3[[#This Row],[Lucro Prev]]/10%,2)</f>
        <v>-7.76</v>
      </c>
      <c r="O156" s="61">
        <f>MIN(Tabela3[[#This Row],[10% Rent]],Tabela3[[#This Row],[VPA]]*3.5)</f>
        <v>-7.76</v>
      </c>
      <c r="P156" s="19">
        <f>Tabela3[[#This Row],[P Compra]]/Tabela3[[#This Row],[Cotação]]-1</f>
        <v>-1.1842792685822845</v>
      </c>
      <c r="Q156" s="6">
        <f>Tabela3[[#This Row],[Lucro/Ação Ano]]*Tabela3[[#This Row],[Payout]]</f>
        <v>-0.77609947264687851</v>
      </c>
      <c r="R156" s="15" t="str">
        <f>IF(AND([% Yield]&gt;=10%,[PVPA]&lt;=3.5,[PL]&lt;=15,[PL]&gt;0),"Sim","Não")</f>
        <v>Não</v>
      </c>
      <c r="S156" s="46">
        <f>Tabela3[[#This Row],[Lucro Prev]]/Tabela3[[#This Row],[Cotação]]</f>
        <v>-1.8430289067843234E-2</v>
      </c>
      <c r="T156" s="14">
        <f>($Z$1/Tabela3[[#This Row],[Cotação]]-MOD($Z$1/Tabela3[[#This Row],[Cotação]],100))</f>
        <v>0</v>
      </c>
      <c r="U156" s="17">
        <f>Tabela3[[#This Row],[Ativos]]*Tabela3[[#This Row],[Lucro Prev]]</f>
        <v>0</v>
      </c>
      <c r="V156" s="5">
        <f>SUMPRODUCT(N(Tabela1[Código]=Tabela3[[#This Row],[PAPEL]]),Tabela1[Fechamento])</f>
        <v>42.11</v>
      </c>
      <c r="W156" s="5">
        <f>SUMPRODUCT(N(Tabela17[Código]=Tabela3[[#This Row],[PAPEL]]),Tabela17[Fechamento])</f>
        <v>0</v>
      </c>
    </row>
    <row r="157" spans="1:23" hidden="1">
      <c r="A157" s="4" t="s">
        <v>19</v>
      </c>
      <c r="B157" s="14" t="s">
        <v>18</v>
      </c>
      <c r="C157" s="15">
        <v>3</v>
      </c>
      <c r="D157" s="6">
        <v>10702169000</v>
      </c>
      <c r="E157" s="6">
        <v>-162427000</v>
      </c>
      <c r="F157" s="42">
        <v>1107677313</v>
      </c>
      <c r="G157" s="15">
        <f>Tabela3[[#This Row],[Lucro Líquido]]/Tabela3[[#This Row],[Total Ações]]</f>
        <v>-0.14663747112422804</v>
      </c>
      <c r="H157" s="15">
        <f>Tabela3[[#This Row],[Lucro/Ação]]/Tabela3[[#This Row],[Ref]]*4</f>
        <v>-0.19551662816563739</v>
      </c>
      <c r="I157" s="19">
        <f>IF(GETPIVOTDATA("Payout",'Tabela LL'!$A$3,"Ativo",Tabela3[[#This Row],[PAPEL]])&gt;1,1,GETPIVOTDATA("Payout",'Tabela LL'!$A$3,"Ativo",Tabela3[[#This Row],[PAPEL]]))</f>
        <v>1</v>
      </c>
      <c r="J157" s="6">
        <f>[Patrimônio Líquido]/[Total Ações]</f>
        <v>9.6618111379518705</v>
      </c>
      <c r="K157" s="52">
        <f>MAX(Tabela3[[#This Row],[Cotação 1]],Tabela3[[#This Row],[Cotação 2]])</f>
        <v>9.2100000000000009</v>
      </c>
      <c r="L157" s="48">
        <f>[Cotação]/[VPA]</f>
        <v>0.95323742810733048</v>
      </c>
      <c r="M157" s="44">
        <f>IF(Tabela3[[#This Row],[Lucro/Ação Ano]]&gt;0,Tabela3[[#This Row],[Cotação]]/Tabela3[[#This Row],[Lucro/Ação Ano]],0)</f>
        <v>0</v>
      </c>
      <c r="N157" s="6">
        <f>ROUND(Tabela3[[#This Row],[Lucro Prev]]/10%,2)</f>
        <v>-1.96</v>
      </c>
      <c r="O157" s="61">
        <f>MIN(Tabela3[[#This Row],[10% Rent]],Tabela3[[#This Row],[VPA]]*3.5)</f>
        <v>-1.96</v>
      </c>
      <c r="P157" s="19">
        <f>Tabela3[[#This Row],[P Compra]]/Tabela3[[#This Row],[Cotação]]-1</f>
        <v>-1.2128121606948969</v>
      </c>
      <c r="Q157" s="6">
        <f>Tabela3[[#This Row],[Lucro/Ação Ano]]*Tabela3[[#This Row],[Payout]]</f>
        <v>-0.19551662816563739</v>
      </c>
      <c r="R157" s="15" t="str">
        <f>IF(AND([% Yield]&gt;=10%,[PVPA]&lt;=3.5,[PL]&lt;=15,[PL]&gt;0),"Sim","Não")</f>
        <v>Não</v>
      </c>
      <c r="S157" s="46">
        <f>Tabela3[[#This Row],[Lucro Prev]]/Tabela3[[#This Row],[Cotação]]</f>
        <v>-2.1228732699852048E-2</v>
      </c>
      <c r="T157" s="14">
        <f>($Z$1/Tabela3[[#This Row],[Cotação]]-MOD($Z$1/Tabela3[[#This Row],[Cotação]],100))</f>
        <v>100</v>
      </c>
      <c r="U157" s="17">
        <f>Tabela3[[#This Row],[Ativos]]*Tabela3[[#This Row],[Lucro Prev]]</f>
        <v>-19.551662816563738</v>
      </c>
      <c r="V157" s="5">
        <f>SUMPRODUCT(N(Tabela1[Código]=Tabela3[[#This Row],[PAPEL]]),Tabela1[Fechamento])</f>
        <v>9.2100000000000009</v>
      </c>
      <c r="W157" s="5">
        <f>SUMPRODUCT(N(Tabela17[Código]=Tabela3[[#This Row],[PAPEL]]),Tabela17[Fechamento])</f>
        <v>0</v>
      </c>
    </row>
    <row r="158" spans="1:23" hidden="1">
      <c r="A158" s="4" t="s">
        <v>12</v>
      </c>
      <c r="B158" s="14" t="s">
        <v>176</v>
      </c>
      <c r="C158" s="15">
        <v>3</v>
      </c>
      <c r="D158" s="6">
        <v>4953037000</v>
      </c>
      <c r="E158" s="6">
        <v>-126863000</v>
      </c>
      <c r="F158" s="42">
        <v>152661565</v>
      </c>
      <c r="G158" s="15">
        <f>Tabela3[[#This Row],[Lucro Líquido]]/Tabela3[[#This Row],[Total Ações]]</f>
        <v>-0.83100811916869843</v>
      </c>
      <c r="H158" s="15">
        <f>Tabela3[[#This Row],[Lucro/Ação]]/Tabela3[[#This Row],[Ref]]*4</f>
        <v>-1.1080108255582646</v>
      </c>
      <c r="I158" s="19">
        <f>IF(GETPIVOTDATA("Payout",'Tabela LL'!$A$3,"Ativo",Tabela3[[#This Row],[PAPEL]])&gt;1,1,GETPIVOTDATA("Payout",'Tabela LL'!$A$3,"Ativo",Tabela3[[#This Row],[PAPEL]]))</f>
        <v>0.70044394399833187</v>
      </c>
      <c r="J158" s="6">
        <f>[Patrimônio Líquido]/[Total Ações]</f>
        <v>32.444557999913073</v>
      </c>
      <c r="K158" s="52">
        <f>MAX(Tabela3[[#This Row],[Cotação 1]],Tabela3[[#This Row],[Cotação 2]])</f>
        <v>26.61</v>
      </c>
      <c r="L158" s="48">
        <f>[Cotação]/[VPA]</f>
        <v>0.82016836228964174</v>
      </c>
      <c r="M158" s="44">
        <f>IF(Tabela3[[#This Row],[Lucro/Ação Ano]]&gt;0,Tabela3[[#This Row],[Cotação]]/Tabela3[[#This Row],[Lucro/Ação Ano]],0)</f>
        <v>0</v>
      </c>
      <c r="N158" s="6">
        <f>ROUND(Tabela3[[#This Row],[Lucro Prev]]/10%,2)</f>
        <v>-7.76</v>
      </c>
      <c r="O158" s="61">
        <f>MIN(Tabela3[[#This Row],[10% Rent]],Tabela3[[#This Row],[VPA]]*3.5)</f>
        <v>-7.76</v>
      </c>
      <c r="P158" s="19">
        <f>Tabela3[[#This Row],[P Compra]]/Tabela3[[#This Row],[Cotação]]-1</f>
        <v>-1.291619691845171</v>
      </c>
      <c r="Q158" s="6">
        <f>Tabela3[[#This Row],[Lucro/Ação Ano]]*Tabela3[[#This Row],[Payout]]</f>
        <v>-0.77609947264687851</v>
      </c>
      <c r="R158" s="15" t="str">
        <f>IF(AND([% Yield]&gt;=10%,[PVPA]&lt;=3.5,[PL]&lt;=15,[PL]&gt;0),"Sim","Não")</f>
        <v>Não</v>
      </c>
      <c r="S158" s="46">
        <f>Tabela3[[#This Row],[Lucro Prev]]/Tabela3[[#This Row],[Cotação]]</f>
        <v>-2.9165707352381755E-2</v>
      </c>
      <c r="T158" s="14">
        <f>($Z$1/Tabela3[[#This Row],[Cotação]]-MOD($Z$1/Tabela3[[#This Row],[Cotação]],100))</f>
        <v>0</v>
      </c>
      <c r="U158" s="17">
        <f>Tabela3[[#This Row],[Ativos]]*Tabela3[[#This Row],[Lucro Prev]]</f>
        <v>0</v>
      </c>
      <c r="V158" s="5">
        <f>SUMPRODUCT(N(Tabela1[Código]=Tabela3[[#This Row],[PAPEL]]),Tabela1[Fechamento])</f>
        <v>26.61</v>
      </c>
      <c r="W158" s="5">
        <f>SUMPRODUCT(N(Tabela17[Código]=Tabela3[[#This Row],[PAPEL]]),Tabela17[Fechamento])</f>
        <v>0</v>
      </c>
    </row>
    <row r="159" spans="1:23" hidden="1">
      <c r="A159" s="4" t="s">
        <v>19</v>
      </c>
      <c r="B159" s="14" t="s">
        <v>213</v>
      </c>
      <c r="C159" s="15">
        <v>3</v>
      </c>
      <c r="D159" s="6">
        <v>10702169000</v>
      </c>
      <c r="E159" s="6">
        <v>-162427000</v>
      </c>
      <c r="F159" s="42">
        <v>1107677313</v>
      </c>
      <c r="G159" s="15">
        <f>Tabela3[[#This Row],[Lucro Líquido]]/Tabela3[[#This Row],[Total Ações]]</f>
        <v>-0.14663747112422804</v>
      </c>
      <c r="H159" s="15">
        <f>Tabela3[[#This Row],[Lucro/Ação]]/Tabela3[[#This Row],[Ref]]*4</f>
        <v>-0.19551662816563739</v>
      </c>
      <c r="I159" s="19">
        <f>IF(GETPIVOTDATA("Payout",'Tabela LL'!$A$3,"Ativo",Tabela3[[#This Row],[PAPEL]])&gt;1,1,GETPIVOTDATA("Payout",'Tabela LL'!$A$3,"Ativo",Tabela3[[#This Row],[PAPEL]]))</f>
        <v>1</v>
      </c>
      <c r="J159" s="6">
        <f>[Patrimônio Líquido]/[Total Ações]</f>
        <v>9.6618111379518705</v>
      </c>
      <c r="K159" s="52">
        <f>MAX(Tabela3[[#This Row],[Cotação 1]],Tabela3[[#This Row],[Cotação 2]])</f>
        <v>5.7</v>
      </c>
      <c r="L159" s="48">
        <f>[Cotação]/[VPA]</f>
        <v>0.5899515027374358</v>
      </c>
      <c r="M159" s="44">
        <f>IF(Tabela3[[#This Row],[Lucro/Ação Ano]]&gt;0,Tabela3[[#This Row],[Cotação]]/Tabela3[[#This Row],[Lucro/Ação Ano]],0)</f>
        <v>0</v>
      </c>
      <c r="N159" s="6">
        <f>ROUND(Tabela3[[#This Row],[Lucro Prev]]/10%,2)</f>
        <v>-1.96</v>
      </c>
      <c r="O159" s="61">
        <f>MIN(Tabela3[[#This Row],[10% Rent]],Tabela3[[#This Row],[VPA]]*3.5)</f>
        <v>-1.96</v>
      </c>
      <c r="P159" s="19">
        <f>Tabela3[[#This Row],[P Compra]]/Tabela3[[#This Row],[Cotação]]-1</f>
        <v>-1.343859649122807</v>
      </c>
      <c r="Q159" s="6">
        <f>Tabela3[[#This Row],[Lucro/Ação Ano]]*Tabela3[[#This Row],[Payout]]</f>
        <v>-0.19551662816563739</v>
      </c>
      <c r="R159" s="15" t="str">
        <f>IF(AND([% Yield]&gt;=10%,[PVPA]&lt;=3.5,[PL]&lt;=15,[PL]&gt;0),"Sim","Não")</f>
        <v>Não</v>
      </c>
      <c r="S159" s="46">
        <f>Tabela3[[#This Row],[Lucro Prev]]/Tabela3[[#This Row],[Cotação]]</f>
        <v>-3.4301162836076732E-2</v>
      </c>
      <c r="T159" s="14">
        <f>($Z$1/Tabela3[[#This Row],[Cotação]]-MOD($Z$1/Tabela3[[#This Row],[Cotação]],100))</f>
        <v>100</v>
      </c>
      <c r="U159" s="17">
        <f>Tabela3[[#This Row],[Ativos]]*Tabela3[[#This Row],[Lucro Prev]]</f>
        <v>-19.551662816563738</v>
      </c>
      <c r="V159" s="5">
        <f>SUMPRODUCT(N(Tabela1[Código]=Tabela3[[#This Row],[PAPEL]]),Tabela1[Fechamento])</f>
        <v>5.7</v>
      </c>
      <c r="W159" s="5">
        <f>SUMPRODUCT(N(Tabela17[Código]=Tabela3[[#This Row],[PAPEL]]),Tabela17[Fechamento])</f>
        <v>0</v>
      </c>
    </row>
    <row r="160" spans="1:23" hidden="1">
      <c r="A160" s="4" t="s">
        <v>12</v>
      </c>
      <c r="B160" s="14" t="s">
        <v>106</v>
      </c>
      <c r="C160" s="15">
        <v>3</v>
      </c>
      <c r="D160" s="6">
        <v>1791505000</v>
      </c>
      <c r="E160" s="6">
        <v>-38094000</v>
      </c>
      <c r="F160" s="42">
        <v>387229828</v>
      </c>
      <c r="G160" s="15">
        <f>Tabela3[[#This Row],[Lucro Líquido]]/Tabela3[[#This Row],[Total Ações]]</f>
        <v>-9.8375686079637439E-2</v>
      </c>
      <c r="H160" s="15">
        <f>Tabela3[[#This Row],[Lucro/Ação]]/Tabela3[[#This Row],[Ref]]*4</f>
        <v>-0.1311675814395166</v>
      </c>
      <c r="I160" s="19">
        <f>IF(GETPIVOTDATA("Payout",'Tabela LL'!$A$3,"Ativo",Tabela3[[#This Row],[PAPEL]])&gt;1,1,GETPIVOTDATA("Payout",'Tabela LL'!$A$3,"Ativo",Tabela3[[#This Row],[PAPEL]]))</f>
        <v>0.43917014853198871</v>
      </c>
      <c r="J160" s="6">
        <f>[Patrimônio Líquido]/[Total Ações]</f>
        <v>4.6264643642069849</v>
      </c>
      <c r="K160" s="52">
        <f>MAX(Tabela3[[#This Row],[Cotação 1]],Tabela3[[#This Row],[Cotação 2]])</f>
        <v>1.7</v>
      </c>
      <c r="L160" s="48">
        <f>[Cotação]/[VPA]</f>
        <v>0.36745122542220088</v>
      </c>
      <c r="M160" s="44">
        <f>IF(Tabela3[[#This Row],[Lucro/Ação Ano]]&gt;0,Tabela3[[#This Row],[Cotação]]/Tabela3[[#This Row],[Lucro/Ação Ano]],0)</f>
        <v>0</v>
      </c>
      <c r="N160" s="6">
        <f>ROUND(Tabela3[[#This Row],[Lucro Prev]]/10%,2)</f>
        <v>-0.57999999999999996</v>
      </c>
      <c r="O160" s="61">
        <f>MIN(Tabela3[[#This Row],[10% Rent]],Tabela3[[#This Row],[VPA]]*3.5)</f>
        <v>-0.57999999999999996</v>
      </c>
      <c r="P160" s="19">
        <f>Tabela3[[#This Row],[P Compra]]/Tabela3[[#This Row],[Cotação]]-1</f>
        <v>-1.3411764705882354</v>
      </c>
      <c r="Q160" s="6">
        <f>Tabela3[[#This Row],[Lucro/Ação Ano]]*Tabela3[[#This Row],[Payout]]</f>
        <v>-5.760488622337423E-2</v>
      </c>
      <c r="R160" s="15" t="str">
        <f>IF(AND([% Yield]&gt;=10%,[PVPA]&lt;=3.5,[PL]&lt;=15,[PL]&gt;0),"Sim","Não")</f>
        <v>Não</v>
      </c>
      <c r="S160" s="46">
        <f>Tabela3[[#This Row],[Lucro Prev]]/Tabela3[[#This Row],[Cotação]]</f>
        <v>-3.3885227190220135E-2</v>
      </c>
      <c r="T160" s="14">
        <f>($Z$1/Tabela3[[#This Row],[Cotação]]-MOD($Z$1/Tabela3[[#This Row],[Cotação]],100))</f>
        <v>500</v>
      </c>
      <c r="U160" s="17">
        <f>Tabela3[[#This Row],[Ativos]]*Tabela3[[#This Row],[Lucro Prev]]</f>
        <v>-28.802443111687115</v>
      </c>
      <c r="V160" s="5">
        <f>SUMPRODUCT(N(Tabela1[Código]=Tabela3[[#This Row],[PAPEL]]),Tabela1[Fechamento])</f>
        <v>1.7</v>
      </c>
      <c r="W160" s="5">
        <f>SUMPRODUCT(N(Tabela17[Código]=Tabela3[[#This Row],[PAPEL]]),Tabela17[Fechamento])</f>
        <v>0</v>
      </c>
    </row>
    <row r="161" spans="1:23" hidden="1">
      <c r="A161" s="4" t="s">
        <v>12</v>
      </c>
      <c r="B161" s="14" t="s">
        <v>105</v>
      </c>
      <c r="C161" s="15">
        <v>3</v>
      </c>
      <c r="D161" s="6">
        <v>1791505000</v>
      </c>
      <c r="E161" s="6">
        <v>-38094000</v>
      </c>
      <c r="F161" s="42">
        <v>387229828</v>
      </c>
      <c r="G161" s="15">
        <f>Tabela3[[#This Row],[Lucro Líquido]]/Tabela3[[#This Row],[Total Ações]]</f>
        <v>-9.8375686079637439E-2</v>
      </c>
      <c r="H161" s="15">
        <f>Tabela3[[#This Row],[Lucro/Ação]]/Tabela3[[#This Row],[Ref]]*4</f>
        <v>-0.1311675814395166</v>
      </c>
      <c r="I161" s="19">
        <f>IF(GETPIVOTDATA("Payout",'Tabela LL'!$A$3,"Ativo",Tabela3[[#This Row],[PAPEL]])&gt;1,1,GETPIVOTDATA("Payout",'Tabela LL'!$A$3,"Ativo",Tabela3[[#This Row],[PAPEL]]))</f>
        <v>0.43917014853198871</v>
      </c>
      <c r="J161" s="6">
        <f>[Patrimônio Líquido]/[Total Ações]</f>
        <v>4.6264643642069849</v>
      </c>
      <c r="K161" s="52">
        <f>MAX(Tabela3[[#This Row],[Cotação 1]],Tabela3[[#This Row],[Cotação 2]])</f>
        <v>1.59</v>
      </c>
      <c r="L161" s="48">
        <f>[Cotação]/[VPA]</f>
        <v>0.34367496965958788</v>
      </c>
      <c r="M161" s="44">
        <f>IF(Tabela3[[#This Row],[Lucro/Ação Ano]]&gt;0,Tabela3[[#This Row],[Cotação]]/Tabela3[[#This Row],[Lucro/Ação Ano]],0)</f>
        <v>0</v>
      </c>
      <c r="N161" s="6">
        <f>ROUND(Tabela3[[#This Row],[Lucro Prev]]/10%,2)</f>
        <v>-0.57999999999999996</v>
      </c>
      <c r="O161" s="61">
        <f>MIN(Tabela3[[#This Row],[10% Rent]],Tabela3[[#This Row],[VPA]]*3.5)</f>
        <v>-0.57999999999999996</v>
      </c>
      <c r="P161" s="19">
        <f>Tabela3[[#This Row],[P Compra]]/Tabela3[[#This Row],[Cotação]]-1</f>
        <v>-1.3647798742138364</v>
      </c>
      <c r="Q161" s="6">
        <f>Tabela3[[#This Row],[Lucro/Ação Ano]]*Tabela3[[#This Row],[Payout]]</f>
        <v>-5.760488622337423E-2</v>
      </c>
      <c r="R161" s="15" t="str">
        <f>IF(AND([% Yield]&gt;=10%,[PVPA]&lt;=3.5,[PL]&lt;=15,[PL]&gt;0),"Sim","Não")</f>
        <v>Não</v>
      </c>
      <c r="S161" s="46">
        <f>Tabela3[[#This Row],[Lucro Prev]]/Tabela3[[#This Row],[Cotação]]</f>
        <v>-3.62294881908014E-2</v>
      </c>
      <c r="T161" s="14">
        <f>($Z$1/Tabela3[[#This Row],[Cotação]]-MOD($Z$1/Tabela3[[#This Row],[Cotação]],100))</f>
        <v>600</v>
      </c>
      <c r="U161" s="17">
        <f>Tabela3[[#This Row],[Ativos]]*Tabela3[[#This Row],[Lucro Prev]]</f>
        <v>-34.562931734024538</v>
      </c>
      <c r="V161" s="5">
        <f>SUMPRODUCT(N(Tabela1[Código]=Tabela3[[#This Row],[PAPEL]]),Tabela1[Fechamento])</f>
        <v>1.59</v>
      </c>
      <c r="W161" s="5">
        <f>SUMPRODUCT(N(Tabela17[Código]=Tabela3[[#This Row],[PAPEL]]),Tabela17[Fechamento])</f>
        <v>0</v>
      </c>
    </row>
    <row r="162" spans="1:23" hidden="1">
      <c r="A162" s="4" t="s">
        <v>12</v>
      </c>
      <c r="B162" s="15" t="s">
        <v>27</v>
      </c>
      <c r="C162" s="15">
        <v>3</v>
      </c>
      <c r="D162" s="6">
        <v>65493746000</v>
      </c>
      <c r="E162" s="6">
        <v>-787071000</v>
      </c>
      <c r="F162" s="8">
        <v>1352634100</v>
      </c>
      <c r="G162" s="41">
        <f>Tabela3[[#This Row],[Lucro Líquido]]/Tabela3[[#This Row],[Total Ações]]</f>
        <v>-0.58188019953067871</v>
      </c>
      <c r="H162" s="41">
        <f>Tabela3[[#This Row],[Lucro/Ação]]/Tabela3[[#This Row],[Ref]]*4</f>
        <v>-0.77584026604090495</v>
      </c>
      <c r="I162" s="55">
        <f>IF(GETPIVOTDATA("Payout",'Tabela LL'!$A$3,"Ativo",Tabela3[[#This Row],[PAPEL]])&gt;1,1,GETPIVOTDATA("Payout",'Tabela LL'!$A$3,"Ativo",Tabela3[[#This Row],[PAPEL]]))</f>
        <v>1</v>
      </c>
      <c r="J162" s="31">
        <f>[Patrimônio Líquido]/[Total Ações]</f>
        <v>48.419410689113931</v>
      </c>
      <c r="K162" s="32">
        <f>MAX(Tabela3[[#This Row],[Cotação 1]],Tabela3[[#This Row],[Cotação 2]])</f>
        <v>10.27</v>
      </c>
      <c r="L162" s="33">
        <f>[Cotação]/[VPA]</f>
        <v>0.21210501850054506</v>
      </c>
      <c r="M162" s="38">
        <f>IF(Tabela3[[#This Row],[Lucro/Ação Ano]]&gt;0,Tabela3[[#This Row],[Cotação]]/Tabela3[[#This Row],[Lucro/Ação Ano]],0)</f>
        <v>0</v>
      </c>
      <c r="N162" s="31">
        <f>ROUND(Tabela3[[#This Row],[Lucro Prev]]/10%,2)</f>
        <v>-7.76</v>
      </c>
      <c r="O162" s="29">
        <f>MIN(Tabela3[[#This Row],[10% Rent]],Tabela3[[#This Row],[VPA]]*3.5)</f>
        <v>-7.76</v>
      </c>
      <c r="P162" s="54">
        <f>Tabela3[[#This Row],[P Compra]]/Tabela3[[#This Row],[Cotação]]-1</f>
        <v>-1.7555988315481987</v>
      </c>
      <c r="Q162" s="6">
        <f>Tabela3[[#This Row],[Lucro/Ação Ano]]*Tabela3[[#This Row],[Payout]]</f>
        <v>-0.77584026604090495</v>
      </c>
      <c r="R162" s="26" t="str">
        <f>IF(AND([% Yield]&gt;=10%,[PVPA]&lt;=3.5,[PL]&lt;=15,[PL]&gt;0),"Sim","Não")</f>
        <v>Não</v>
      </c>
      <c r="S162" s="30">
        <f>Tabela3[[#This Row],[Lucro Prev]]/Tabela3[[#This Row],[Cotação]]</f>
        <v>-7.5544329702132915E-2</v>
      </c>
      <c r="T162" s="10">
        <f>($Z$1/Tabela3[[#This Row],[Cotação]]-MOD($Z$1/Tabela3[[#This Row],[Cotação]],100))</f>
        <v>0</v>
      </c>
      <c r="U162" s="5">
        <f>Tabela3[[#This Row],[Ativos]]*Tabela3[[#This Row],[Lucro Prev]]</f>
        <v>0</v>
      </c>
      <c r="V162" s="5">
        <f>SUMPRODUCT(N(Tabela1[Código]=Tabela3[[#This Row],[PAPEL]]),Tabela1[Fechamento])</f>
        <v>10.27</v>
      </c>
      <c r="W162" s="5">
        <f>SUMPRODUCT(N(Tabela17[Código]=Tabela3[[#This Row],[PAPEL]]),Tabela17[Fechamento])</f>
        <v>0</v>
      </c>
    </row>
    <row r="163" spans="1:23" hidden="1">
      <c r="A163" s="4" t="s">
        <v>12</v>
      </c>
      <c r="B163" s="15" t="s">
        <v>2</v>
      </c>
      <c r="C163" s="15">
        <v>3</v>
      </c>
      <c r="D163" s="6">
        <v>65493746000</v>
      </c>
      <c r="E163" s="6">
        <v>-787071000</v>
      </c>
      <c r="F163" s="8">
        <v>1352634100</v>
      </c>
      <c r="G163" s="41">
        <f>Tabela3[[#This Row],[Lucro Líquido]]/Tabela3[[#This Row],[Total Ações]]</f>
        <v>-0.58188019953067871</v>
      </c>
      <c r="H163" s="41">
        <f>Tabela3[[#This Row],[Lucro/Ação]]/Tabela3[[#This Row],[Ref]]*4</f>
        <v>-0.77584026604090495</v>
      </c>
      <c r="I163" s="55">
        <f>IF(GETPIVOTDATA("Payout",'Tabela LL'!$A$3,"Ativo",Tabela3[[#This Row],[PAPEL]])&gt;1,1,GETPIVOTDATA("Payout",'Tabela LL'!$A$3,"Ativo",Tabela3[[#This Row],[PAPEL]]))</f>
        <v>1</v>
      </c>
      <c r="J163" s="6">
        <f>[Patrimônio Líquido]/[Total Ações]</f>
        <v>48.419410689113931</v>
      </c>
      <c r="K163" s="11">
        <f>MAX(Tabela3[[#This Row],[Cotação 1]],Tabela3[[#This Row],[Cotação 2]])</f>
        <v>6.05</v>
      </c>
      <c r="L163" s="9">
        <f>[Cotação]/[VPA]</f>
        <v>0.12494988918483911</v>
      </c>
      <c r="M163" s="39">
        <f>IF(Tabela3[[#This Row],[Lucro/Ação Ano]]&gt;0,Tabela3[[#This Row],[Cotação]]/Tabela3[[#This Row],[Lucro/Ação Ano]],0)</f>
        <v>0</v>
      </c>
      <c r="N163" s="6">
        <f>ROUND(Tabela3[[#This Row],[Lucro Prev]]/10%,2)</f>
        <v>-7.76</v>
      </c>
      <c r="O163" s="13">
        <f>MIN(Tabela3[[#This Row],[10% Rent]],Tabela3[[#This Row],[VPA]]*3.5)</f>
        <v>-7.76</v>
      </c>
      <c r="P163" s="19">
        <f>Tabela3[[#This Row],[P Compra]]/Tabela3[[#This Row],[Cotação]]-1</f>
        <v>-2.2826446280991735</v>
      </c>
      <c r="Q163" s="6">
        <f>Tabela3[[#This Row],[Lucro/Ação Ano]]*Tabela3[[#This Row],[Payout]]</f>
        <v>-0.77584026604090495</v>
      </c>
      <c r="R163" s="14" t="str">
        <f>IF(AND([% Yield]&gt;=10%,[PVPA]&lt;=3.5,[PL]&lt;=15,[PL]&gt;0),"Sim","Não")</f>
        <v>Não</v>
      </c>
      <c r="S163" s="19">
        <f>Tabela3[[#This Row],[Lucro Prev]]/Tabela3[[#This Row],[Cotação]]</f>
        <v>-0.12823806050262893</v>
      </c>
      <c r="T163" s="10">
        <f>($Z$1/Tabela3[[#This Row],[Cotação]]-MOD($Z$1/Tabela3[[#This Row],[Cotação]],100))</f>
        <v>100</v>
      </c>
      <c r="U163" s="5">
        <f>Tabela3[[#This Row],[Ativos]]*Tabela3[[#This Row],[Lucro Prev]]</f>
        <v>-77.584026604090496</v>
      </c>
      <c r="V163" s="5">
        <f>SUMPRODUCT(N(Tabela1[Código]=Tabela3[[#This Row],[PAPEL]]),Tabela1[Fechamento])</f>
        <v>6.05</v>
      </c>
      <c r="W163" s="5">
        <f>SUMPRODUCT(N(Tabela17[Código]=Tabela3[[#This Row],[PAPEL]]),Tabela17[Fechamento])</f>
        <v>0</v>
      </c>
    </row>
  </sheetData>
  <hyperlinks>
    <hyperlink ref="B4" r:id="rId1"/>
    <hyperlink ref="B87" r:id="rId2"/>
    <hyperlink ref="B125" r:id="rId3"/>
    <hyperlink ref="B151" r:id="rId4"/>
    <hyperlink ref="B149" r:id="rId5"/>
    <hyperlink ref="B135" r:id="rId6"/>
    <hyperlink ref="B123" r:id="rId7"/>
    <hyperlink ref="B155" r:id="rId8"/>
    <hyperlink ref="B133" r:id="rId9"/>
    <hyperlink ref="B56" r:id="rId10"/>
    <hyperlink ref="B109" r:id="rId11"/>
    <hyperlink ref="B137" r:id="rId12"/>
    <hyperlink ref="B138" r:id="rId13"/>
    <hyperlink ref="B112" r:id="rId14"/>
    <hyperlink ref="B134" r:id="rId15"/>
    <hyperlink ref="B60" r:id="rId16"/>
    <hyperlink ref="B55" r:id="rId17"/>
    <hyperlink ref="B37" r:id="rId18"/>
    <hyperlink ref="B41" r:id="rId19"/>
    <hyperlink ref="B57" r:id="rId20"/>
    <hyperlink ref="B64" r:id="rId21"/>
    <hyperlink ref="B75" r:id="rId22"/>
    <hyperlink ref="B114" r:id="rId23"/>
    <hyperlink ref="B116" r:id="rId24"/>
    <hyperlink ref="B118" r:id="rId25"/>
    <hyperlink ref="B39" r:id="rId26"/>
    <hyperlink ref="B5" r:id="rId27"/>
    <hyperlink ref="B7" r:id="rId28"/>
    <hyperlink ref="B6" r:id="rId29"/>
    <hyperlink ref="B8" r:id="rId30"/>
    <hyperlink ref="B27" r:id="rId31"/>
    <hyperlink ref="B48" r:id="rId32"/>
    <hyperlink ref="B119" r:id="rId33"/>
    <hyperlink ref="B110" r:id="rId34"/>
    <hyperlink ref="B92" r:id="rId35"/>
    <hyperlink ref="B66" r:id="rId36"/>
    <hyperlink ref="B152" r:id="rId37"/>
    <hyperlink ref="B50" r:id="rId38"/>
    <hyperlink ref="B3" r:id="rId39"/>
    <hyperlink ref="B38" r:id="rId40"/>
    <hyperlink ref="B22" r:id="rId41"/>
    <hyperlink ref="B145" r:id="rId42"/>
    <hyperlink ref="B144" r:id="rId43"/>
    <hyperlink ref="B2" r:id="rId44"/>
    <hyperlink ref="B77" r:id="rId45"/>
    <hyperlink ref="B121" r:id="rId46"/>
    <hyperlink ref="B128" r:id="rId47"/>
    <hyperlink ref="B126" r:id="rId48"/>
    <hyperlink ref="B117" r:id="rId49"/>
    <hyperlink ref="B143" r:id="rId50"/>
    <hyperlink ref="B21" r:id="rId51"/>
    <hyperlink ref="B108" r:id="rId52"/>
    <hyperlink ref="B84" r:id="rId53"/>
    <hyperlink ref="B89" r:id="rId54"/>
    <hyperlink ref="B42" r:id="rId55"/>
    <hyperlink ref="B69" r:id="rId56"/>
    <hyperlink ref="B95" r:id="rId57"/>
    <hyperlink ref="B105" r:id="rId58"/>
  </hyperlinks>
  <pageMargins left="0.7" right="0.7" top="0.75" bottom="0.75" header="0.3" footer="0.3"/>
  <pageSetup paperSize="9" orientation="portrait" r:id="rId59"/>
  <tableParts count="1">
    <tablePart r:id="rId60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O1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282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4" t="s">
        <v>45</v>
      </c>
      <c r="Q6" s="34" t="s">
        <v>0</v>
      </c>
      <c r="R6" s="35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6" t="str">
        <f>IF(Tabela1[[#This Row],[Código]]="IBOV","^BVSP",IF(Tabela1[[#This Row],[Código]]="","",CONCATENATE(LEFT(Tabela1[[#This Row],[Código]],6),".SA")))</f>
        <v>ABCB4.SA</v>
      </c>
      <c r="C7" s="3" t="s">
        <v>110</v>
      </c>
      <c r="D7" s="3" t="s">
        <v>548</v>
      </c>
      <c r="E7" s="3" t="s">
        <v>748</v>
      </c>
      <c r="F7" s="3" t="s">
        <v>749</v>
      </c>
      <c r="G7" s="3" t="s">
        <v>417</v>
      </c>
      <c r="H7" s="20">
        <v>41645</v>
      </c>
      <c r="J7" s="3">
        <f>IF($A7="",0,VALUE(CONCATENATE(LEFT(D7,LEN(D7)-3),",",RIGHT(D7,2))))</f>
        <v>12.12</v>
      </c>
      <c r="K7" s="3">
        <f t="shared" ref="K7:M22" si="0">IF($A7="",0,VALUE(CONCATENATE(LEFT(E7,LEN(E7)-3),",",RIGHT(E7,2))))</f>
        <v>12.26</v>
      </c>
      <c r="L7" s="3">
        <f t="shared" si="0"/>
        <v>12.33</v>
      </c>
      <c r="M7" s="3">
        <f t="shared" si="0"/>
        <v>12.1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41645</v>
      </c>
      <c r="S7" s="5">
        <f t="shared" ref="S7:S38" si="3">J7</f>
        <v>12.12</v>
      </c>
      <c r="T7" s="5">
        <f t="shared" ref="T7:T38" si="4">K7</f>
        <v>12.26</v>
      </c>
      <c r="U7" s="5">
        <f t="shared" ref="U7:U38" si="5">L7</f>
        <v>12.33</v>
      </c>
      <c r="V7" s="5">
        <f t="shared" ref="V7:V38" si="6">M7</f>
        <v>12.1</v>
      </c>
    </row>
    <row r="8" spans="1:22">
      <c r="A8" s="36" t="str">
        <f>IF(Tabela1[[#This Row],[Código]]="IBOV","^BVSP",IF(Tabela1[[#This Row],[Código]]="","",CONCATENATE(LEFT(Tabela1[[#This Row],[Código]],6),".SA")))</f>
        <v>AELP3.SA</v>
      </c>
      <c r="C8" s="3" t="s">
        <v>111</v>
      </c>
      <c r="D8" s="3" t="s">
        <v>411</v>
      </c>
      <c r="E8" s="3" t="s">
        <v>442</v>
      </c>
      <c r="F8" s="3" t="s">
        <v>442</v>
      </c>
      <c r="G8" s="3" t="s">
        <v>427</v>
      </c>
      <c r="H8" s="20">
        <v>41645</v>
      </c>
      <c r="J8" s="3">
        <f t="shared" ref="J8:M71" si="7">IF($A8="",0,VALUE(CONCATENATE(LEFT(D8,LEN(D8)-3),",",RIGHT(D8,2))))</f>
        <v>9.1999999999999993</v>
      </c>
      <c r="K8" s="3">
        <f t="shared" si="0"/>
        <v>9.25</v>
      </c>
      <c r="L8" s="3">
        <f t="shared" si="0"/>
        <v>9.25</v>
      </c>
      <c r="M8" s="3">
        <f t="shared" si="0"/>
        <v>8.4</v>
      </c>
      <c r="P8" s="14" t="s">
        <v>70</v>
      </c>
      <c r="Q8" s="10" t="str">
        <f t="shared" si="1"/>
        <v>AES ELPA    -ON</v>
      </c>
      <c r="R8" s="20">
        <f t="shared" si="2"/>
        <v>41645</v>
      </c>
      <c r="S8" s="5">
        <f t="shared" si="3"/>
        <v>9.1999999999999993</v>
      </c>
      <c r="T8" s="5">
        <f t="shared" si="4"/>
        <v>9.25</v>
      </c>
      <c r="U8" s="5">
        <f t="shared" si="5"/>
        <v>9.25</v>
      </c>
      <c r="V8" s="5">
        <f t="shared" si="6"/>
        <v>8.4</v>
      </c>
    </row>
    <row r="9" spans="1:22">
      <c r="A9" s="36" t="str">
        <f>IF(Tabela1[[#This Row],[Código]]="IBOV","^BVSP",IF(Tabela1[[#This Row],[Código]]="","",CONCATENATE(LEFT(Tabela1[[#This Row],[Código]],6),".SA")))</f>
        <v>BAZA3.SA</v>
      </c>
      <c r="C9" s="3" t="s">
        <v>112</v>
      </c>
      <c r="D9" s="3" t="s">
        <v>113</v>
      </c>
      <c r="E9" s="3" t="s">
        <v>113</v>
      </c>
      <c r="F9" s="3" t="s">
        <v>113</v>
      </c>
      <c r="G9" s="3" t="s">
        <v>113</v>
      </c>
      <c r="H9" s="20">
        <v>41645</v>
      </c>
      <c r="J9" s="3">
        <f t="shared" si="7"/>
        <v>0.32</v>
      </c>
      <c r="K9" s="3">
        <f t="shared" si="0"/>
        <v>0.32</v>
      </c>
      <c r="L9" s="3">
        <f t="shared" si="0"/>
        <v>0.32</v>
      </c>
      <c r="M9" s="3">
        <f t="shared" si="0"/>
        <v>0.32</v>
      </c>
      <c r="P9" s="15" t="s">
        <v>64</v>
      </c>
      <c r="Q9" s="10" t="str">
        <f t="shared" si="1"/>
        <v>AMAZONIA    -ON</v>
      </c>
      <c r="R9" s="20">
        <f t="shared" si="2"/>
        <v>41645</v>
      </c>
      <c r="S9" s="5">
        <f t="shared" si="3"/>
        <v>0.32</v>
      </c>
      <c r="T9" s="5">
        <f t="shared" si="4"/>
        <v>0.32</v>
      </c>
      <c r="U9" s="5">
        <f t="shared" si="5"/>
        <v>0.32</v>
      </c>
      <c r="V9" s="5">
        <f t="shared" si="6"/>
        <v>0.32</v>
      </c>
    </row>
    <row r="10" spans="1:22">
      <c r="A10" s="36" t="str">
        <f>IF(Tabela1[[#This Row],[Código]]="IBOV","^BVSP",IF(Tabela1[[#This Row],[Código]]="","",CONCATENATE(LEFT(Tabela1[[#This Row],[Código]],6),".SA")))</f>
        <v>BBAS3.SA</v>
      </c>
      <c r="C10" s="3" t="s">
        <v>114</v>
      </c>
      <c r="D10" s="3" t="s">
        <v>412</v>
      </c>
      <c r="E10" s="3" t="s">
        <v>685</v>
      </c>
      <c r="F10" s="3" t="s">
        <v>443</v>
      </c>
      <c r="G10" s="3" t="s">
        <v>486</v>
      </c>
      <c r="H10" s="20">
        <v>41645</v>
      </c>
      <c r="J10" s="3">
        <f t="shared" si="7"/>
        <v>24.02</v>
      </c>
      <c r="K10" s="3">
        <f t="shared" si="0"/>
        <v>23.69</v>
      </c>
      <c r="L10" s="3">
        <f t="shared" si="0"/>
        <v>24.05</v>
      </c>
      <c r="M10" s="3">
        <f t="shared" si="0"/>
        <v>23.65</v>
      </c>
      <c r="P10" s="15" t="s">
        <v>24</v>
      </c>
      <c r="Q10" s="10" t="str">
        <f t="shared" si="1"/>
        <v xml:space="preserve">BRASIL      -ON  </v>
      </c>
      <c r="R10" s="20">
        <f t="shared" si="2"/>
        <v>41645</v>
      </c>
      <c r="S10" s="5">
        <f t="shared" si="3"/>
        <v>24.02</v>
      </c>
      <c r="T10" s="5">
        <f t="shared" si="4"/>
        <v>23.69</v>
      </c>
      <c r="U10" s="5">
        <f t="shared" si="5"/>
        <v>24.05</v>
      </c>
      <c r="V10" s="5">
        <f t="shared" si="6"/>
        <v>23.65</v>
      </c>
    </row>
    <row r="11" spans="1:22">
      <c r="A11" s="36" t="str">
        <f>IF(Tabela1[[#This Row],[Código]]="IBOV","^BVSP",IF(Tabela1[[#This Row],[Código]]="","",CONCATENATE(LEFT(Tabela1[[#This Row],[Código]],6),".SA")))</f>
        <v>BBDC3.SA</v>
      </c>
      <c r="C11" s="3" t="s">
        <v>227</v>
      </c>
      <c r="D11" s="3" t="s">
        <v>549</v>
      </c>
      <c r="E11" s="3" t="s">
        <v>750</v>
      </c>
      <c r="F11" s="3" t="s">
        <v>751</v>
      </c>
      <c r="G11" s="3" t="s">
        <v>550</v>
      </c>
      <c r="H11" s="20">
        <v>41645</v>
      </c>
      <c r="J11" s="3">
        <f t="shared" si="7"/>
        <v>30.8</v>
      </c>
      <c r="K11" s="3">
        <f t="shared" si="0"/>
        <v>31.06</v>
      </c>
      <c r="L11" s="3">
        <f t="shared" si="0"/>
        <v>31.29</v>
      </c>
      <c r="M11" s="3">
        <f t="shared" si="0"/>
        <v>30.79</v>
      </c>
      <c r="P11" s="14" t="s">
        <v>225</v>
      </c>
      <c r="Q11" s="10" t="str">
        <f t="shared" si="1"/>
        <v xml:space="preserve">BRADESCO    -ON  </v>
      </c>
      <c r="R11" s="20">
        <f t="shared" si="2"/>
        <v>41645</v>
      </c>
      <c r="S11" s="5">
        <f t="shared" si="3"/>
        <v>30.8</v>
      </c>
      <c r="T11" s="5">
        <f t="shared" si="4"/>
        <v>31.06</v>
      </c>
      <c r="U11" s="5">
        <f t="shared" si="5"/>
        <v>31.29</v>
      </c>
      <c r="V11" s="5">
        <f t="shared" si="6"/>
        <v>30.79</v>
      </c>
    </row>
    <row r="12" spans="1:22">
      <c r="A12" s="36" t="str">
        <f>IF(Tabela1[[#This Row],[Código]]="IBOV","^BVSP",IF(Tabela1[[#This Row],[Código]]="","",CONCATENATE(LEFT(Tabela1[[#This Row],[Código]],6),".SA")))</f>
        <v>BBDC4.SA</v>
      </c>
      <c r="C12" s="3" t="s">
        <v>228</v>
      </c>
      <c r="D12" s="3" t="s">
        <v>428</v>
      </c>
      <c r="E12" s="3" t="s">
        <v>636</v>
      </c>
      <c r="F12" s="3" t="s">
        <v>752</v>
      </c>
      <c r="G12" s="3" t="s">
        <v>551</v>
      </c>
      <c r="H12" s="20">
        <v>41645</v>
      </c>
      <c r="J12" s="3">
        <f t="shared" si="7"/>
        <v>28.5</v>
      </c>
      <c r="K12" s="3">
        <f t="shared" si="0"/>
        <v>28.71</v>
      </c>
      <c r="L12" s="3">
        <f t="shared" si="0"/>
        <v>28.86</v>
      </c>
      <c r="M12" s="3">
        <f t="shared" si="0"/>
        <v>28.34</v>
      </c>
      <c r="P12" s="14" t="s">
        <v>226</v>
      </c>
      <c r="Q12" s="10" t="str">
        <f t="shared" si="1"/>
        <v xml:space="preserve">BRADESCO    -PN  </v>
      </c>
      <c r="R12" s="57">
        <f t="shared" si="2"/>
        <v>41645</v>
      </c>
      <c r="S12" s="5">
        <f t="shared" si="3"/>
        <v>28.5</v>
      </c>
      <c r="T12" s="5">
        <f t="shared" si="4"/>
        <v>28.71</v>
      </c>
      <c r="U12" s="5">
        <f t="shared" si="5"/>
        <v>28.86</v>
      </c>
      <c r="V12" s="5">
        <f t="shared" si="6"/>
        <v>28.34</v>
      </c>
    </row>
    <row r="13" spans="1:22">
      <c r="A13" s="36" t="str">
        <f>IF(Tabela1[[#This Row],[Código]]="IBOV","^BVSP",IF(Tabela1[[#This Row],[Código]]="","",CONCATENATE(LEFT(Tabela1[[#This Row],[Código]],6),".SA")))</f>
        <v>BEES3.SA</v>
      </c>
      <c r="C13" s="3" t="s">
        <v>552</v>
      </c>
      <c r="D13" s="3" t="s">
        <v>391</v>
      </c>
      <c r="E13" s="3" t="s">
        <v>500</v>
      </c>
      <c r="F13" s="3" t="s">
        <v>391</v>
      </c>
      <c r="G13" s="3" t="s">
        <v>500</v>
      </c>
      <c r="H13" s="20">
        <v>41645</v>
      </c>
      <c r="J13" s="3">
        <f t="shared" si="7"/>
        <v>0.49</v>
      </c>
      <c r="K13" s="3">
        <f t="shared" si="0"/>
        <v>0.48</v>
      </c>
      <c r="L13" s="3">
        <f t="shared" si="0"/>
        <v>0.49</v>
      </c>
      <c r="M13" s="3">
        <f t="shared" si="0"/>
        <v>0.48</v>
      </c>
      <c r="P13" s="15" t="s">
        <v>60</v>
      </c>
      <c r="Q13" s="10" t="str">
        <f t="shared" si="1"/>
        <v xml:space="preserve">BANESTES    -ON  </v>
      </c>
      <c r="R13" s="57">
        <f t="shared" si="2"/>
        <v>41645</v>
      </c>
      <c r="S13" s="5">
        <f t="shared" si="3"/>
        <v>0.49</v>
      </c>
      <c r="T13" s="5">
        <f t="shared" si="4"/>
        <v>0.48</v>
      </c>
      <c r="U13" s="5">
        <f t="shared" si="5"/>
        <v>0.49</v>
      </c>
      <c r="V13" s="5">
        <f t="shared" si="6"/>
        <v>0.48</v>
      </c>
    </row>
    <row r="14" spans="1:22">
      <c r="A14" s="36" t="str">
        <f>IF(Tabela1[[#This Row],[Código]]="IBOV","^BVSP",IF(Tabela1[[#This Row],[Código]]="","",CONCATENATE(LEFT(Tabela1[[#This Row],[Código]],6),".SA")))</f>
        <v>BEES4.SA</v>
      </c>
      <c r="C14" s="3" t="s">
        <v>553</v>
      </c>
      <c r="D14" s="3" t="s">
        <v>115</v>
      </c>
      <c r="E14" s="3" t="s">
        <v>115</v>
      </c>
      <c r="F14" s="3" t="s">
        <v>115</v>
      </c>
      <c r="G14" s="3" t="s">
        <v>115</v>
      </c>
      <c r="H14" s="20">
        <v>41645</v>
      </c>
      <c r="J14" s="3">
        <f t="shared" si="7"/>
        <v>0.46</v>
      </c>
      <c r="K14" s="3">
        <f t="shared" si="0"/>
        <v>0.46</v>
      </c>
      <c r="L14" s="3">
        <f t="shared" si="0"/>
        <v>0.46</v>
      </c>
      <c r="M14" s="3">
        <f t="shared" si="0"/>
        <v>0.46</v>
      </c>
      <c r="P14" s="15" t="s">
        <v>61</v>
      </c>
      <c r="Q14" s="10" t="str">
        <f t="shared" si="1"/>
        <v xml:space="preserve">BANESTES    -PN  </v>
      </c>
      <c r="R14" s="20">
        <f t="shared" si="2"/>
        <v>41645</v>
      </c>
      <c r="S14" s="5">
        <f t="shared" si="3"/>
        <v>0.46</v>
      </c>
      <c r="T14" s="5">
        <f t="shared" si="4"/>
        <v>0.46</v>
      </c>
      <c r="U14" s="5">
        <f t="shared" si="5"/>
        <v>0.46</v>
      </c>
      <c r="V14" s="5">
        <f t="shared" si="6"/>
        <v>0.46</v>
      </c>
    </row>
    <row r="15" spans="1:22">
      <c r="A15" s="36" t="str">
        <f>IF(Tabela1[[#This Row],[Código]]="IBOV","^BVSP",IF(Tabela1[[#This Row],[Código]]="","",CONCATENATE(LEFT(Tabela1[[#This Row],[Código]],6),".SA")))</f>
        <v>BGIP3.SA</v>
      </c>
      <c r="C15" s="3" t="s">
        <v>389</v>
      </c>
      <c r="D15" s="3" t="s">
        <v>392</v>
      </c>
      <c r="E15" s="3" t="s">
        <v>392</v>
      </c>
      <c r="F15" s="3" t="s">
        <v>392</v>
      </c>
      <c r="G15" s="3" t="s">
        <v>392</v>
      </c>
      <c r="H15" s="20">
        <v>41645</v>
      </c>
      <c r="J15" s="3">
        <f t="shared" si="7"/>
        <v>48.5</v>
      </c>
      <c r="K15" s="3">
        <f t="shared" si="0"/>
        <v>48.5</v>
      </c>
      <c r="L15" s="3">
        <f t="shared" si="0"/>
        <v>48.5</v>
      </c>
      <c r="M15" s="3">
        <f t="shared" si="0"/>
        <v>48.5</v>
      </c>
      <c r="P15" s="10" t="s">
        <v>230</v>
      </c>
      <c r="Q15" s="10" t="str">
        <f t="shared" si="1"/>
        <v xml:space="preserve">BANESE      -ON  </v>
      </c>
      <c r="R15" s="57">
        <f t="shared" si="2"/>
        <v>41645</v>
      </c>
      <c r="S15" s="5">
        <f t="shared" si="3"/>
        <v>48.5</v>
      </c>
      <c r="T15" s="5">
        <f t="shared" si="4"/>
        <v>48.5</v>
      </c>
      <c r="U15" s="5">
        <f t="shared" si="5"/>
        <v>48.5</v>
      </c>
      <c r="V15" s="5">
        <f t="shared" si="6"/>
        <v>48.5</v>
      </c>
    </row>
    <row r="16" spans="1:22">
      <c r="A16" s="36" t="str">
        <f>IF(Tabela1[[#This Row],[Código]]="IBOV","^BVSP",IF(Tabela1[[#This Row],[Código]]="","",CONCATENATE(LEFT(Tabela1[[#This Row],[Código]],6),".SA")))</f>
        <v>BGIP4.SA</v>
      </c>
      <c r="C16" s="3" t="s">
        <v>390</v>
      </c>
      <c r="D16" s="3" t="s">
        <v>554</v>
      </c>
      <c r="E16" s="3" t="s">
        <v>753</v>
      </c>
      <c r="F16" s="3" t="s">
        <v>753</v>
      </c>
      <c r="G16" s="3" t="s">
        <v>554</v>
      </c>
      <c r="H16" s="20">
        <v>41645</v>
      </c>
      <c r="J16" s="3">
        <f t="shared" si="7"/>
        <v>47.66</v>
      </c>
      <c r="K16" s="3">
        <f t="shared" si="0"/>
        <v>49.99</v>
      </c>
      <c r="L16" s="3">
        <f t="shared" si="0"/>
        <v>49.99</v>
      </c>
      <c r="M16" s="3">
        <f t="shared" si="0"/>
        <v>47.66</v>
      </c>
      <c r="P16" s="15" t="s">
        <v>231</v>
      </c>
      <c r="Q16" s="10" t="str">
        <f t="shared" si="1"/>
        <v xml:space="preserve">BANESE      -PN  </v>
      </c>
      <c r="R16" s="57">
        <f t="shared" si="2"/>
        <v>41645</v>
      </c>
      <c r="S16" s="5">
        <f t="shared" si="3"/>
        <v>47.66</v>
      </c>
      <c r="T16" s="5">
        <f t="shared" si="4"/>
        <v>49.99</v>
      </c>
      <c r="U16" s="5">
        <f t="shared" si="5"/>
        <v>49.99</v>
      </c>
      <c r="V16" s="5">
        <f t="shared" si="6"/>
        <v>47.66</v>
      </c>
    </row>
    <row r="17" spans="1:22">
      <c r="A17" s="36" t="str">
        <f>IF(Tabela1[[#This Row],[Código]]="IBOV","^BVSP",IF(Tabela1[[#This Row],[Código]]="","",CONCATENATE(LEFT(Tabela1[[#This Row],[Código]],6),".SA")))</f>
        <v>BICB3.SA</v>
      </c>
      <c r="C17" s="3" t="s">
        <v>238</v>
      </c>
      <c r="D17" s="3" t="s">
        <v>239</v>
      </c>
      <c r="E17" s="3" t="s">
        <v>240</v>
      </c>
      <c r="F17" s="3" t="s">
        <v>239</v>
      </c>
      <c r="G17" s="3" t="s">
        <v>240</v>
      </c>
      <c r="H17" s="20">
        <v>41645</v>
      </c>
      <c r="J17" s="3">
        <f t="shared" si="7"/>
        <v>9.69</v>
      </c>
      <c r="K17" s="3">
        <f t="shared" si="0"/>
        <v>9.65</v>
      </c>
      <c r="L17" s="3">
        <f t="shared" si="0"/>
        <v>9.69</v>
      </c>
      <c r="M17" s="3">
        <f t="shared" si="0"/>
        <v>9.65</v>
      </c>
      <c r="P17" s="14" t="s">
        <v>237</v>
      </c>
      <c r="Q17" s="10" t="str">
        <f t="shared" si="1"/>
        <v xml:space="preserve">BICBANCO    -ON  </v>
      </c>
      <c r="R17" s="57">
        <f t="shared" si="2"/>
        <v>41645</v>
      </c>
      <c r="S17" s="5">
        <f t="shared" si="3"/>
        <v>9.69</v>
      </c>
      <c r="T17" s="5">
        <f t="shared" si="4"/>
        <v>9.65</v>
      </c>
      <c r="U17" s="5">
        <f t="shared" si="5"/>
        <v>9.69</v>
      </c>
      <c r="V17" s="5">
        <f t="shared" si="6"/>
        <v>9.65</v>
      </c>
    </row>
    <row r="18" spans="1:22">
      <c r="A18" s="36" t="str">
        <f>IF(Tabela1[[#This Row],[Código]]="IBOV","^BVSP",IF(Tabela1[[#This Row],[Código]]="","",CONCATENATE(LEFT(Tabela1[[#This Row],[Código]],6),".SA")))</f>
        <v>BICB4.SA</v>
      </c>
      <c r="C18" s="3" t="s">
        <v>117</v>
      </c>
      <c r="D18" s="3" t="s">
        <v>285</v>
      </c>
      <c r="E18" s="3" t="s">
        <v>285</v>
      </c>
      <c r="F18" s="3" t="s">
        <v>555</v>
      </c>
      <c r="G18" s="3" t="s">
        <v>754</v>
      </c>
      <c r="H18" s="20">
        <v>41645</v>
      </c>
      <c r="J18" s="3">
        <f t="shared" si="7"/>
        <v>7.4</v>
      </c>
      <c r="K18" s="3">
        <f t="shared" si="0"/>
        <v>7.4</v>
      </c>
      <c r="L18" s="3">
        <f t="shared" si="0"/>
        <v>7.43</v>
      </c>
      <c r="M18" s="3">
        <f t="shared" si="0"/>
        <v>7.39</v>
      </c>
      <c r="P18" s="14" t="s">
        <v>10</v>
      </c>
      <c r="Q18" s="10" t="str">
        <f t="shared" si="1"/>
        <v xml:space="preserve">BICBANCO    -PN  </v>
      </c>
      <c r="R18" s="57">
        <f t="shared" si="2"/>
        <v>41645</v>
      </c>
      <c r="S18" s="5">
        <f t="shared" si="3"/>
        <v>7.4</v>
      </c>
      <c r="T18" s="5">
        <f t="shared" si="4"/>
        <v>7.4</v>
      </c>
      <c r="U18" s="5">
        <f t="shared" si="5"/>
        <v>7.43</v>
      </c>
      <c r="V18" s="5">
        <f t="shared" si="6"/>
        <v>7.39</v>
      </c>
    </row>
    <row r="19" spans="1:22">
      <c r="A19" s="36" t="str">
        <f>IF(Tabela1[[#This Row],[Código]]="IBOV","^BVSP",IF(Tabela1[[#This Row],[Código]]="","",CONCATENATE(LEFT(Tabela1[[#This Row],[Código]],6),".SA")))</f>
        <v>BMIN3.SA</v>
      </c>
      <c r="C19" s="3" t="s">
        <v>242</v>
      </c>
      <c r="D19" s="3" t="s">
        <v>177</v>
      </c>
      <c r="E19" s="3" t="s">
        <v>177</v>
      </c>
      <c r="F19" s="3" t="s">
        <v>177</v>
      </c>
      <c r="G19" s="3" t="s">
        <v>177</v>
      </c>
      <c r="H19" s="20">
        <v>41645</v>
      </c>
      <c r="J19" s="3">
        <f t="shared" si="7"/>
        <v>1.1000000000000001</v>
      </c>
      <c r="K19" s="3">
        <f t="shared" si="0"/>
        <v>1.1000000000000001</v>
      </c>
      <c r="L19" s="3">
        <f t="shared" si="0"/>
        <v>1.1000000000000001</v>
      </c>
      <c r="M19" s="3">
        <f t="shared" si="0"/>
        <v>1.1000000000000001</v>
      </c>
      <c r="P19" s="14" t="s">
        <v>241</v>
      </c>
      <c r="Q19" s="10" t="str">
        <f t="shared" si="1"/>
        <v>MERC INVEST -ON</v>
      </c>
      <c r="R19" s="57">
        <f t="shared" si="2"/>
        <v>41645</v>
      </c>
      <c r="S19" s="5">
        <f t="shared" si="3"/>
        <v>1.1000000000000001</v>
      </c>
      <c r="T19" s="5">
        <f t="shared" si="4"/>
        <v>1.1000000000000001</v>
      </c>
      <c r="U19" s="5">
        <f t="shared" si="5"/>
        <v>1.1000000000000001</v>
      </c>
      <c r="V19" s="5">
        <f t="shared" si="6"/>
        <v>1.1000000000000001</v>
      </c>
    </row>
    <row r="20" spans="1:22">
      <c r="A20" s="36" t="str">
        <f>IF(Tabela1[[#This Row],[Código]]="IBOV","^BVSP",IF(Tabela1[[#This Row],[Código]]="","",CONCATENATE(LEFT(Tabela1[[#This Row],[Código]],6),".SA")))</f>
        <v>BMIN4.SA</v>
      </c>
      <c r="C20" s="3" t="s">
        <v>118</v>
      </c>
      <c r="D20" s="3" t="s">
        <v>119</v>
      </c>
      <c r="E20" s="3" t="s">
        <v>119</v>
      </c>
      <c r="F20" s="3" t="s">
        <v>119</v>
      </c>
      <c r="G20" s="3" t="s">
        <v>119</v>
      </c>
      <c r="H20" s="20">
        <v>41645</v>
      </c>
      <c r="J20" s="3">
        <f t="shared" si="7"/>
        <v>0.26</v>
      </c>
      <c r="K20" s="3">
        <f t="shared" si="0"/>
        <v>0.26</v>
      </c>
      <c r="L20" s="3">
        <f t="shared" si="0"/>
        <v>0.26</v>
      </c>
      <c r="M20" s="3">
        <f t="shared" si="0"/>
        <v>0.26</v>
      </c>
      <c r="P20" s="14" t="s">
        <v>63</v>
      </c>
      <c r="Q20" s="10" t="str">
        <f t="shared" si="1"/>
        <v>MERC INVEST -PN</v>
      </c>
      <c r="R20" s="20">
        <f t="shared" si="2"/>
        <v>41645</v>
      </c>
      <c r="S20" s="5">
        <f t="shared" si="3"/>
        <v>0.26</v>
      </c>
      <c r="T20" s="5">
        <f t="shared" si="4"/>
        <v>0.26</v>
      </c>
      <c r="U20" s="5">
        <f t="shared" si="5"/>
        <v>0.26</v>
      </c>
      <c r="V20" s="5">
        <f t="shared" si="6"/>
        <v>0.26</v>
      </c>
    </row>
    <row r="21" spans="1:22">
      <c r="A21" s="36" t="str">
        <f>IF(Tabela1[[#This Row],[Código]]="IBOV","^BVSP",IF(Tabela1[[#This Row],[Código]]="","",CONCATENATE(LEFT(Tabela1[[#This Row],[Código]],6),".SA")))</f>
        <v>BNBR3.SA</v>
      </c>
      <c r="C21" s="3" t="s">
        <v>245</v>
      </c>
      <c r="D21" s="3" t="s">
        <v>229</v>
      </c>
      <c r="E21" s="3" t="s">
        <v>229</v>
      </c>
      <c r="F21" s="3" t="s">
        <v>229</v>
      </c>
      <c r="G21" s="3" t="s">
        <v>229</v>
      </c>
      <c r="H21" s="20">
        <v>41645</v>
      </c>
      <c r="J21" s="3">
        <f t="shared" si="7"/>
        <v>28.74</v>
      </c>
      <c r="K21" s="3">
        <f t="shared" si="0"/>
        <v>28.74</v>
      </c>
      <c r="L21" s="3">
        <f t="shared" si="0"/>
        <v>28.74</v>
      </c>
      <c r="M21" s="3">
        <f t="shared" si="0"/>
        <v>28.74</v>
      </c>
      <c r="P21" s="15" t="s">
        <v>243</v>
      </c>
      <c r="Q21" s="10" t="str">
        <f t="shared" si="1"/>
        <v>NORD BRASIL -ON</v>
      </c>
      <c r="R21" s="57">
        <f t="shared" si="2"/>
        <v>41645</v>
      </c>
      <c r="S21" s="5">
        <f t="shared" si="3"/>
        <v>28.74</v>
      </c>
      <c r="T21" s="5">
        <f t="shared" si="4"/>
        <v>28.74</v>
      </c>
      <c r="U21" s="5">
        <f t="shared" si="5"/>
        <v>28.74</v>
      </c>
      <c r="V21" s="5">
        <f t="shared" si="6"/>
        <v>28.74</v>
      </c>
    </row>
    <row r="22" spans="1:22">
      <c r="A22" s="36" t="str">
        <f>IF(Tabela1[[#This Row],[Código]]="IBOV","^BVSP",IF(Tabela1[[#This Row],[Código]]="","",CONCATENATE(LEFT(Tabela1[[#This Row],[Código]],6),".SA")))</f>
        <v>BNBR4.SA</v>
      </c>
      <c r="C22" s="3" t="s">
        <v>246</v>
      </c>
      <c r="D22" s="3" t="s">
        <v>286</v>
      </c>
      <c r="E22" s="3" t="s">
        <v>286</v>
      </c>
      <c r="F22" s="3" t="s">
        <v>286</v>
      </c>
      <c r="G22" s="3" t="s">
        <v>286</v>
      </c>
      <c r="H22" s="20">
        <v>41645</v>
      </c>
      <c r="J22" s="3">
        <f t="shared" si="7"/>
        <v>25</v>
      </c>
      <c r="K22" s="3">
        <f t="shared" si="0"/>
        <v>25</v>
      </c>
      <c r="L22" s="3">
        <f t="shared" si="0"/>
        <v>25</v>
      </c>
      <c r="M22" s="3">
        <f t="shared" si="0"/>
        <v>25</v>
      </c>
      <c r="P22" s="14" t="s">
        <v>244</v>
      </c>
      <c r="Q22" s="10" t="str">
        <f t="shared" si="1"/>
        <v>NORD BRASIL -PN</v>
      </c>
      <c r="R22" s="57">
        <f t="shared" si="2"/>
        <v>41645</v>
      </c>
      <c r="S22" s="5">
        <f t="shared" si="3"/>
        <v>25</v>
      </c>
      <c r="T22" s="5">
        <f t="shared" si="4"/>
        <v>25</v>
      </c>
      <c r="U22" s="5">
        <f t="shared" si="5"/>
        <v>25</v>
      </c>
      <c r="V22" s="5">
        <f t="shared" si="6"/>
        <v>25</v>
      </c>
    </row>
    <row r="23" spans="1:22">
      <c r="A23" s="36" t="str">
        <f>IF(Tabela1[[#This Row],[Código]]="IBOV","^BVSP",IF(Tabela1[[#This Row],[Código]]="","",CONCATENATE(LEFT(Tabela1[[#This Row],[Código]],6),".SA")))</f>
        <v>BRGE11.SA</v>
      </c>
      <c r="C23" s="3" t="s">
        <v>266</v>
      </c>
      <c r="D23" s="3" t="s">
        <v>179</v>
      </c>
      <c r="E23" s="3" t="s">
        <v>179</v>
      </c>
      <c r="F23" s="3" t="s">
        <v>179</v>
      </c>
      <c r="G23" s="3" t="s">
        <v>179</v>
      </c>
      <c r="H23" s="20">
        <v>41645</v>
      </c>
      <c r="J23" s="3">
        <f t="shared" si="7"/>
        <v>3.82</v>
      </c>
      <c r="K23" s="3">
        <f t="shared" si="7"/>
        <v>3.82</v>
      </c>
      <c r="L23" s="3">
        <f t="shared" si="7"/>
        <v>3.82</v>
      </c>
      <c r="M23" s="3">
        <f t="shared" si="7"/>
        <v>3.82</v>
      </c>
      <c r="P23" s="47" t="s">
        <v>257</v>
      </c>
      <c r="Q23" s="10" t="str">
        <f t="shared" si="1"/>
        <v>ALFA CONSORC-PNE</v>
      </c>
      <c r="R23" s="57">
        <f t="shared" si="2"/>
        <v>41645</v>
      </c>
      <c r="S23" s="5">
        <f t="shared" si="3"/>
        <v>3.82</v>
      </c>
      <c r="T23" s="5">
        <f t="shared" si="4"/>
        <v>3.82</v>
      </c>
      <c r="U23" s="5">
        <f t="shared" si="5"/>
        <v>3.82</v>
      </c>
      <c r="V23" s="5">
        <f t="shared" si="6"/>
        <v>3.82</v>
      </c>
    </row>
    <row r="24" spans="1:22">
      <c r="A24" s="36" t="str">
        <f>IF(Tabela1[[#This Row],[Código]]="IBOV","^BVSP",IF(Tabela1[[#This Row],[Código]]="","",CONCATENATE(LEFT(Tabela1[[#This Row],[Código]],6),".SA")))</f>
        <v>BRGE12.SA</v>
      </c>
      <c r="C24" s="3" t="s">
        <v>267</v>
      </c>
      <c r="D24" s="3" t="s">
        <v>214</v>
      </c>
      <c r="E24" s="3" t="s">
        <v>214</v>
      </c>
      <c r="F24" s="3" t="s">
        <v>214</v>
      </c>
      <c r="G24" s="3" t="s">
        <v>214</v>
      </c>
      <c r="H24" s="20">
        <v>41645</v>
      </c>
      <c r="J24" s="3">
        <f t="shared" si="7"/>
        <v>4</v>
      </c>
      <c r="K24" s="3">
        <f t="shared" si="7"/>
        <v>4</v>
      </c>
      <c r="L24" s="3">
        <f t="shared" si="7"/>
        <v>4</v>
      </c>
      <c r="M24" s="3">
        <f t="shared" si="7"/>
        <v>4</v>
      </c>
      <c r="P24" s="10" t="s">
        <v>258</v>
      </c>
      <c r="Q24" s="10" t="str">
        <f t="shared" si="1"/>
        <v>ALFA CONSORC-PNF</v>
      </c>
      <c r="R24" s="57">
        <f t="shared" si="2"/>
        <v>41645</v>
      </c>
      <c r="S24" s="5">
        <f t="shared" si="3"/>
        <v>4</v>
      </c>
      <c r="T24" s="5">
        <f t="shared" si="4"/>
        <v>4</v>
      </c>
      <c r="U24" s="5">
        <f t="shared" si="5"/>
        <v>4</v>
      </c>
      <c r="V24" s="5">
        <f t="shared" si="6"/>
        <v>4</v>
      </c>
    </row>
    <row r="25" spans="1:22">
      <c r="A25" s="36" t="str">
        <f>IF(Tabela1[[#This Row],[Código]]="IBOV","^BVSP",IF(Tabela1[[#This Row],[Código]]="","",CONCATENATE(LEFT(Tabela1[[#This Row],[Código]],6),".SA")))</f>
        <v>BRGE3.SA</v>
      </c>
      <c r="C25" s="3" t="s">
        <v>259</v>
      </c>
      <c r="D25" s="3" t="s">
        <v>260</v>
      </c>
      <c r="E25" s="3" t="s">
        <v>260</v>
      </c>
      <c r="F25" s="3" t="s">
        <v>260</v>
      </c>
      <c r="G25" s="3" t="s">
        <v>260</v>
      </c>
      <c r="H25" s="20">
        <v>41645</v>
      </c>
      <c r="J25" s="3">
        <f t="shared" si="7"/>
        <v>4.2</v>
      </c>
      <c r="K25" s="3">
        <f t="shared" si="7"/>
        <v>4.2</v>
      </c>
      <c r="L25" s="3">
        <f t="shared" si="7"/>
        <v>4.2</v>
      </c>
      <c r="M25" s="3">
        <f t="shared" si="7"/>
        <v>4.2</v>
      </c>
      <c r="P25" s="15" t="s">
        <v>253</v>
      </c>
      <c r="Q25" s="10" t="str">
        <f t="shared" si="1"/>
        <v>ALFA CONSORC-ON</v>
      </c>
      <c r="R25" s="20">
        <f t="shared" si="2"/>
        <v>41645</v>
      </c>
      <c r="S25" s="5">
        <f t="shared" si="3"/>
        <v>4.2</v>
      </c>
      <c r="T25" s="5">
        <f t="shared" si="4"/>
        <v>4.2</v>
      </c>
      <c r="U25" s="5">
        <f t="shared" si="5"/>
        <v>4.2</v>
      </c>
      <c r="V25" s="5">
        <f t="shared" si="6"/>
        <v>4.2</v>
      </c>
    </row>
    <row r="26" spans="1:22">
      <c r="A26" s="36" t="str">
        <f>IF(Tabela1[[#This Row],[Código]]="IBOV","^BVSP",IF(Tabela1[[#This Row],[Código]]="","",CONCATENATE(LEFT(Tabela1[[#This Row],[Código]],6),".SA")))</f>
        <v>BRGE5.SA</v>
      </c>
      <c r="C26" s="3" t="s">
        <v>261</v>
      </c>
      <c r="D26" s="3" t="s">
        <v>262</v>
      </c>
      <c r="E26" s="3" t="s">
        <v>262</v>
      </c>
      <c r="F26" s="3" t="s">
        <v>262</v>
      </c>
      <c r="G26" s="3" t="s">
        <v>262</v>
      </c>
      <c r="H26" s="20">
        <v>41645</v>
      </c>
      <c r="J26" s="3">
        <f t="shared" si="7"/>
        <v>3.27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254</v>
      </c>
      <c r="Q26" s="10" t="str">
        <f t="shared" si="1"/>
        <v>ALFA CONSORC-PNA</v>
      </c>
      <c r="R26" s="20">
        <f t="shared" si="2"/>
        <v>41645</v>
      </c>
      <c r="S26" s="5">
        <f t="shared" si="3"/>
        <v>3.27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>
      <c r="A27" s="36" t="str">
        <f>IF(Tabela1[[#This Row],[Código]]="IBOV","^BVSP",IF(Tabela1[[#This Row],[Código]]="","",CONCATENATE(LEFT(Tabela1[[#This Row],[Código]],6),".SA")))</f>
        <v>BRGE6.SA</v>
      </c>
      <c r="C27" s="3" t="s">
        <v>120</v>
      </c>
      <c r="D27" s="3" t="s">
        <v>121</v>
      </c>
      <c r="E27" s="3" t="s">
        <v>121</v>
      </c>
      <c r="F27" s="3" t="s">
        <v>121</v>
      </c>
      <c r="G27" s="3" t="s">
        <v>121</v>
      </c>
      <c r="H27" s="20">
        <v>41645</v>
      </c>
      <c r="J27" s="3">
        <f t="shared" si="7"/>
        <v>5.96</v>
      </c>
      <c r="K27" s="3">
        <f t="shared" si="7"/>
        <v>5.96</v>
      </c>
      <c r="L27" s="3">
        <f t="shared" si="7"/>
        <v>5.96</v>
      </c>
      <c r="M27" s="3">
        <f t="shared" si="7"/>
        <v>5.96</v>
      </c>
      <c r="P27" s="15" t="s">
        <v>81</v>
      </c>
      <c r="Q27" s="10" t="str">
        <f t="shared" si="1"/>
        <v>ALFA CONSORC-PNB</v>
      </c>
      <c r="R27" s="20">
        <f t="shared" si="2"/>
        <v>41645</v>
      </c>
      <c r="S27" s="5">
        <f t="shared" si="3"/>
        <v>5.96</v>
      </c>
      <c r="T27" s="5">
        <f t="shared" si="4"/>
        <v>5.96</v>
      </c>
      <c r="U27" s="5">
        <f t="shared" si="5"/>
        <v>5.96</v>
      </c>
      <c r="V27" s="5">
        <f t="shared" si="6"/>
        <v>5.96</v>
      </c>
    </row>
    <row r="28" spans="1:22">
      <c r="A28" s="36" t="str">
        <f>IF(Tabela1[[#This Row],[Código]]="IBOV","^BVSP",IF(Tabela1[[#This Row],[Código]]="","",CONCATENATE(LEFT(Tabela1[[#This Row],[Código]],6),".SA")))</f>
        <v>BRGE7.SA</v>
      </c>
      <c r="C28" s="3" t="s">
        <v>263</v>
      </c>
      <c r="D28" s="3" t="s">
        <v>264</v>
      </c>
      <c r="E28" s="3" t="s">
        <v>264</v>
      </c>
      <c r="F28" s="3" t="s">
        <v>264</v>
      </c>
      <c r="G28" s="3" t="s">
        <v>264</v>
      </c>
      <c r="H28" s="20">
        <v>41645</v>
      </c>
      <c r="J28" s="3">
        <f t="shared" si="7"/>
        <v>3.6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7" t="s">
        <v>255</v>
      </c>
      <c r="Q28" s="10" t="str">
        <f t="shared" si="1"/>
        <v>ALFA CONSORC-PNC</v>
      </c>
      <c r="R28" s="20">
        <f t="shared" si="2"/>
        <v>41645</v>
      </c>
      <c r="S28" s="5">
        <f t="shared" si="3"/>
        <v>3.6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>
      <c r="A29" s="36" t="str">
        <f>IF(Tabela1[[#This Row],[Código]]="IBOV","^BVSP",IF(Tabela1[[#This Row],[Código]]="","",CONCATENATE(LEFT(Tabela1[[#This Row],[Código]],6),".SA")))</f>
        <v>BRGE8.SA</v>
      </c>
      <c r="C29" s="3" t="s">
        <v>265</v>
      </c>
      <c r="D29" s="3" t="s">
        <v>393</v>
      </c>
      <c r="E29" s="3" t="s">
        <v>393</v>
      </c>
      <c r="F29" s="3" t="s">
        <v>393</v>
      </c>
      <c r="G29" s="3" t="s">
        <v>393</v>
      </c>
      <c r="H29" s="20">
        <v>41645</v>
      </c>
      <c r="J29" s="3">
        <f>IF($A29="",0,VALUE(CONCATENATE(LEFT(D29,LEN(D29)-3),",",RIGHT(D29,2))))</f>
        <v>3.8</v>
      </c>
      <c r="K29" s="3">
        <f t="shared" si="7"/>
        <v>3.8</v>
      </c>
      <c r="L29" s="3">
        <f t="shared" si="7"/>
        <v>3.8</v>
      </c>
      <c r="M29" s="3">
        <f t="shared" si="7"/>
        <v>3.8</v>
      </c>
      <c r="P29" s="15" t="s">
        <v>256</v>
      </c>
      <c r="Q29" s="10" t="str">
        <f t="shared" si="1"/>
        <v>ALFA CONSORC-PND</v>
      </c>
      <c r="R29" s="20">
        <f t="shared" si="2"/>
        <v>41645</v>
      </c>
      <c r="S29" s="5">
        <f t="shared" si="3"/>
        <v>3.8</v>
      </c>
      <c r="T29" s="5">
        <f t="shared" si="4"/>
        <v>3.8</v>
      </c>
      <c r="U29" s="5">
        <f t="shared" si="5"/>
        <v>3.8</v>
      </c>
      <c r="V29" s="5">
        <f t="shared" si="6"/>
        <v>3.8</v>
      </c>
    </row>
    <row r="30" spans="1:22">
      <c r="A30" s="36" t="str">
        <f>IF(Tabela1[[#This Row],[Código]]="IBOV","^BVSP",IF(Tabela1[[#This Row],[Código]]="","",CONCATENATE(LEFT(Tabela1[[#This Row],[Código]],6),".SA")))</f>
        <v>BRIV3.SA</v>
      </c>
      <c r="C30" s="3" t="s">
        <v>223</v>
      </c>
      <c r="D30" s="3" t="s">
        <v>398</v>
      </c>
      <c r="E30" s="3" t="s">
        <v>401</v>
      </c>
      <c r="F30" s="3" t="s">
        <v>398</v>
      </c>
      <c r="G30" s="3" t="s">
        <v>401</v>
      </c>
      <c r="H30" s="20">
        <v>41645</v>
      </c>
      <c r="J30" s="3">
        <f t="shared" si="7"/>
        <v>6.7</v>
      </c>
      <c r="K30" s="3">
        <f t="shared" si="7"/>
        <v>6.61</v>
      </c>
      <c r="L30" s="3">
        <f t="shared" si="7"/>
        <v>6.7</v>
      </c>
      <c r="M30" s="3">
        <f t="shared" si="7"/>
        <v>6.61</v>
      </c>
      <c r="P30" s="14" t="s">
        <v>221</v>
      </c>
      <c r="Q30" s="10" t="str">
        <f t="shared" si="1"/>
        <v>ALFA INVEST -ON</v>
      </c>
      <c r="R30" s="20">
        <f t="shared" si="2"/>
        <v>41645</v>
      </c>
      <c r="S30" s="5">
        <f t="shared" si="3"/>
        <v>6.7</v>
      </c>
      <c r="T30" s="5">
        <f t="shared" si="4"/>
        <v>6.61</v>
      </c>
      <c r="U30" s="5">
        <f t="shared" si="5"/>
        <v>6.7</v>
      </c>
      <c r="V30" s="5">
        <f t="shared" si="6"/>
        <v>6.61</v>
      </c>
    </row>
    <row r="31" spans="1:22">
      <c r="A31" s="36" t="str">
        <f>IF(Tabela1[[#This Row],[Código]]="IBOV","^BVSP",IF(Tabela1[[#This Row],[Código]]="","",CONCATENATE(LEFT(Tabela1[[#This Row],[Código]],6),".SA")))</f>
        <v>BRIV4.SA</v>
      </c>
      <c r="C31" s="3" t="s">
        <v>224</v>
      </c>
      <c r="D31" s="3" t="s">
        <v>284</v>
      </c>
      <c r="E31" s="3" t="s">
        <v>288</v>
      </c>
      <c r="F31" s="3" t="s">
        <v>288</v>
      </c>
      <c r="G31" s="3" t="s">
        <v>284</v>
      </c>
      <c r="H31" s="20">
        <v>41645</v>
      </c>
      <c r="J31" s="3">
        <f t="shared" si="7"/>
        <v>5.5</v>
      </c>
      <c r="K31" s="3">
        <f t="shared" si="7"/>
        <v>5.69</v>
      </c>
      <c r="L31" s="3">
        <f t="shared" si="7"/>
        <v>5.69</v>
      </c>
      <c r="M31" s="3">
        <f t="shared" si="7"/>
        <v>5.5</v>
      </c>
      <c r="P31" s="10" t="s">
        <v>222</v>
      </c>
      <c r="Q31" s="10" t="str">
        <f t="shared" si="1"/>
        <v>ALFA INVEST -PN</v>
      </c>
      <c r="R31" s="20">
        <f t="shared" si="2"/>
        <v>41645</v>
      </c>
      <c r="S31" s="5">
        <f t="shared" si="3"/>
        <v>5.5</v>
      </c>
      <c r="T31" s="5">
        <f t="shared" si="4"/>
        <v>5.69</v>
      </c>
      <c r="U31" s="5">
        <f t="shared" si="5"/>
        <v>5.69</v>
      </c>
      <c r="V31" s="5">
        <f t="shared" si="6"/>
        <v>5.5</v>
      </c>
    </row>
    <row r="32" spans="1:22">
      <c r="A32" s="36" t="str">
        <f>IF(Tabela1[[#This Row],[Código]]="IBOV","^BVSP",IF(Tabela1[[#This Row],[Código]]="","",CONCATENATE(LEFT(Tabela1[[#This Row],[Código]],6),".SA")))</f>
        <v>BRSR3.SA</v>
      </c>
      <c r="C32" s="3" t="s">
        <v>234</v>
      </c>
      <c r="D32" s="3" t="s">
        <v>394</v>
      </c>
      <c r="E32" s="3" t="s">
        <v>394</v>
      </c>
      <c r="F32" s="3" t="s">
        <v>394</v>
      </c>
      <c r="G32" s="3" t="s">
        <v>394</v>
      </c>
      <c r="H32" s="20">
        <v>41645</v>
      </c>
      <c r="J32" s="3">
        <f t="shared" si="7"/>
        <v>12.58</v>
      </c>
      <c r="K32" s="3">
        <f t="shared" si="7"/>
        <v>12.58</v>
      </c>
      <c r="L32" s="3">
        <f t="shared" si="7"/>
        <v>12.58</v>
      </c>
      <c r="M32" s="3">
        <f t="shared" si="7"/>
        <v>12.58</v>
      </c>
      <c r="P32" s="15" t="s">
        <v>232</v>
      </c>
      <c r="Q32" s="10" t="str">
        <f t="shared" si="1"/>
        <v xml:space="preserve">BANRISUL    -ON  </v>
      </c>
      <c r="R32" s="20">
        <f t="shared" si="2"/>
        <v>41645</v>
      </c>
      <c r="S32" s="5">
        <f t="shared" si="3"/>
        <v>12.58</v>
      </c>
      <c r="T32" s="5">
        <f t="shared" si="4"/>
        <v>12.58</v>
      </c>
      <c r="U32" s="5">
        <f t="shared" si="5"/>
        <v>12.58</v>
      </c>
      <c r="V32" s="5">
        <f t="shared" si="6"/>
        <v>12.58</v>
      </c>
    </row>
    <row r="33" spans="1:22">
      <c r="A33" s="36" t="str">
        <f>IF(Tabela1[[#This Row],[Código]]="IBOV","^BVSP",IF(Tabela1[[#This Row],[Código]]="","",CONCATENATE(LEFT(Tabela1[[#This Row],[Código]],6),".SA")))</f>
        <v>BRSR5.SA</v>
      </c>
      <c r="C33" s="3" t="s">
        <v>235</v>
      </c>
      <c r="D33" s="3" t="s">
        <v>236</v>
      </c>
      <c r="E33" s="3" t="s">
        <v>236</v>
      </c>
      <c r="F33" s="3" t="s">
        <v>236</v>
      </c>
      <c r="G33" s="3" t="s">
        <v>236</v>
      </c>
      <c r="H33" s="20">
        <v>41645</v>
      </c>
      <c r="J33" s="3">
        <f t="shared" si="7"/>
        <v>15.72</v>
      </c>
      <c r="K33" s="3">
        <f t="shared" si="7"/>
        <v>15.72</v>
      </c>
      <c r="L33" s="3">
        <f t="shared" si="7"/>
        <v>15.72</v>
      </c>
      <c r="M33" s="3">
        <f t="shared" si="7"/>
        <v>15.72</v>
      </c>
      <c r="P33" s="15" t="s">
        <v>233</v>
      </c>
      <c r="Q33" s="10" t="str">
        <f t="shared" si="1"/>
        <v xml:space="preserve">BANRISUL    -PNA </v>
      </c>
      <c r="R33" s="57">
        <f t="shared" si="2"/>
        <v>41645</v>
      </c>
      <c r="S33" s="5">
        <f t="shared" si="3"/>
        <v>15.72</v>
      </c>
      <c r="T33" s="5">
        <f t="shared" si="4"/>
        <v>15.72</v>
      </c>
      <c r="U33" s="5">
        <f t="shared" si="5"/>
        <v>15.72</v>
      </c>
      <c r="V33" s="5">
        <f t="shared" si="6"/>
        <v>15.72</v>
      </c>
    </row>
    <row r="34" spans="1:22">
      <c r="A34" s="36" t="str">
        <f>IF(Tabela1[[#This Row],[Código]]="IBOV","^BVSP",IF(Tabela1[[#This Row],[Código]]="","",CONCATENATE(LEFT(Tabela1[[#This Row],[Código]],6),".SA")))</f>
        <v>BRSR6.SA</v>
      </c>
      <c r="C34" s="3" t="s">
        <v>122</v>
      </c>
      <c r="D34" s="3" t="s">
        <v>556</v>
      </c>
      <c r="E34" s="3" t="s">
        <v>755</v>
      </c>
      <c r="F34" s="3" t="s">
        <v>556</v>
      </c>
      <c r="G34" s="3" t="s">
        <v>756</v>
      </c>
      <c r="H34" s="20">
        <v>41645</v>
      </c>
      <c r="J34" s="3">
        <f t="shared" si="7"/>
        <v>12.78</v>
      </c>
      <c r="K34" s="3">
        <f t="shared" si="7"/>
        <v>12.41</v>
      </c>
      <c r="L34" s="3">
        <f t="shared" si="7"/>
        <v>12.78</v>
      </c>
      <c r="M34" s="3">
        <f t="shared" si="7"/>
        <v>12.23</v>
      </c>
      <c r="P34" s="10" t="s">
        <v>23</v>
      </c>
      <c r="Q34" s="10" t="str">
        <f t="shared" si="1"/>
        <v xml:space="preserve">BANRISUL    -PNB </v>
      </c>
      <c r="R34" s="20">
        <f t="shared" si="2"/>
        <v>41645</v>
      </c>
      <c r="S34" s="5">
        <f t="shared" si="3"/>
        <v>12.78</v>
      </c>
      <c r="T34" s="5">
        <f t="shared" si="4"/>
        <v>12.41</v>
      </c>
      <c r="U34" s="5">
        <f t="shared" si="5"/>
        <v>12.78</v>
      </c>
      <c r="V34" s="5">
        <f t="shared" si="6"/>
        <v>12.23</v>
      </c>
    </row>
    <row r="35" spans="1:22">
      <c r="A35" s="36" t="str">
        <f>IF(Tabela1[[#This Row],[Código]]="IBOV","^BVSP",IF(Tabela1[[#This Row],[Código]]="","",CONCATENATE(LEFT(Tabela1[[#This Row],[Código]],6),".SA")))</f>
        <v>BSLI3.SA</v>
      </c>
      <c r="C35" s="3" t="s">
        <v>249</v>
      </c>
      <c r="D35" s="3" t="s">
        <v>250</v>
      </c>
      <c r="E35" s="3" t="s">
        <v>250</v>
      </c>
      <c r="F35" s="3" t="s">
        <v>250</v>
      </c>
      <c r="G35" s="3" t="s">
        <v>250</v>
      </c>
      <c r="H35" s="20">
        <v>41645</v>
      </c>
      <c r="J35" s="3">
        <f t="shared" si="7"/>
        <v>29.02</v>
      </c>
      <c r="K35" s="3">
        <f t="shared" si="7"/>
        <v>29.02</v>
      </c>
      <c r="L35" s="3">
        <f t="shared" si="7"/>
        <v>29.02</v>
      </c>
      <c r="M35" s="3">
        <f t="shared" si="7"/>
        <v>29.02</v>
      </c>
      <c r="P35" s="15" t="s">
        <v>247</v>
      </c>
      <c r="Q35" s="10" t="str">
        <f t="shared" si="1"/>
        <v>BRB BANCO   -ON</v>
      </c>
      <c r="R35" s="20">
        <f t="shared" si="2"/>
        <v>41645</v>
      </c>
      <c r="S35" s="5">
        <f t="shared" si="3"/>
        <v>29.02</v>
      </c>
      <c r="T35" s="5">
        <f t="shared" si="4"/>
        <v>29.02</v>
      </c>
      <c r="U35" s="5">
        <f t="shared" si="5"/>
        <v>29.02</v>
      </c>
      <c r="V35" s="5">
        <f t="shared" si="6"/>
        <v>29.02</v>
      </c>
    </row>
    <row r="36" spans="1:22">
      <c r="A36" s="36" t="str">
        <f>IF(Tabela1[[#This Row],[Código]]="IBOV","^BVSP",IF(Tabela1[[#This Row],[Código]]="","",CONCATENATE(LEFT(Tabela1[[#This Row],[Código]],6),".SA")))</f>
        <v>BSLI4.SA</v>
      </c>
      <c r="C36" s="3" t="s">
        <v>251</v>
      </c>
      <c r="D36" s="3" t="s">
        <v>252</v>
      </c>
      <c r="E36" s="3" t="s">
        <v>252</v>
      </c>
      <c r="F36" s="3" t="s">
        <v>252</v>
      </c>
      <c r="G36" s="3" t="s">
        <v>252</v>
      </c>
      <c r="H36" s="20">
        <v>41645</v>
      </c>
      <c r="J36" s="3">
        <f t="shared" si="7"/>
        <v>29.99</v>
      </c>
      <c r="K36" s="3">
        <f t="shared" si="7"/>
        <v>29.99</v>
      </c>
      <c r="L36" s="3">
        <f t="shared" si="7"/>
        <v>29.99</v>
      </c>
      <c r="M36" s="3">
        <f t="shared" si="7"/>
        <v>29.99</v>
      </c>
      <c r="P36" s="14" t="s">
        <v>248</v>
      </c>
      <c r="Q36" s="10" t="str">
        <f t="shared" si="1"/>
        <v>BRB BANCO   -PN</v>
      </c>
      <c r="R36" s="57">
        <f t="shared" si="2"/>
        <v>41645</v>
      </c>
      <c r="S36" s="5">
        <f t="shared" si="3"/>
        <v>29.99</v>
      </c>
      <c r="T36" s="5">
        <f t="shared" si="4"/>
        <v>29.99</v>
      </c>
      <c r="U36" s="5">
        <f t="shared" si="5"/>
        <v>29.99</v>
      </c>
      <c r="V36" s="5">
        <f t="shared" si="6"/>
        <v>29.99</v>
      </c>
    </row>
    <row r="37" spans="1:22">
      <c r="A37" s="36" t="str">
        <f>IF(Tabela1[[#This Row],[Código]]="IBOV","^BVSP",IF(Tabela1[[#This Row],[Código]]="","",CONCATENATE(LEFT(Tabela1[[#This Row],[Código]],6),".SA")))</f>
        <v>CASN3.SA</v>
      </c>
      <c r="C37" s="3" t="s">
        <v>202</v>
      </c>
      <c r="D37" s="3" t="s">
        <v>178</v>
      </c>
      <c r="E37" s="3" t="s">
        <v>178</v>
      </c>
      <c r="F37" s="3" t="s">
        <v>178</v>
      </c>
      <c r="G37" s="3" t="s">
        <v>178</v>
      </c>
      <c r="H37" s="20">
        <v>41645</v>
      </c>
      <c r="J37" s="3">
        <f t="shared" si="7"/>
        <v>4.12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201</v>
      </c>
      <c r="Q37" s="10" t="str">
        <f t="shared" si="1"/>
        <v>CASAN       -ON</v>
      </c>
      <c r="R37" s="57">
        <f t="shared" si="2"/>
        <v>41645</v>
      </c>
      <c r="S37" s="5">
        <f t="shared" si="3"/>
        <v>4.12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>
      <c r="A38" s="36" t="str">
        <f>IF(Tabela1[[#This Row],[Código]]="IBOV","^BVSP",IF(Tabela1[[#This Row],[Código]]="","",CONCATENATE(LEFT(Tabela1[[#This Row],[Código]],6),".SA")))</f>
        <v>CEBR3.SA</v>
      </c>
      <c r="C38" s="3" t="s">
        <v>123</v>
      </c>
      <c r="D38" s="3" t="s">
        <v>444</v>
      </c>
      <c r="E38" s="3" t="s">
        <v>444</v>
      </c>
      <c r="F38" s="3" t="s">
        <v>444</v>
      </c>
      <c r="G38" s="3" t="s">
        <v>444</v>
      </c>
      <c r="H38" s="20">
        <v>41645</v>
      </c>
      <c r="J38" s="3">
        <f t="shared" si="7"/>
        <v>16.510000000000002</v>
      </c>
      <c r="K38" s="3">
        <f t="shared" si="7"/>
        <v>16.510000000000002</v>
      </c>
      <c r="L38" s="3">
        <f t="shared" si="7"/>
        <v>16.510000000000002</v>
      </c>
      <c r="M38" s="3">
        <f t="shared" si="7"/>
        <v>16.510000000000002</v>
      </c>
      <c r="P38" s="14" t="s">
        <v>98</v>
      </c>
      <c r="Q38" s="10" t="str">
        <f t="shared" si="1"/>
        <v>CEB         -ON</v>
      </c>
      <c r="R38" s="57">
        <f t="shared" si="2"/>
        <v>41645</v>
      </c>
      <c r="S38" s="5">
        <f t="shared" si="3"/>
        <v>16.510000000000002</v>
      </c>
      <c r="T38" s="5">
        <f t="shared" si="4"/>
        <v>16.510000000000002</v>
      </c>
      <c r="U38" s="5">
        <f t="shared" si="5"/>
        <v>16.510000000000002</v>
      </c>
      <c r="V38" s="5">
        <f t="shared" si="6"/>
        <v>16.510000000000002</v>
      </c>
    </row>
    <row r="39" spans="1:22">
      <c r="A39" s="36" t="str">
        <f>IF(Tabela1[[#This Row],[Código]]="IBOV","^BVSP",IF(Tabela1[[#This Row],[Código]]="","",CONCATENATE(LEFT(Tabela1[[#This Row],[Código]],6),".SA")))</f>
        <v>CEBR5.SA</v>
      </c>
      <c r="C39" s="3" t="s">
        <v>124</v>
      </c>
      <c r="D39" s="3" t="s">
        <v>289</v>
      </c>
      <c r="E39" s="3" t="s">
        <v>289</v>
      </c>
      <c r="F39" s="3" t="s">
        <v>289</v>
      </c>
      <c r="G39" s="3" t="s">
        <v>289</v>
      </c>
      <c r="H39" s="20">
        <v>41645</v>
      </c>
      <c r="J39" s="3">
        <f t="shared" si="7"/>
        <v>25.02</v>
      </c>
      <c r="K39" s="3">
        <f t="shared" si="7"/>
        <v>25.02</v>
      </c>
      <c r="L39" s="3">
        <f t="shared" si="7"/>
        <v>25.02</v>
      </c>
      <c r="M39" s="3">
        <f t="shared" si="7"/>
        <v>25.02</v>
      </c>
      <c r="P39" s="14" t="s">
        <v>99</v>
      </c>
      <c r="Q39" s="10" t="str">
        <f t="shared" ref="Q39:Q70" si="8">IF(A39="","",C39)</f>
        <v>CEB         -PNA</v>
      </c>
      <c r="R39" s="57">
        <f t="shared" ref="R39:R70" si="9">IF(A39="","",H39)</f>
        <v>41645</v>
      </c>
      <c r="S39" s="5">
        <f t="shared" ref="S39:S70" si="10">J39</f>
        <v>25.02</v>
      </c>
      <c r="T39" s="5">
        <f t="shared" ref="T39:T70" si="11">K39</f>
        <v>25.02</v>
      </c>
      <c r="U39" s="5">
        <f t="shared" ref="U39:U70" si="12">L39</f>
        <v>25.02</v>
      </c>
      <c r="V39" s="5">
        <f t="shared" ref="V39:V70" si="13">M39</f>
        <v>25.02</v>
      </c>
    </row>
    <row r="40" spans="1:22">
      <c r="A40" s="36" t="str">
        <f>IF(Tabela1[[#This Row],[Código]]="IBOV","^BVSP",IF(Tabela1[[#This Row],[Código]]="","",CONCATENATE(LEFT(Tabela1[[#This Row],[Código]],6),".SA")))</f>
        <v>CEBR6.SA</v>
      </c>
      <c r="C40" s="3" t="s">
        <v>125</v>
      </c>
      <c r="D40" s="3" t="s">
        <v>126</v>
      </c>
      <c r="E40" s="3" t="s">
        <v>126</v>
      </c>
      <c r="F40" s="3" t="s">
        <v>126</v>
      </c>
      <c r="G40" s="3" t="s">
        <v>126</v>
      </c>
      <c r="H40" s="20">
        <v>41645</v>
      </c>
      <c r="J40" s="3">
        <f t="shared" si="7"/>
        <v>17.079999999999998</v>
      </c>
      <c r="K40" s="3">
        <f t="shared" si="7"/>
        <v>17.079999999999998</v>
      </c>
      <c r="L40" s="3">
        <f t="shared" si="7"/>
        <v>17.079999999999998</v>
      </c>
      <c r="M40" s="3">
        <f t="shared" si="7"/>
        <v>17.079999999999998</v>
      </c>
      <c r="P40" s="14" t="s">
        <v>72</v>
      </c>
      <c r="Q40" s="10" t="str">
        <f t="shared" si="8"/>
        <v>CEB         -PNB</v>
      </c>
      <c r="R40" s="20">
        <f t="shared" si="9"/>
        <v>41645</v>
      </c>
      <c r="S40" s="5">
        <f t="shared" si="10"/>
        <v>17.079999999999998</v>
      </c>
      <c r="T40" s="5">
        <f t="shared" si="11"/>
        <v>17.079999999999998</v>
      </c>
      <c r="U40" s="5">
        <f t="shared" si="12"/>
        <v>17.079999999999998</v>
      </c>
      <c r="V40" s="5">
        <f t="shared" si="13"/>
        <v>17.079999999999998</v>
      </c>
    </row>
    <row r="41" spans="1:22">
      <c r="A41" s="36" t="str">
        <f>IF(Tabela1[[#This Row],[Código]]="IBOV","^BVSP",IF(Tabela1[[#This Row],[Código]]="","",CONCATENATE(LEFT(Tabela1[[#This Row],[Código]],6),".SA")))</f>
        <v>CEEB3.SA</v>
      </c>
      <c r="C41" s="3" t="s">
        <v>557</v>
      </c>
      <c r="D41" s="3" t="s">
        <v>445</v>
      </c>
      <c r="E41" s="3" t="s">
        <v>445</v>
      </c>
      <c r="F41" s="3" t="s">
        <v>445</v>
      </c>
      <c r="G41" s="3" t="s">
        <v>445</v>
      </c>
      <c r="H41" s="20">
        <v>41645</v>
      </c>
      <c r="J41" s="3">
        <f t="shared" si="7"/>
        <v>32</v>
      </c>
      <c r="K41" s="3">
        <f t="shared" si="7"/>
        <v>32</v>
      </c>
      <c r="L41" s="3">
        <f t="shared" si="7"/>
        <v>32</v>
      </c>
      <c r="M41" s="3">
        <f t="shared" si="7"/>
        <v>32</v>
      </c>
      <c r="P41" s="14" t="s">
        <v>96</v>
      </c>
      <c r="Q41" s="10" t="str">
        <f t="shared" si="8"/>
        <v xml:space="preserve">COELBA      -ON  </v>
      </c>
      <c r="R41" s="50">
        <f t="shared" si="9"/>
        <v>41645</v>
      </c>
      <c r="S41" s="6">
        <f t="shared" si="10"/>
        <v>32</v>
      </c>
      <c r="T41" s="6">
        <f t="shared" si="11"/>
        <v>32</v>
      </c>
      <c r="U41" s="6">
        <f t="shared" si="12"/>
        <v>32</v>
      </c>
      <c r="V41" s="6">
        <f t="shared" si="13"/>
        <v>32</v>
      </c>
    </row>
    <row r="42" spans="1:22">
      <c r="A42" s="36" t="str">
        <f>IF(Tabela1[[#This Row],[Código]]="IBOV","^BVSP",IF(Tabela1[[#This Row],[Código]]="","",CONCATENATE(LEFT(Tabela1[[#This Row],[Código]],6),".SA")))</f>
        <v>CEEB5.SA</v>
      </c>
      <c r="C42" s="3" t="s">
        <v>558</v>
      </c>
      <c r="D42" s="3" t="s">
        <v>127</v>
      </c>
      <c r="E42" s="3" t="s">
        <v>127</v>
      </c>
      <c r="F42" s="3" t="s">
        <v>127</v>
      </c>
      <c r="G42" s="3" t="s">
        <v>127</v>
      </c>
      <c r="H42" s="20">
        <v>41645</v>
      </c>
      <c r="J42" s="3">
        <f t="shared" si="7"/>
        <v>32.01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97</v>
      </c>
      <c r="Q42" s="10" t="str">
        <f t="shared" si="8"/>
        <v xml:space="preserve">COELBA      -PNA </v>
      </c>
      <c r="R42" s="57">
        <f t="shared" si="9"/>
        <v>41645</v>
      </c>
      <c r="S42" s="5">
        <f t="shared" si="10"/>
        <v>32.01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>
      <c r="A43" s="36" t="str">
        <f>IF(Tabela1[[#This Row],[Código]]="IBOV","^BVSP",IF(Tabela1[[#This Row],[Código]]="","",CONCATENATE(LEFT(Tabela1[[#This Row],[Código]],6),".SA")))</f>
        <v>CEPE5.SA</v>
      </c>
      <c r="C43" s="3" t="s">
        <v>128</v>
      </c>
      <c r="D43" s="3" t="s">
        <v>129</v>
      </c>
      <c r="E43" s="3" t="s">
        <v>130</v>
      </c>
      <c r="F43" s="3" t="s">
        <v>130</v>
      </c>
      <c r="G43" s="3" t="s">
        <v>129</v>
      </c>
      <c r="H43" s="20">
        <v>41645</v>
      </c>
      <c r="J43" s="3">
        <f t="shared" si="7"/>
        <v>17.559999999999999</v>
      </c>
      <c r="K43" s="3">
        <f t="shared" si="7"/>
        <v>18</v>
      </c>
      <c r="L43" s="3">
        <f t="shared" si="7"/>
        <v>18</v>
      </c>
      <c r="M43" s="3">
        <f t="shared" si="7"/>
        <v>17.559999999999999</v>
      </c>
      <c r="P43" s="14" t="s">
        <v>73</v>
      </c>
      <c r="Q43" s="10" t="str">
        <f t="shared" si="8"/>
        <v>CELPE       -PNA</v>
      </c>
      <c r="R43" s="57">
        <f t="shared" si="9"/>
        <v>41645</v>
      </c>
      <c r="S43" s="5">
        <f t="shared" si="10"/>
        <v>17.559999999999999</v>
      </c>
      <c r="T43" s="5">
        <f t="shared" si="11"/>
        <v>18</v>
      </c>
      <c r="U43" s="5">
        <f t="shared" si="12"/>
        <v>18</v>
      </c>
      <c r="V43" s="5">
        <f t="shared" si="13"/>
        <v>17.559999999999999</v>
      </c>
    </row>
    <row r="44" spans="1:22">
      <c r="A44" s="36" t="str">
        <f>IF(Tabela1[[#This Row],[Código]]="IBOV","^BVSP",IF(Tabela1[[#This Row],[Código]]="","",CONCATENATE(LEFT(Tabela1[[#This Row],[Código]],6),".SA")))</f>
        <v>CEPE6.SA</v>
      </c>
      <c r="C44" s="3" t="s">
        <v>131</v>
      </c>
      <c r="D44" s="3" t="s">
        <v>132</v>
      </c>
      <c r="E44" s="3" t="s">
        <v>132</v>
      </c>
      <c r="F44" s="3" t="s">
        <v>132</v>
      </c>
      <c r="G44" s="3" t="s">
        <v>132</v>
      </c>
      <c r="H44" s="20">
        <v>41645</v>
      </c>
      <c r="J44" s="3">
        <f t="shared" si="7"/>
        <v>21.51</v>
      </c>
      <c r="K44" s="3">
        <f t="shared" si="7"/>
        <v>21.51</v>
      </c>
      <c r="L44" s="3">
        <f t="shared" si="7"/>
        <v>21.51</v>
      </c>
      <c r="M44" s="3">
        <f t="shared" si="7"/>
        <v>21.51</v>
      </c>
      <c r="P44" s="14" t="s">
        <v>100</v>
      </c>
      <c r="Q44" s="10" t="str">
        <f t="shared" si="8"/>
        <v>CELPE       -PNB</v>
      </c>
      <c r="R44" s="20">
        <f t="shared" si="9"/>
        <v>41645</v>
      </c>
      <c r="S44" s="5">
        <f t="shared" si="10"/>
        <v>21.51</v>
      </c>
      <c r="T44" s="5">
        <f t="shared" si="11"/>
        <v>21.51</v>
      </c>
      <c r="U44" s="5">
        <f t="shared" si="12"/>
        <v>21.51</v>
      </c>
      <c r="V44" s="5">
        <f t="shared" si="13"/>
        <v>21.51</v>
      </c>
    </row>
    <row r="45" spans="1:22">
      <c r="A45" s="36" t="str">
        <f>IF(Tabela1[[#This Row],[Código]]="IBOV","^BVSP",IF(Tabela1[[#This Row],[Código]]="","",CONCATENATE(LEFT(Tabela1[[#This Row],[Código]],6),".SA")))</f>
        <v>CESP3.SA</v>
      </c>
      <c r="C45" s="3" t="s">
        <v>133</v>
      </c>
      <c r="D45" s="3" t="s">
        <v>501</v>
      </c>
      <c r="E45" s="3" t="s">
        <v>501</v>
      </c>
      <c r="F45" s="3" t="s">
        <v>501</v>
      </c>
      <c r="G45" s="3" t="s">
        <v>501</v>
      </c>
      <c r="H45" s="20">
        <v>41645</v>
      </c>
      <c r="J45" s="3">
        <f t="shared" si="7"/>
        <v>19.989999999999998</v>
      </c>
      <c r="K45" s="3">
        <f t="shared" si="7"/>
        <v>19.989999999999998</v>
      </c>
      <c r="L45" s="3">
        <f t="shared" si="7"/>
        <v>19.989999999999998</v>
      </c>
      <c r="M45" s="3">
        <f t="shared" si="7"/>
        <v>19.989999999999998</v>
      </c>
      <c r="P45" s="14" t="s">
        <v>75</v>
      </c>
      <c r="Q45" s="10" t="str">
        <f t="shared" si="8"/>
        <v xml:space="preserve">CESP        -ON  </v>
      </c>
      <c r="R45" s="50">
        <f t="shared" si="9"/>
        <v>41645</v>
      </c>
      <c r="S45" s="6">
        <f t="shared" si="10"/>
        <v>19.989999999999998</v>
      </c>
      <c r="T45" s="6">
        <f t="shared" si="11"/>
        <v>19.989999999999998</v>
      </c>
      <c r="U45" s="6">
        <f t="shared" si="12"/>
        <v>19.989999999999998</v>
      </c>
      <c r="V45" s="6">
        <f t="shared" si="13"/>
        <v>19.989999999999998</v>
      </c>
    </row>
    <row r="46" spans="1:22">
      <c r="A46" s="36" t="str">
        <f>IF(Tabela1[[#This Row],[Código]]="IBOV","^BVSP",IF(Tabela1[[#This Row],[Código]]="","",CONCATENATE(LEFT(Tabela1[[#This Row],[Código]],6),".SA")))</f>
        <v>CESP5.SA</v>
      </c>
      <c r="C46" s="3" t="s">
        <v>134</v>
      </c>
      <c r="D46" s="3" t="s">
        <v>446</v>
      </c>
      <c r="E46" s="3" t="s">
        <v>447</v>
      </c>
      <c r="F46" s="3" t="s">
        <v>448</v>
      </c>
      <c r="G46" s="3" t="s">
        <v>446</v>
      </c>
      <c r="H46" s="20">
        <v>41645</v>
      </c>
      <c r="J46" s="3">
        <f t="shared" si="7"/>
        <v>22.9</v>
      </c>
      <c r="K46" s="3">
        <f t="shared" si="7"/>
        <v>23.25</v>
      </c>
      <c r="L46" s="3">
        <f t="shared" si="7"/>
        <v>23.5</v>
      </c>
      <c r="M46" s="3">
        <f t="shared" si="7"/>
        <v>22.9</v>
      </c>
      <c r="P46" s="14" t="s">
        <v>94</v>
      </c>
      <c r="Q46" s="10" t="str">
        <f t="shared" si="8"/>
        <v xml:space="preserve">CESP        -PNA </v>
      </c>
      <c r="R46" s="50">
        <f t="shared" si="9"/>
        <v>41645</v>
      </c>
      <c r="S46" s="6">
        <f t="shared" si="10"/>
        <v>22.9</v>
      </c>
      <c r="T46" s="6">
        <f t="shared" si="11"/>
        <v>23.25</v>
      </c>
      <c r="U46" s="6">
        <f t="shared" si="12"/>
        <v>23.5</v>
      </c>
      <c r="V46" s="6">
        <f t="shared" si="13"/>
        <v>22.9</v>
      </c>
    </row>
    <row r="47" spans="1:22">
      <c r="A47" s="36" t="str">
        <f>IF(Tabela1[[#This Row],[Código]]="IBOV","^BVSP",IF(Tabela1[[#This Row],[Código]]="","",CONCATENATE(LEFT(Tabela1[[#This Row],[Código]],6),".SA")))</f>
        <v>CESP6.SA</v>
      </c>
      <c r="C47" s="3" t="s">
        <v>135</v>
      </c>
      <c r="D47" s="3" t="s">
        <v>414</v>
      </c>
      <c r="E47" s="3" t="s">
        <v>757</v>
      </c>
      <c r="F47" s="3" t="s">
        <v>414</v>
      </c>
      <c r="G47" s="3" t="s">
        <v>758</v>
      </c>
      <c r="H47" s="20">
        <v>41645</v>
      </c>
      <c r="J47" s="3">
        <f t="shared" si="7"/>
        <v>22.88</v>
      </c>
      <c r="K47" s="3">
        <f t="shared" si="7"/>
        <v>22.31</v>
      </c>
      <c r="L47" s="3">
        <f t="shared" si="7"/>
        <v>22.88</v>
      </c>
      <c r="M47" s="3">
        <f t="shared" si="7"/>
        <v>22.24</v>
      </c>
      <c r="P47" s="14" t="s">
        <v>95</v>
      </c>
      <c r="Q47" s="10" t="str">
        <f t="shared" si="8"/>
        <v xml:space="preserve">CESP        -PNB </v>
      </c>
      <c r="R47" s="20">
        <f t="shared" si="9"/>
        <v>41645</v>
      </c>
      <c r="S47" s="5">
        <f t="shared" si="10"/>
        <v>22.88</v>
      </c>
      <c r="T47" s="5">
        <f t="shared" si="11"/>
        <v>22.31</v>
      </c>
      <c r="U47" s="5">
        <f t="shared" si="12"/>
        <v>22.88</v>
      </c>
      <c r="V47" s="5">
        <f t="shared" si="13"/>
        <v>22.24</v>
      </c>
    </row>
    <row r="48" spans="1:22">
      <c r="A48" s="36" t="str">
        <f>IF(Tabela1[[#This Row],[Código]]="IBOV","^BVSP",IF(Tabela1[[#This Row],[Código]]="","",CONCATENATE(LEFT(Tabela1[[#This Row],[Código]],6),".SA")))</f>
        <v>CLSC4.SA</v>
      </c>
      <c r="C48" s="3" t="s">
        <v>136</v>
      </c>
      <c r="D48" s="3" t="s">
        <v>559</v>
      </c>
      <c r="E48" s="3" t="s">
        <v>759</v>
      </c>
      <c r="F48" s="3" t="s">
        <v>126</v>
      </c>
      <c r="G48" s="3" t="s">
        <v>559</v>
      </c>
      <c r="H48" s="20">
        <v>41645</v>
      </c>
      <c r="J48" s="3">
        <f t="shared" si="7"/>
        <v>16.71</v>
      </c>
      <c r="K48" s="3">
        <f t="shared" si="7"/>
        <v>16.88</v>
      </c>
      <c r="L48" s="3">
        <f t="shared" si="7"/>
        <v>17.079999999999998</v>
      </c>
      <c r="M48" s="3">
        <f t="shared" si="7"/>
        <v>16.71</v>
      </c>
      <c r="P48" s="14" t="s">
        <v>74</v>
      </c>
      <c r="Q48" s="10" t="str">
        <f t="shared" si="8"/>
        <v xml:space="preserve">CELESC      -PN  </v>
      </c>
      <c r="R48" s="20">
        <f t="shared" si="9"/>
        <v>41645</v>
      </c>
      <c r="S48" s="5">
        <f t="shared" si="10"/>
        <v>16.71</v>
      </c>
      <c r="T48" s="5">
        <f t="shared" si="11"/>
        <v>16.88</v>
      </c>
      <c r="U48" s="5">
        <f t="shared" si="12"/>
        <v>17.079999999999998</v>
      </c>
      <c r="V48" s="5">
        <f t="shared" si="13"/>
        <v>16.71</v>
      </c>
    </row>
    <row r="49" spans="1:22">
      <c r="A49" s="36" t="str">
        <f>IF(Tabela1[[#This Row],[Código]]="IBOV","^BVSP",IF(Tabela1[[#This Row],[Código]]="","",CONCATENATE(LEFT(Tabela1[[#This Row],[Código]],6),".SA")))</f>
        <v>CMIG3.SA</v>
      </c>
      <c r="C49" s="3" t="s">
        <v>137</v>
      </c>
      <c r="D49" s="3" t="s">
        <v>560</v>
      </c>
      <c r="E49" s="3" t="s">
        <v>637</v>
      </c>
      <c r="F49" s="3" t="s">
        <v>560</v>
      </c>
      <c r="G49" s="3" t="s">
        <v>638</v>
      </c>
      <c r="H49" s="20">
        <v>41645</v>
      </c>
      <c r="J49" s="3">
        <f t="shared" si="7"/>
        <v>14.54</v>
      </c>
      <c r="K49" s="3">
        <f t="shared" si="7"/>
        <v>14.28</v>
      </c>
      <c r="L49" s="3">
        <f t="shared" si="7"/>
        <v>14.54</v>
      </c>
      <c r="M49" s="3">
        <f t="shared" si="7"/>
        <v>14.24</v>
      </c>
      <c r="P49" s="27" t="s">
        <v>31</v>
      </c>
      <c r="Q49" s="10" t="str">
        <f t="shared" si="8"/>
        <v xml:space="preserve">CEMIG       -ON  </v>
      </c>
      <c r="R49" s="20">
        <f t="shared" si="9"/>
        <v>41645</v>
      </c>
      <c r="S49" s="5">
        <f t="shared" si="10"/>
        <v>14.54</v>
      </c>
      <c r="T49" s="5">
        <f t="shared" si="11"/>
        <v>14.28</v>
      </c>
      <c r="U49" s="5">
        <f t="shared" si="12"/>
        <v>14.54</v>
      </c>
      <c r="V49" s="5">
        <f t="shared" si="13"/>
        <v>14.24</v>
      </c>
    </row>
    <row r="50" spans="1:22">
      <c r="A50" s="36" t="str">
        <f>IF(Tabela1[[#This Row],[Código]]="IBOV","^BVSP",IF(Tabela1[[#This Row],[Código]]="","",CONCATENATE(LEFT(Tabela1[[#This Row],[Código]],6),".SA")))</f>
        <v>CMIG4.SA</v>
      </c>
      <c r="C50" s="3" t="s">
        <v>138</v>
      </c>
      <c r="D50" s="3" t="s">
        <v>561</v>
      </c>
      <c r="E50" s="3" t="s">
        <v>760</v>
      </c>
      <c r="F50" s="3" t="s">
        <v>561</v>
      </c>
      <c r="G50" s="3" t="s">
        <v>619</v>
      </c>
      <c r="H50" s="20">
        <v>41645</v>
      </c>
      <c r="J50" s="3">
        <f t="shared" si="7"/>
        <v>14.19</v>
      </c>
      <c r="K50" s="3">
        <f t="shared" si="7"/>
        <v>14.03</v>
      </c>
      <c r="L50" s="3">
        <f t="shared" si="7"/>
        <v>14.19</v>
      </c>
      <c r="M50" s="3">
        <f t="shared" si="7"/>
        <v>13.94</v>
      </c>
      <c r="P50" s="27" t="s">
        <v>30</v>
      </c>
      <c r="Q50" s="10" t="str">
        <f t="shared" si="8"/>
        <v xml:space="preserve">CEMIG       -PN  </v>
      </c>
      <c r="R50" s="50">
        <f t="shared" si="9"/>
        <v>41645</v>
      </c>
      <c r="S50" s="6">
        <f t="shared" si="10"/>
        <v>14.19</v>
      </c>
      <c r="T50" s="6">
        <f t="shared" si="11"/>
        <v>14.03</v>
      </c>
      <c r="U50" s="6">
        <f t="shared" si="12"/>
        <v>14.19</v>
      </c>
      <c r="V50" s="6">
        <f t="shared" si="13"/>
        <v>13.94</v>
      </c>
    </row>
    <row r="51" spans="1:22">
      <c r="A51" s="36" t="str">
        <f>IF(Tabela1[[#This Row],[Código]]="IBOV","^BVSP",IF(Tabela1[[#This Row],[Código]]="","",CONCATENATE(LEFT(Tabela1[[#This Row],[Código]],6),".SA")))</f>
        <v>COCE3.SA</v>
      </c>
      <c r="C51" s="3" t="s">
        <v>139</v>
      </c>
      <c r="D51" s="3" t="s">
        <v>620</v>
      </c>
      <c r="E51" s="3" t="s">
        <v>430</v>
      </c>
      <c r="F51" s="3" t="s">
        <v>440</v>
      </c>
      <c r="G51" s="3" t="s">
        <v>430</v>
      </c>
      <c r="H51" s="20">
        <v>41645</v>
      </c>
      <c r="J51" s="3">
        <f t="shared" si="7"/>
        <v>45.79</v>
      </c>
      <c r="K51" s="3">
        <f t="shared" si="7"/>
        <v>44.5</v>
      </c>
      <c r="L51" s="3">
        <f t="shared" si="7"/>
        <v>46</v>
      </c>
      <c r="M51" s="3">
        <f t="shared" si="7"/>
        <v>44.5</v>
      </c>
      <c r="P51" s="14" t="s">
        <v>101</v>
      </c>
      <c r="Q51" s="10" t="str">
        <f t="shared" si="8"/>
        <v>COELCE      -ON</v>
      </c>
      <c r="R51" s="50">
        <f t="shared" si="9"/>
        <v>41645</v>
      </c>
      <c r="S51" s="6">
        <f t="shared" si="10"/>
        <v>45.79</v>
      </c>
      <c r="T51" s="6">
        <f t="shared" si="11"/>
        <v>44.5</v>
      </c>
      <c r="U51" s="6">
        <f t="shared" si="12"/>
        <v>46</v>
      </c>
      <c r="V51" s="6">
        <f t="shared" si="13"/>
        <v>44.5</v>
      </c>
    </row>
    <row r="52" spans="1:22">
      <c r="A52" s="36" t="str">
        <f>IF(Tabela1[[#This Row],[Código]]="IBOV","^BVSP",IF(Tabela1[[#This Row],[Código]]="","",CONCATENATE(LEFT(Tabela1[[#This Row],[Código]],6),".SA")))</f>
        <v>COCE5.SA</v>
      </c>
      <c r="C52" s="3" t="s">
        <v>140</v>
      </c>
      <c r="D52" s="3" t="s">
        <v>562</v>
      </c>
      <c r="E52" s="3" t="s">
        <v>761</v>
      </c>
      <c r="F52" s="3" t="s">
        <v>762</v>
      </c>
      <c r="G52" s="3" t="s">
        <v>563</v>
      </c>
      <c r="H52" s="20">
        <v>41645</v>
      </c>
      <c r="J52" s="3">
        <f t="shared" si="7"/>
        <v>42.72</v>
      </c>
      <c r="K52" s="3">
        <f t="shared" si="7"/>
        <v>43.1</v>
      </c>
      <c r="L52" s="3">
        <f t="shared" si="7"/>
        <v>43.37</v>
      </c>
      <c r="M52" s="3">
        <f t="shared" si="7"/>
        <v>41.34</v>
      </c>
      <c r="P52" s="10" t="s">
        <v>86</v>
      </c>
      <c r="Q52" s="10" t="str">
        <f t="shared" si="8"/>
        <v>COELCE      -PNA</v>
      </c>
      <c r="R52" s="57">
        <f t="shared" si="9"/>
        <v>41645</v>
      </c>
      <c r="S52" s="5">
        <f t="shared" si="10"/>
        <v>42.72</v>
      </c>
      <c r="T52" s="5">
        <f t="shared" si="11"/>
        <v>43.1</v>
      </c>
      <c r="U52" s="5">
        <f t="shared" si="12"/>
        <v>43.37</v>
      </c>
      <c r="V52" s="5">
        <f t="shared" si="13"/>
        <v>41.34</v>
      </c>
    </row>
    <row r="53" spans="1:22">
      <c r="A53" s="36" t="str">
        <f>IF(Tabela1[[#This Row],[Código]]="IBOV","^BVSP",IF(Tabela1[[#This Row],[Código]]="","",CONCATENATE(LEFT(Tabela1[[#This Row],[Código]],6),".SA")))</f>
        <v>CPFE3.SA</v>
      </c>
      <c r="C53" s="3" t="s">
        <v>141</v>
      </c>
      <c r="D53" s="3" t="s">
        <v>564</v>
      </c>
      <c r="E53" s="3" t="s">
        <v>763</v>
      </c>
      <c r="F53" s="3" t="s">
        <v>565</v>
      </c>
      <c r="G53" s="3" t="s">
        <v>639</v>
      </c>
      <c r="H53" s="20">
        <v>41645</v>
      </c>
      <c r="J53" s="3">
        <f t="shared" si="7"/>
        <v>18.3</v>
      </c>
      <c r="K53" s="3">
        <f t="shared" si="7"/>
        <v>18.239999999999998</v>
      </c>
      <c r="L53" s="3">
        <f t="shared" si="7"/>
        <v>18.54</v>
      </c>
      <c r="M53" s="3">
        <f t="shared" si="7"/>
        <v>18.100000000000001</v>
      </c>
      <c r="P53" s="27" t="s">
        <v>32</v>
      </c>
      <c r="Q53" s="10" t="str">
        <f t="shared" si="8"/>
        <v xml:space="preserve">CPFL ENERGIA-ON  </v>
      </c>
      <c r="R53" s="57">
        <f t="shared" si="9"/>
        <v>41645</v>
      </c>
      <c r="S53" s="5">
        <f t="shared" si="10"/>
        <v>18.3</v>
      </c>
      <c r="T53" s="5">
        <f t="shared" si="11"/>
        <v>18.239999999999998</v>
      </c>
      <c r="U53" s="5">
        <f t="shared" si="12"/>
        <v>18.54</v>
      </c>
      <c r="V53" s="5">
        <f t="shared" si="13"/>
        <v>18.100000000000001</v>
      </c>
    </row>
    <row r="54" spans="1:22">
      <c r="A54" s="36" t="str">
        <f>IF(Tabela1[[#This Row],[Código]]="IBOV","^BVSP",IF(Tabela1[[#This Row],[Código]]="","",CONCATENATE(LEFT(Tabela1[[#This Row],[Código]],6),".SA")))</f>
        <v>CPLE3.SA</v>
      </c>
      <c r="C54" s="3" t="s">
        <v>142</v>
      </c>
      <c r="D54" s="3" t="s">
        <v>451</v>
      </c>
      <c r="E54" s="3" t="s">
        <v>598</v>
      </c>
      <c r="F54" s="3" t="s">
        <v>566</v>
      </c>
      <c r="G54" s="3" t="s">
        <v>314</v>
      </c>
      <c r="H54" s="20">
        <v>41645</v>
      </c>
      <c r="J54" s="3">
        <f t="shared" si="7"/>
        <v>22.2</v>
      </c>
      <c r="K54" s="3">
        <f t="shared" si="7"/>
        <v>22.04</v>
      </c>
      <c r="L54" s="3">
        <f t="shared" si="7"/>
        <v>22.47</v>
      </c>
      <c r="M54" s="3">
        <f t="shared" si="7"/>
        <v>22</v>
      </c>
      <c r="P54" s="27" t="s">
        <v>34</v>
      </c>
      <c r="Q54" s="10" t="str">
        <f t="shared" si="8"/>
        <v xml:space="preserve">COPEL       -ON  </v>
      </c>
      <c r="R54" s="57">
        <f t="shared" si="9"/>
        <v>41645</v>
      </c>
      <c r="S54" s="5">
        <f t="shared" si="10"/>
        <v>22.2</v>
      </c>
      <c r="T54" s="5">
        <f t="shared" si="11"/>
        <v>22.04</v>
      </c>
      <c r="U54" s="5">
        <f t="shared" si="12"/>
        <v>22.47</v>
      </c>
      <c r="V54" s="5">
        <f t="shared" si="13"/>
        <v>22</v>
      </c>
    </row>
    <row r="55" spans="1:22">
      <c r="A55" s="36" t="str">
        <f>IF(Tabela1[[#This Row],[Código]]="IBOV","^BVSP",IF(Tabela1[[#This Row],[Código]]="","",CONCATENATE(LEFT(Tabela1[[#This Row],[Código]],6),".SA")))</f>
        <v>CPLE5.SA</v>
      </c>
      <c r="C55" s="3" t="s">
        <v>143</v>
      </c>
      <c r="D55" s="3" t="s">
        <v>144</v>
      </c>
      <c r="E55" s="3" t="s">
        <v>144</v>
      </c>
      <c r="F55" s="3" t="s">
        <v>144</v>
      </c>
      <c r="G55" s="3" t="s">
        <v>144</v>
      </c>
      <c r="H55" s="20">
        <v>41645</v>
      </c>
      <c r="J55" s="3">
        <f t="shared" si="7"/>
        <v>30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107</v>
      </c>
      <c r="Q55" s="10" t="str">
        <f t="shared" si="8"/>
        <v xml:space="preserve">COPEL       -PNA </v>
      </c>
      <c r="R55" s="20">
        <f t="shared" si="9"/>
        <v>41645</v>
      </c>
      <c r="S55" s="5">
        <f t="shared" si="10"/>
        <v>30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>
      <c r="A56" s="36" t="str">
        <f>IF(Tabela1[[#This Row],[Código]]="IBOV","^BVSP",IF(Tabela1[[#This Row],[Código]]="","",CONCATENATE(LEFT(Tabela1[[#This Row],[Código]],6),".SA")))</f>
        <v>CPLE6.SA</v>
      </c>
      <c r="C56" s="3" t="s">
        <v>145</v>
      </c>
      <c r="D56" s="3" t="s">
        <v>567</v>
      </c>
      <c r="E56" s="3" t="s">
        <v>764</v>
      </c>
      <c r="F56" s="3" t="s">
        <v>568</v>
      </c>
      <c r="G56" s="3" t="s">
        <v>640</v>
      </c>
      <c r="H56" s="20">
        <v>41645</v>
      </c>
      <c r="J56" s="3">
        <f t="shared" si="7"/>
        <v>30.54</v>
      </c>
      <c r="K56" s="3">
        <f t="shared" si="7"/>
        <v>30.18</v>
      </c>
      <c r="L56" s="3">
        <f t="shared" si="7"/>
        <v>31.15</v>
      </c>
      <c r="M56" s="3">
        <f t="shared" si="7"/>
        <v>30.04</v>
      </c>
      <c r="P56" s="14" t="s">
        <v>108</v>
      </c>
      <c r="Q56" s="10" t="str">
        <f t="shared" si="8"/>
        <v xml:space="preserve">COPEL       -PNB </v>
      </c>
      <c r="R56" s="57">
        <f t="shared" si="9"/>
        <v>41645</v>
      </c>
      <c r="S56" s="5">
        <f t="shared" si="10"/>
        <v>30.54</v>
      </c>
      <c r="T56" s="5">
        <f t="shared" si="11"/>
        <v>30.18</v>
      </c>
      <c r="U56" s="5">
        <f t="shared" si="12"/>
        <v>31.15</v>
      </c>
      <c r="V56" s="5">
        <f t="shared" si="13"/>
        <v>30.04</v>
      </c>
    </row>
    <row r="57" spans="1:22">
      <c r="A57" s="36" t="str">
        <f>IF(Tabela1[[#This Row],[Código]]="IBOV","^BVSP",IF(Tabela1[[#This Row],[Código]]="","",CONCATENATE(LEFT(Tabela1[[#This Row],[Código]],6),".SA")))</f>
        <v>CSMG3.SA</v>
      </c>
      <c r="C57" s="3" t="s">
        <v>204</v>
      </c>
      <c r="D57" s="3" t="s">
        <v>569</v>
      </c>
      <c r="E57" s="3" t="s">
        <v>765</v>
      </c>
      <c r="F57" s="3" t="s">
        <v>570</v>
      </c>
      <c r="G57" s="3" t="s">
        <v>766</v>
      </c>
      <c r="H57" s="20">
        <v>41645</v>
      </c>
      <c r="J57" s="3">
        <f t="shared" si="7"/>
        <v>35.68</v>
      </c>
      <c r="K57" s="3">
        <f t="shared" si="7"/>
        <v>35.380000000000003</v>
      </c>
      <c r="L57" s="3">
        <f t="shared" si="7"/>
        <v>36.79</v>
      </c>
      <c r="M57" s="3">
        <f t="shared" si="7"/>
        <v>35.08</v>
      </c>
      <c r="P57" s="14" t="s">
        <v>203</v>
      </c>
      <c r="Q57" s="10" t="str">
        <f t="shared" si="8"/>
        <v xml:space="preserve">COPASA      -ON  </v>
      </c>
      <c r="R57" s="20">
        <f t="shared" si="9"/>
        <v>41645</v>
      </c>
      <c r="S57" s="5">
        <f t="shared" si="10"/>
        <v>35.68</v>
      </c>
      <c r="T57" s="5">
        <f t="shared" si="11"/>
        <v>35.380000000000003</v>
      </c>
      <c r="U57" s="5">
        <f t="shared" si="12"/>
        <v>36.79</v>
      </c>
      <c r="V57" s="5">
        <f t="shared" si="13"/>
        <v>35.08</v>
      </c>
    </row>
    <row r="58" spans="1:22">
      <c r="A58" s="36" t="str">
        <f>IF(Tabela1[[#This Row],[Código]]="IBOV","^BVSP",IF(Tabela1[[#This Row],[Código]]="","",CONCATENATE(LEFT(Tabela1[[#This Row],[Código]],6),".SA")))</f>
        <v>CSRN3.SA</v>
      </c>
      <c r="C58" s="3" t="s">
        <v>571</v>
      </c>
      <c r="D58" s="3" t="s">
        <v>502</v>
      </c>
      <c r="E58" s="3" t="s">
        <v>502</v>
      </c>
      <c r="F58" s="3" t="s">
        <v>502</v>
      </c>
      <c r="G58" s="3" t="s">
        <v>502</v>
      </c>
      <c r="H58" s="20">
        <v>41645</v>
      </c>
      <c r="J58" s="3">
        <f t="shared" si="7"/>
        <v>9.5</v>
      </c>
      <c r="K58" s="3">
        <f t="shared" si="7"/>
        <v>9.5</v>
      </c>
      <c r="L58" s="3">
        <f t="shared" si="7"/>
        <v>9.5</v>
      </c>
      <c r="M58" s="3">
        <f t="shared" si="7"/>
        <v>9.5</v>
      </c>
      <c r="P58" s="14" t="s">
        <v>103</v>
      </c>
      <c r="Q58" s="10" t="str">
        <f t="shared" si="8"/>
        <v xml:space="preserve">COSERN      -ON  </v>
      </c>
      <c r="R58" s="57">
        <f t="shared" si="9"/>
        <v>41645</v>
      </c>
      <c r="S58" s="5">
        <f t="shared" si="10"/>
        <v>9.5</v>
      </c>
      <c r="T58" s="5">
        <f t="shared" si="11"/>
        <v>9.5</v>
      </c>
      <c r="U58" s="5">
        <f t="shared" si="12"/>
        <v>9.5</v>
      </c>
      <c r="V58" s="5">
        <f t="shared" si="13"/>
        <v>9.5</v>
      </c>
    </row>
    <row r="59" spans="1:22">
      <c r="A59" s="36" t="str">
        <f>IF(Tabela1[[#This Row],[Código]]="IBOV","^BVSP",IF(Tabela1[[#This Row],[Código]]="","",CONCATENATE(LEFT(Tabela1[[#This Row],[Código]],6),".SA")))</f>
        <v>CSRN5.SA</v>
      </c>
      <c r="C59" s="3" t="s">
        <v>572</v>
      </c>
      <c r="D59" s="3" t="s">
        <v>146</v>
      </c>
      <c r="E59" s="3" t="s">
        <v>146</v>
      </c>
      <c r="F59" s="3" t="s">
        <v>146</v>
      </c>
      <c r="G59" s="3" t="s">
        <v>146</v>
      </c>
      <c r="H59" s="20">
        <v>41645</v>
      </c>
      <c r="J59" s="3">
        <f t="shared" si="7"/>
        <v>10.119999999999999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104</v>
      </c>
      <c r="Q59" s="10" t="str">
        <f t="shared" si="8"/>
        <v xml:space="preserve">COSERN      -PNA </v>
      </c>
      <c r="R59" s="57">
        <f t="shared" si="9"/>
        <v>41645</v>
      </c>
      <c r="S59" s="5">
        <f t="shared" si="10"/>
        <v>10.119999999999999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>
      <c r="A60" s="36" t="str">
        <f>IF(Tabela1[[#This Row],[Código]]="IBOV","^BVSP",IF(Tabela1[[#This Row],[Código]]="","",CONCATENATE(LEFT(Tabela1[[#This Row],[Código]],6),".SA")))</f>
        <v>CSRN6.SA</v>
      </c>
      <c r="C60" s="3" t="s">
        <v>573</v>
      </c>
      <c r="D60" s="3" t="s">
        <v>116</v>
      </c>
      <c r="E60" s="3" t="s">
        <v>116</v>
      </c>
      <c r="F60" s="3" t="s">
        <v>116</v>
      </c>
      <c r="G60" s="3" t="s">
        <v>116</v>
      </c>
      <c r="H60" s="20">
        <v>41645</v>
      </c>
      <c r="J60" s="3">
        <f t="shared" si="7"/>
        <v>9</v>
      </c>
      <c r="K60" s="3">
        <f t="shared" si="7"/>
        <v>9</v>
      </c>
      <c r="L60" s="3">
        <f t="shared" si="7"/>
        <v>9</v>
      </c>
      <c r="M60" s="3">
        <f t="shared" si="7"/>
        <v>9</v>
      </c>
      <c r="P60" s="14" t="s">
        <v>71</v>
      </c>
      <c r="Q60" s="10" t="str">
        <f t="shared" si="8"/>
        <v xml:space="preserve">COSERN      -PNB </v>
      </c>
      <c r="R60" s="57">
        <f t="shared" si="9"/>
        <v>41645</v>
      </c>
      <c r="S60" s="5">
        <f t="shared" si="10"/>
        <v>9</v>
      </c>
      <c r="T60" s="5">
        <f t="shared" si="11"/>
        <v>9</v>
      </c>
      <c r="U60" s="5">
        <f t="shared" si="12"/>
        <v>9</v>
      </c>
      <c r="V60" s="5">
        <f t="shared" si="13"/>
        <v>9</v>
      </c>
    </row>
    <row r="61" spans="1:22">
      <c r="A61" s="36" t="str">
        <f>IF(Tabela1[[#This Row],[Código]]="IBOV","^BVSP",IF(Tabela1[[#This Row],[Código]]="","",CONCATENATE(LEFT(Tabela1[[#This Row],[Código]],6),".SA")))</f>
        <v>DAYC4.SA</v>
      </c>
      <c r="C61" s="3" t="s">
        <v>147</v>
      </c>
      <c r="D61" s="3" t="s">
        <v>574</v>
      </c>
      <c r="E61" s="3" t="s">
        <v>642</v>
      </c>
      <c r="F61" s="3" t="s">
        <v>574</v>
      </c>
      <c r="G61" s="3" t="s">
        <v>575</v>
      </c>
      <c r="H61" s="20">
        <v>41645</v>
      </c>
      <c r="J61" s="3">
        <f t="shared" si="7"/>
        <v>8.31</v>
      </c>
      <c r="K61" s="3">
        <f t="shared" si="7"/>
        <v>8</v>
      </c>
      <c r="L61" s="3">
        <f t="shared" si="7"/>
        <v>8.31</v>
      </c>
      <c r="M61" s="3">
        <f t="shared" si="7"/>
        <v>7.9</v>
      </c>
      <c r="P61" s="10" t="s">
        <v>15</v>
      </c>
      <c r="Q61" s="10" t="str">
        <f t="shared" si="8"/>
        <v xml:space="preserve">DAYCOVAL    -PN  </v>
      </c>
      <c r="R61" s="57">
        <f t="shared" si="9"/>
        <v>41645</v>
      </c>
      <c r="S61" s="5">
        <f t="shared" si="10"/>
        <v>8.31</v>
      </c>
      <c r="T61" s="5">
        <f t="shared" si="11"/>
        <v>8</v>
      </c>
      <c r="U61" s="5">
        <f t="shared" si="12"/>
        <v>8.31</v>
      </c>
      <c r="V61" s="5">
        <f t="shared" si="13"/>
        <v>7.9</v>
      </c>
    </row>
    <row r="62" spans="1:22">
      <c r="A62" s="36" t="str">
        <f>IF(Tabela1[[#This Row],[Código]]="IBOV","^BVSP",IF(Tabela1[[#This Row],[Código]]="","",CONCATENATE(LEFT(Tabela1[[#This Row],[Código]],6),".SA")))</f>
        <v>EEEL3.SA</v>
      </c>
      <c r="C62" s="3" t="s">
        <v>148</v>
      </c>
      <c r="D62" s="3" t="s">
        <v>395</v>
      </c>
      <c r="E62" s="3" t="s">
        <v>395</v>
      </c>
      <c r="F62" s="3" t="s">
        <v>395</v>
      </c>
      <c r="G62" s="3" t="s">
        <v>395</v>
      </c>
      <c r="H62" s="20">
        <v>41645</v>
      </c>
      <c r="J62" s="3">
        <f t="shared" si="7"/>
        <v>1.59</v>
      </c>
      <c r="K62" s="3">
        <f t="shared" si="7"/>
        <v>1.59</v>
      </c>
      <c r="L62" s="3">
        <f t="shared" si="7"/>
        <v>1.59</v>
      </c>
      <c r="M62" s="3">
        <f t="shared" si="7"/>
        <v>1.59</v>
      </c>
      <c r="P62" s="14" t="s">
        <v>105</v>
      </c>
      <c r="Q62" s="10" t="str">
        <f t="shared" si="8"/>
        <v xml:space="preserve">CEEE-GT     -ON  </v>
      </c>
      <c r="R62" s="57">
        <f t="shared" si="9"/>
        <v>41645</v>
      </c>
      <c r="S62" s="5">
        <f t="shared" si="10"/>
        <v>1.59</v>
      </c>
      <c r="T62" s="5">
        <f t="shared" si="11"/>
        <v>1.59</v>
      </c>
      <c r="U62" s="5">
        <f t="shared" si="12"/>
        <v>1.59</v>
      </c>
      <c r="V62" s="5">
        <f t="shared" si="13"/>
        <v>1.59</v>
      </c>
    </row>
    <row r="63" spans="1:22">
      <c r="A63" s="36" t="str">
        <f>IF(Tabela1[[#This Row],[Código]]="IBOV","^BVSP",IF(Tabela1[[#This Row],[Código]]="","",CONCATENATE(LEFT(Tabela1[[#This Row],[Código]],6),".SA")))</f>
        <v>EEEL4.SA</v>
      </c>
      <c r="C63" s="3" t="s">
        <v>149</v>
      </c>
      <c r="D63" s="3" t="s">
        <v>290</v>
      </c>
      <c r="E63" s="3" t="s">
        <v>290</v>
      </c>
      <c r="F63" s="3" t="s">
        <v>290</v>
      </c>
      <c r="G63" s="3" t="s">
        <v>290</v>
      </c>
      <c r="H63" s="20">
        <v>41645</v>
      </c>
      <c r="J63" s="3">
        <f t="shared" si="7"/>
        <v>1.7</v>
      </c>
      <c r="K63" s="3">
        <f t="shared" si="7"/>
        <v>1.7</v>
      </c>
      <c r="L63" s="3">
        <f t="shared" si="7"/>
        <v>1.7</v>
      </c>
      <c r="M63" s="3">
        <f t="shared" si="7"/>
        <v>1.7</v>
      </c>
      <c r="P63" s="14" t="s">
        <v>106</v>
      </c>
      <c r="Q63" s="10" t="str">
        <f t="shared" si="8"/>
        <v xml:space="preserve">CEEE-GT     -PN  </v>
      </c>
      <c r="R63" s="57">
        <f t="shared" si="9"/>
        <v>41645</v>
      </c>
      <c r="S63" s="5">
        <f t="shared" si="10"/>
        <v>1.7</v>
      </c>
      <c r="T63" s="5">
        <f t="shared" si="11"/>
        <v>1.7</v>
      </c>
      <c r="U63" s="5">
        <f t="shared" si="12"/>
        <v>1.7</v>
      </c>
      <c r="V63" s="5">
        <f t="shared" si="13"/>
        <v>1.7</v>
      </c>
    </row>
    <row r="64" spans="1:22">
      <c r="A64" s="36" t="str">
        <f>IF(Tabela1[[#This Row],[Código]]="IBOV","^BVSP",IF(Tabela1[[#This Row],[Código]]="","",CONCATENATE(LEFT(Tabela1[[#This Row],[Código]],6),".SA")))</f>
        <v>ELET3.SA</v>
      </c>
      <c r="C64" s="3" t="s">
        <v>150</v>
      </c>
      <c r="D64" s="3" t="s">
        <v>404</v>
      </c>
      <c r="E64" s="3" t="s">
        <v>767</v>
      </c>
      <c r="F64" s="3" t="s">
        <v>768</v>
      </c>
      <c r="G64" s="3" t="s">
        <v>576</v>
      </c>
      <c r="H64" s="20">
        <v>41645</v>
      </c>
      <c r="J64" s="3">
        <f t="shared" si="7"/>
        <v>5.95</v>
      </c>
      <c r="K64" s="3">
        <f t="shared" si="7"/>
        <v>6.05</v>
      </c>
      <c r="L64" s="3">
        <f t="shared" si="7"/>
        <v>6.06</v>
      </c>
      <c r="M64" s="3">
        <f t="shared" si="7"/>
        <v>5.8</v>
      </c>
      <c r="P64" s="15" t="s">
        <v>2</v>
      </c>
      <c r="Q64" s="10" t="str">
        <f t="shared" si="8"/>
        <v xml:space="preserve">ELETROBRAS  -ON  </v>
      </c>
      <c r="R64" s="57">
        <f t="shared" si="9"/>
        <v>41645</v>
      </c>
      <c r="S64" s="5">
        <f t="shared" si="10"/>
        <v>5.95</v>
      </c>
      <c r="T64" s="5">
        <f t="shared" si="11"/>
        <v>6.05</v>
      </c>
      <c r="U64" s="5">
        <f t="shared" si="12"/>
        <v>6.06</v>
      </c>
      <c r="V64" s="5">
        <f t="shared" si="13"/>
        <v>5.8</v>
      </c>
    </row>
    <row r="65" spans="1:22">
      <c r="A65" s="36" t="str">
        <f>IF(Tabela1[[#This Row],[Código]]="IBOV","^BVSP",IF(Tabela1[[#This Row],[Código]]="","",CONCATENATE(LEFT(Tabela1[[#This Row],[Código]],6),".SA")))</f>
        <v>ELET6.SA</v>
      </c>
      <c r="C65" s="3" t="s">
        <v>151</v>
      </c>
      <c r="D65" s="3" t="s">
        <v>330</v>
      </c>
      <c r="E65" s="3" t="s">
        <v>769</v>
      </c>
      <c r="F65" s="3" t="s">
        <v>770</v>
      </c>
      <c r="G65" s="3" t="s">
        <v>577</v>
      </c>
      <c r="H65" s="20">
        <v>41645</v>
      </c>
      <c r="J65" s="3">
        <f t="shared" si="7"/>
        <v>10.1</v>
      </c>
      <c r="K65" s="3">
        <f t="shared" si="7"/>
        <v>10.27</v>
      </c>
      <c r="L65" s="3">
        <f t="shared" si="7"/>
        <v>10.28</v>
      </c>
      <c r="M65" s="3">
        <f t="shared" si="7"/>
        <v>9.85</v>
      </c>
      <c r="P65" s="27" t="s">
        <v>27</v>
      </c>
      <c r="Q65" s="10" t="str">
        <f t="shared" si="8"/>
        <v xml:space="preserve">ELETROBRAS  -PNB </v>
      </c>
      <c r="R65" s="57">
        <f t="shared" si="9"/>
        <v>41645</v>
      </c>
      <c r="S65" s="5">
        <f t="shared" si="10"/>
        <v>10.1</v>
      </c>
      <c r="T65" s="5">
        <f t="shared" si="11"/>
        <v>10.27</v>
      </c>
      <c r="U65" s="5">
        <f t="shared" si="12"/>
        <v>10.28</v>
      </c>
      <c r="V65" s="5">
        <f t="shared" si="13"/>
        <v>9.85</v>
      </c>
    </row>
    <row r="66" spans="1:22">
      <c r="A66" s="36" t="str">
        <f>IF(Tabela1[[#This Row],[Código]]="IBOV","^BVSP",IF(Tabela1[[#This Row],[Código]]="","",CONCATENATE(LEFT(Tabela1[[#This Row],[Código]],6),".SA")))</f>
        <v>ELPL3.SA</v>
      </c>
      <c r="C66" s="3" t="s">
        <v>189</v>
      </c>
      <c r="D66" s="3" t="s">
        <v>153</v>
      </c>
      <c r="E66" s="3" t="s">
        <v>153</v>
      </c>
      <c r="F66" s="3" t="s">
        <v>153</v>
      </c>
      <c r="G66" s="3" t="s">
        <v>153</v>
      </c>
      <c r="H66" s="20">
        <v>41645</v>
      </c>
      <c r="J66" s="3">
        <f t="shared" si="7"/>
        <v>11</v>
      </c>
      <c r="K66" s="3">
        <f t="shared" si="7"/>
        <v>11</v>
      </c>
      <c r="L66" s="3">
        <f t="shared" si="7"/>
        <v>11</v>
      </c>
      <c r="M66" s="3">
        <f t="shared" si="7"/>
        <v>11</v>
      </c>
      <c r="P66" s="14" t="s">
        <v>188</v>
      </c>
      <c r="Q66" s="10" t="str">
        <f t="shared" si="8"/>
        <v xml:space="preserve">ELETROPAULO -ON  </v>
      </c>
      <c r="R66" s="57">
        <f t="shared" si="9"/>
        <v>41645</v>
      </c>
      <c r="S66" s="5">
        <f t="shared" si="10"/>
        <v>11</v>
      </c>
      <c r="T66" s="5">
        <f t="shared" si="11"/>
        <v>11</v>
      </c>
      <c r="U66" s="5">
        <f t="shared" si="12"/>
        <v>11</v>
      </c>
      <c r="V66" s="5">
        <f t="shared" si="13"/>
        <v>11</v>
      </c>
    </row>
    <row r="67" spans="1:22">
      <c r="A67" s="36" t="str">
        <f>IF(Tabela1[[#This Row],[Código]]="IBOV","^BVSP",IF(Tabela1[[#This Row],[Código]]="","",CONCATENATE(LEFT(Tabela1[[#This Row],[Código]],6),".SA")))</f>
        <v>ELPL4.SA</v>
      </c>
      <c r="C67" s="3" t="s">
        <v>152</v>
      </c>
      <c r="D67" s="3" t="s">
        <v>578</v>
      </c>
      <c r="E67" s="3" t="s">
        <v>771</v>
      </c>
      <c r="F67" s="3" t="s">
        <v>690</v>
      </c>
      <c r="G67" s="3" t="s">
        <v>579</v>
      </c>
      <c r="H67" s="20">
        <v>41645</v>
      </c>
      <c r="J67" s="3">
        <f t="shared" si="7"/>
        <v>9.1</v>
      </c>
      <c r="K67" s="3">
        <f t="shared" si="7"/>
        <v>9.3800000000000008</v>
      </c>
      <c r="L67" s="3">
        <f t="shared" si="7"/>
        <v>9.4</v>
      </c>
      <c r="M67" s="3">
        <f t="shared" si="7"/>
        <v>8.9499999999999993</v>
      </c>
      <c r="P67" s="47" t="s">
        <v>1</v>
      </c>
      <c r="Q67" s="10" t="str">
        <f t="shared" si="8"/>
        <v xml:space="preserve">ELETROPAULO -PN  </v>
      </c>
      <c r="R67" s="57">
        <f t="shared" si="9"/>
        <v>41645</v>
      </c>
      <c r="S67" s="5">
        <f t="shared" si="10"/>
        <v>9.1</v>
      </c>
      <c r="T67" s="5">
        <f t="shared" si="11"/>
        <v>9.3800000000000008</v>
      </c>
      <c r="U67" s="5">
        <f t="shared" si="12"/>
        <v>9.4</v>
      </c>
      <c r="V67" s="5">
        <f t="shared" si="13"/>
        <v>8.9499999999999993</v>
      </c>
    </row>
    <row r="68" spans="1:22">
      <c r="A68" s="36" t="str">
        <f>IF(Tabela1[[#This Row],[Código]]="IBOV","^BVSP",IF(Tabela1[[#This Row],[Código]]="","",CONCATENATE(LEFT(Tabela1[[#This Row],[Código]],6),".SA")))</f>
        <v>EMAE4.SA</v>
      </c>
      <c r="C68" s="3" t="s">
        <v>191</v>
      </c>
      <c r="D68" s="3" t="s">
        <v>291</v>
      </c>
      <c r="E68" s="3" t="s">
        <v>291</v>
      </c>
      <c r="F68" s="3" t="s">
        <v>291</v>
      </c>
      <c r="G68" s="3" t="s">
        <v>291</v>
      </c>
      <c r="H68" s="20">
        <v>41645</v>
      </c>
      <c r="J68" s="3">
        <f t="shared" si="7"/>
        <v>5.75</v>
      </c>
      <c r="K68" s="3">
        <f t="shared" si="7"/>
        <v>5.75</v>
      </c>
      <c r="L68" s="3">
        <f t="shared" si="7"/>
        <v>5.75</v>
      </c>
      <c r="M68" s="3">
        <f t="shared" si="7"/>
        <v>5.75</v>
      </c>
      <c r="P68" s="14" t="s">
        <v>190</v>
      </c>
      <c r="Q68" s="10" t="str">
        <f t="shared" si="8"/>
        <v>EMAE        -PN</v>
      </c>
      <c r="R68" s="50">
        <f t="shared" si="9"/>
        <v>41645</v>
      </c>
      <c r="S68" s="6">
        <f t="shared" si="10"/>
        <v>5.75</v>
      </c>
      <c r="T68" s="6">
        <f t="shared" si="11"/>
        <v>5.75</v>
      </c>
      <c r="U68" s="6">
        <f t="shared" si="12"/>
        <v>5.75</v>
      </c>
      <c r="V68" s="6">
        <f t="shared" si="13"/>
        <v>5.75</v>
      </c>
    </row>
    <row r="69" spans="1:22">
      <c r="A69" s="36" t="str">
        <f>IF(Tabela1[[#This Row],[Código]]="IBOV","^BVSP",IF(Tabela1[[#This Row],[Código]]="","",CONCATENATE(LEFT(Tabela1[[#This Row],[Código]],6),".SA")))</f>
        <v>ENBR3.SA</v>
      </c>
      <c r="C69" s="3" t="s">
        <v>154</v>
      </c>
      <c r="D69" s="3" t="s">
        <v>580</v>
      </c>
      <c r="E69" s="3" t="s">
        <v>643</v>
      </c>
      <c r="F69" s="3" t="s">
        <v>581</v>
      </c>
      <c r="G69" s="3" t="s">
        <v>772</v>
      </c>
      <c r="H69" s="20">
        <v>41645</v>
      </c>
      <c r="J69" s="3">
        <f t="shared" si="7"/>
        <v>11.44</v>
      </c>
      <c r="K69" s="3">
        <f t="shared" si="7"/>
        <v>11.14</v>
      </c>
      <c r="L69" s="3">
        <f t="shared" si="7"/>
        <v>11.46</v>
      </c>
      <c r="M69" s="3">
        <f t="shared" si="7"/>
        <v>11.07</v>
      </c>
      <c r="P69" s="14" t="s">
        <v>28</v>
      </c>
      <c r="Q69" s="10" t="str">
        <f t="shared" si="8"/>
        <v xml:space="preserve">ENERGIAS BR -ON  </v>
      </c>
      <c r="R69" s="57">
        <f t="shared" si="9"/>
        <v>41645</v>
      </c>
      <c r="S69" s="5">
        <f t="shared" si="10"/>
        <v>11.44</v>
      </c>
      <c r="T69" s="5">
        <f t="shared" si="11"/>
        <v>11.14</v>
      </c>
      <c r="U69" s="5">
        <f t="shared" si="12"/>
        <v>11.46</v>
      </c>
      <c r="V69" s="5">
        <f t="shared" si="13"/>
        <v>11.07</v>
      </c>
    </row>
    <row r="70" spans="1:22">
      <c r="A70" s="36" t="str">
        <f>IF(Tabela1[[#This Row],[Código]]="IBOV","^BVSP",IF(Tabela1[[#This Row],[Código]]="","",CONCATENATE(LEFT(Tabela1[[#This Row],[Código]],6),".SA")))</f>
        <v>ENGI11.SA</v>
      </c>
      <c r="C70" s="3" t="s">
        <v>155</v>
      </c>
      <c r="D70" s="3" t="s">
        <v>287</v>
      </c>
      <c r="E70" s="3" t="s">
        <v>287</v>
      </c>
      <c r="F70" s="3" t="s">
        <v>287</v>
      </c>
      <c r="G70" s="3" t="s">
        <v>287</v>
      </c>
      <c r="H70" s="20">
        <v>41645</v>
      </c>
      <c r="J70" s="3">
        <f t="shared" si="7"/>
        <v>12.5</v>
      </c>
      <c r="K70" s="3">
        <f t="shared" si="7"/>
        <v>12.5</v>
      </c>
      <c r="L70" s="3">
        <f t="shared" si="7"/>
        <v>12.5</v>
      </c>
      <c r="M70" s="3">
        <f t="shared" si="7"/>
        <v>12.5</v>
      </c>
      <c r="P70" s="14" t="s">
        <v>92</v>
      </c>
      <c r="Q70" s="10" t="str">
        <f t="shared" si="8"/>
        <v>ENERGISA    -UNT</v>
      </c>
      <c r="R70" s="57">
        <f t="shared" si="9"/>
        <v>41645</v>
      </c>
      <c r="S70" s="5">
        <f t="shared" si="10"/>
        <v>12.5</v>
      </c>
      <c r="T70" s="5">
        <f t="shared" si="11"/>
        <v>12.5</v>
      </c>
      <c r="U70" s="5">
        <f t="shared" si="12"/>
        <v>12.5</v>
      </c>
      <c r="V70" s="5">
        <f t="shared" si="13"/>
        <v>12.5</v>
      </c>
    </row>
    <row r="71" spans="1:22">
      <c r="A71" s="36" t="str">
        <f>IF(Tabela1[[#This Row],[Código]]="IBOV","^BVSP",IF(Tabela1[[#This Row],[Código]]="","",CONCATENATE(LEFT(Tabela1[[#This Row],[Código]],6),".SA")))</f>
        <v>ENGI3.SA</v>
      </c>
      <c r="C71" s="3" t="s">
        <v>193</v>
      </c>
      <c r="D71" s="3" t="s">
        <v>194</v>
      </c>
      <c r="E71" s="3" t="s">
        <v>194</v>
      </c>
      <c r="F71" s="3" t="s">
        <v>194</v>
      </c>
      <c r="G71" s="3" t="s">
        <v>194</v>
      </c>
      <c r="H71" s="20">
        <v>41645</v>
      </c>
      <c r="J71" s="3">
        <f t="shared" si="7"/>
        <v>3.15</v>
      </c>
      <c r="K71" s="3">
        <f t="shared" si="7"/>
        <v>3.15</v>
      </c>
      <c r="L71" s="3">
        <f t="shared" si="7"/>
        <v>3.15</v>
      </c>
      <c r="M71" s="3">
        <f t="shared" si="7"/>
        <v>3.15</v>
      </c>
      <c r="P71" s="14" t="s">
        <v>192</v>
      </c>
      <c r="Q71" s="10" t="str">
        <f t="shared" ref="Q71:Q102" si="14">IF(A71="","",C71)</f>
        <v>ENERGISA    -ON</v>
      </c>
      <c r="R71" s="57">
        <f t="shared" ref="R71:R102" si="15">IF(A71="","",H71)</f>
        <v>41645</v>
      </c>
      <c r="S71" s="5">
        <f t="shared" ref="S71:S102" si="16">J71</f>
        <v>3.15</v>
      </c>
      <c r="T71" s="5">
        <f t="shared" ref="T71:T102" si="17">K71</f>
        <v>3.15</v>
      </c>
      <c r="U71" s="5">
        <f t="shared" ref="U71:U102" si="18">L71</f>
        <v>3.15</v>
      </c>
      <c r="V71" s="5">
        <f t="shared" ref="V71:V102" si="19">M71</f>
        <v>3.15</v>
      </c>
    </row>
    <row r="72" spans="1:22">
      <c r="A72" s="36" t="str">
        <f>IF(Tabela1[[#This Row],[Código]]="IBOV","^BVSP",IF(Tabela1[[#This Row],[Código]]="","",CONCATENATE(LEFT(Tabela1[[#This Row],[Código]],6),".SA")))</f>
        <v>ENGI4.SA</v>
      </c>
      <c r="C72" s="3" t="s">
        <v>156</v>
      </c>
      <c r="D72" s="3" t="s">
        <v>503</v>
      </c>
      <c r="E72" s="3" t="s">
        <v>503</v>
      </c>
      <c r="F72" s="3" t="s">
        <v>503</v>
      </c>
      <c r="G72" s="3" t="s">
        <v>503</v>
      </c>
      <c r="H72" s="20">
        <v>41645</v>
      </c>
      <c r="J72" s="3">
        <f t="shared" ref="J72:M135" si="20">IF($A72="",0,VALUE(CONCATENATE(LEFT(D72,LEN(D72)-3),",",RIGHT(D72,2))))</f>
        <v>2.4</v>
      </c>
      <c r="K72" s="3">
        <f t="shared" si="20"/>
        <v>2.4</v>
      </c>
      <c r="L72" s="3">
        <f t="shared" si="20"/>
        <v>2.4</v>
      </c>
      <c r="M72" s="3">
        <f t="shared" si="20"/>
        <v>2.4</v>
      </c>
      <c r="P72" s="14" t="s">
        <v>67</v>
      </c>
      <c r="Q72" s="10" t="str">
        <f t="shared" si="14"/>
        <v>ENERGISA    -PN</v>
      </c>
      <c r="R72" s="50">
        <f t="shared" si="15"/>
        <v>41645</v>
      </c>
      <c r="S72" s="6">
        <f t="shared" si="16"/>
        <v>2.4</v>
      </c>
      <c r="T72" s="6">
        <f t="shared" si="17"/>
        <v>2.4</v>
      </c>
      <c r="U72" s="5">
        <f t="shared" si="18"/>
        <v>2.4</v>
      </c>
      <c r="V72" s="5">
        <f t="shared" si="19"/>
        <v>2.4</v>
      </c>
    </row>
    <row r="73" spans="1:22">
      <c r="A73" s="36" t="str">
        <f>IF(Tabela1[[#This Row],[Código]]="IBOV","^BVSP",IF(Tabela1[[#This Row],[Código]]="","",CONCATENATE(LEFT(Tabela1[[#This Row],[Código]],6),".SA")))</f>
        <v>ENMA3B.SA</v>
      </c>
      <c r="C73" s="3" t="s">
        <v>157</v>
      </c>
      <c r="D73" s="3" t="s">
        <v>450</v>
      </c>
      <c r="E73" s="3" t="s">
        <v>582</v>
      </c>
      <c r="F73" s="3" t="s">
        <v>583</v>
      </c>
      <c r="G73" s="3" t="s">
        <v>450</v>
      </c>
      <c r="H73" s="20">
        <v>41645</v>
      </c>
      <c r="J73" s="3">
        <f t="shared" si="20"/>
        <v>14.01</v>
      </c>
      <c r="K73" s="3">
        <f t="shared" si="20"/>
        <v>14.88</v>
      </c>
      <c r="L73" s="3">
        <f t="shared" si="20"/>
        <v>14.9</v>
      </c>
      <c r="M73" s="3">
        <f t="shared" si="20"/>
        <v>14.01</v>
      </c>
      <c r="P73" s="14" t="s">
        <v>102</v>
      </c>
      <c r="Q73" s="10" t="str">
        <f t="shared" si="14"/>
        <v xml:space="preserve">CEMAR       -ON  </v>
      </c>
      <c r="R73" s="57">
        <f t="shared" si="15"/>
        <v>41645</v>
      </c>
      <c r="S73" s="5">
        <f t="shared" si="16"/>
        <v>14.01</v>
      </c>
      <c r="T73" s="5">
        <f t="shared" si="17"/>
        <v>14.88</v>
      </c>
      <c r="U73" s="5">
        <f t="shared" si="18"/>
        <v>14.9</v>
      </c>
      <c r="V73" s="5">
        <f t="shared" si="19"/>
        <v>14.01</v>
      </c>
    </row>
    <row r="74" spans="1:22">
      <c r="A74" s="36" t="str">
        <f>IF(Tabela1[[#This Row],[Código]]="IBOV","^BVSP",IF(Tabela1[[#This Row],[Código]]="","",CONCATENATE(LEFT(Tabela1[[#This Row],[Código]],6),".SA")))</f>
        <v>EQTL3.SA</v>
      </c>
      <c r="C74" s="3" t="s">
        <v>158</v>
      </c>
      <c r="D74" s="3" t="s">
        <v>584</v>
      </c>
      <c r="E74" s="3" t="s">
        <v>622</v>
      </c>
      <c r="F74" s="3" t="s">
        <v>585</v>
      </c>
      <c r="G74" s="3" t="s">
        <v>422</v>
      </c>
      <c r="H74" s="20">
        <v>41645</v>
      </c>
      <c r="J74" s="3">
        <f t="shared" si="20"/>
        <v>22.8</v>
      </c>
      <c r="K74" s="3">
        <f t="shared" si="20"/>
        <v>21.96</v>
      </c>
      <c r="L74" s="3">
        <f t="shared" si="20"/>
        <v>22.84</v>
      </c>
      <c r="M74" s="3">
        <f t="shared" si="20"/>
        <v>21.59</v>
      </c>
      <c r="P74" s="27" t="s">
        <v>35</v>
      </c>
      <c r="Q74" s="10" t="str">
        <f t="shared" si="14"/>
        <v xml:space="preserve">EQUATORIAL  -ON  </v>
      </c>
      <c r="R74" s="57">
        <f t="shared" si="15"/>
        <v>41645</v>
      </c>
      <c r="S74" s="5">
        <f t="shared" si="16"/>
        <v>22.8</v>
      </c>
      <c r="T74" s="5">
        <f t="shared" si="17"/>
        <v>21.96</v>
      </c>
      <c r="U74" s="5">
        <f t="shared" si="18"/>
        <v>22.84</v>
      </c>
      <c r="V74" s="5">
        <f t="shared" si="19"/>
        <v>21.59</v>
      </c>
    </row>
    <row r="75" spans="1:22">
      <c r="A75" s="36" t="str">
        <f>IF(Tabela1[[#This Row],[Código]]="IBOV","^BVSP",IF(Tabela1[[#This Row],[Código]]="","",CONCATENATE(LEFT(Tabela1[[#This Row],[Código]],6),".SA")))</f>
        <v>FESA3.SA</v>
      </c>
      <c r="C75" s="3" t="s">
        <v>279</v>
      </c>
      <c r="D75" s="3" t="s">
        <v>276</v>
      </c>
      <c r="E75" s="3" t="s">
        <v>276</v>
      </c>
      <c r="F75" s="3" t="s">
        <v>276</v>
      </c>
      <c r="G75" s="3" t="s">
        <v>276</v>
      </c>
      <c r="H75" s="20">
        <v>41645</v>
      </c>
      <c r="J75" s="3">
        <f t="shared" si="20"/>
        <v>19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277</v>
      </c>
      <c r="Q75" s="10" t="str">
        <f t="shared" si="14"/>
        <v xml:space="preserve">FERBASA     -ON  </v>
      </c>
      <c r="R75" s="57">
        <f t="shared" si="15"/>
        <v>41645</v>
      </c>
      <c r="S75" s="5">
        <f t="shared" si="16"/>
        <v>19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>
      <c r="A76" s="36" t="str">
        <f>IF(Tabela1[[#This Row],[Código]]="IBOV","^BVSP",IF(Tabela1[[#This Row],[Código]]="","",CONCATENATE(LEFT(Tabela1[[#This Row],[Código]],6),".SA")))</f>
        <v>FESA4.SA</v>
      </c>
      <c r="C76" s="3" t="s">
        <v>278</v>
      </c>
      <c r="D76" s="3" t="s">
        <v>586</v>
      </c>
      <c r="E76" s="3" t="s">
        <v>586</v>
      </c>
      <c r="F76" s="3" t="s">
        <v>586</v>
      </c>
      <c r="G76" s="3" t="s">
        <v>586</v>
      </c>
      <c r="H76" s="20">
        <v>41645</v>
      </c>
      <c r="J76" s="3">
        <f t="shared" si="20"/>
        <v>13.1</v>
      </c>
      <c r="K76" s="3">
        <f t="shared" si="20"/>
        <v>13.1</v>
      </c>
      <c r="L76" s="3">
        <f t="shared" si="20"/>
        <v>13.1</v>
      </c>
      <c r="M76" s="3">
        <f t="shared" si="20"/>
        <v>13.1</v>
      </c>
      <c r="P76" s="15" t="s">
        <v>83</v>
      </c>
      <c r="Q76" s="10" t="str">
        <f t="shared" si="14"/>
        <v xml:space="preserve">FERBASA     -PN  </v>
      </c>
      <c r="R76" s="57">
        <f t="shared" si="15"/>
        <v>41645</v>
      </c>
      <c r="S76" s="5">
        <f t="shared" si="16"/>
        <v>13.1</v>
      </c>
      <c r="T76" s="5">
        <f t="shared" si="17"/>
        <v>13.1</v>
      </c>
      <c r="U76" s="5">
        <f t="shared" si="18"/>
        <v>13.1</v>
      </c>
      <c r="V76" s="5">
        <f t="shared" si="19"/>
        <v>13.1</v>
      </c>
    </row>
    <row r="77" spans="1:22">
      <c r="A77" s="36" t="str">
        <f>IF(Tabela1[[#This Row],[Código]]="IBOV","^BVSP",IF(Tabela1[[#This Row],[Código]]="","",CONCATENATE(LEFT(Tabela1[[#This Row],[Código]],6),".SA")))</f>
        <v>GEPA3.SA</v>
      </c>
      <c r="C77" s="3" t="s">
        <v>587</v>
      </c>
      <c r="D77" s="3" t="s">
        <v>184</v>
      </c>
      <c r="E77" s="3" t="s">
        <v>184</v>
      </c>
      <c r="F77" s="3" t="s">
        <v>184</v>
      </c>
      <c r="G77" s="3" t="s">
        <v>184</v>
      </c>
      <c r="H77" s="20">
        <v>41645</v>
      </c>
      <c r="J77" s="3">
        <f t="shared" si="20"/>
        <v>62.04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183</v>
      </c>
      <c r="Q77" s="10" t="str">
        <f t="shared" si="14"/>
        <v>GER PARANAP -ON</v>
      </c>
      <c r="R77" s="57">
        <f t="shared" si="15"/>
        <v>41645</v>
      </c>
      <c r="S77" s="5">
        <f t="shared" si="16"/>
        <v>62.04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>
      <c r="A78" s="36" t="str">
        <f>IF(Tabela1[[#This Row],[Código]]="IBOV","^BVSP",IF(Tabela1[[#This Row],[Código]]="","",CONCATENATE(LEFT(Tabela1[[#This Row],[Código]],6),".SA")))</f>
        <v>GEPA4.SA</v>
      </c>
      <c r="C78" s="3" t="s">
        <v>588</v>
      </c>
      <c r="D78" s="3" t="s">
        <v>274</v>
      </c>
      <c r="E78" s="3" t="s">
        <v>275</v>
      </c>
      <c r="F78" s="3" t="s">
        <v>275</v>
      </c>
      <c r="G78" s="3" t="s">
        <v>274</v>
      </c>
      <c r="H78" s="20">
        <v>41645</v>
      </c>
      <c r="J78" s="3">
        <f t="shared" si="20"/>
        <v>58</v>
      </c>
      <c r="K78" s="3">
        <f t="shared" si="20"/>
        <v>61.99</v>
      </c>
      <c r="L78" s="3">
        <f t="shared" si="20"/>
        <v>61.99</v>
      </c>
      <c r="M78" s="3">
        <f t="shared" si="20"/>
        <v>58</v>
      </c>
      <c r="P78" s="27" t="s">
        <v>38</v>
      </c>
      <c r="Q78" s="10" t="str">
        <f t="shared" si="14"/>
        <v>GER PARANAP -PN</v>
      </c>
      <c r="R78" s="57">
        <f t="shared" si="15"/>
        <v>41645</v>
      </c>
      <c r="S78" s="5">
        <f t="shared" si="16"/>
        <v>58</v>
      </c>
      <c r="T78" s="5">
        <f t="shared" si="17"/>
        <v>61.99</v>
      </c>
      <c r="U78" s="5">
        <f t="shared" si="18"/>
        <v>61.99</v>
      </c>
      <c r="V78" s="5">
        <f t="shared" si="19"/>
        <v>58</v>
      </c>
    </row>
    <row r="79" spans="1:22">
      <c r="A79" s="36" t="str">
        <f>IF(Tabela1[[#This Row],[Código]]="IBOV","^BVSP",IF(Tabela1[[#This Row],[Código]]="","",CONCATENATE(LEFT(Tabela1[[#This Row],[Código]],6),".SA")))</f>
        <v>GETI3.SA</v>
      </c>
      <c r="C79" s="3" t="s">
        <v>159</v>
      </c>
      <c r="D79" s="3" t="s">
        <v>415</v>
      </c>
      <c r="E79" s="3" t="s">
        <v>773</v>
      </c>
      <c r="F79" s="3" t="s">
        <v>589</v>
      </c>
      <c r="G79" s="3" t="s">
        <v>774</v>
      </c>
      <c r="H79" s="20">
        <v>41645</v>
      </c>
      <c r="J79" s="3">
        <f t="shared" si="20"/>
        <v>17.760000000000002</v>
      </c>
      <c r="K79" s="3">
        <f t="shared" si="20"/>
        <v>17.63</v>
      </c>
      <c r="L79" s="3">
        <f t="shared" si="20"/>
        <v>17.86</v>
      </c>
      <c r="M79" s="3">
        <f t="shared" si="20"/>
        <v>17.59</v>
      </c>
      <c r="P79" s="27" t="s">
        <v>29</v>
      </c>
      <c r="Q79" s="10" t="str">
        <f t="shared" si="14"/>
        <v>AES TIETE   -ON</v>
      </c>
      <c r="R79" s="57">
        <f t="shared" si="15"/>
        <v>41645</v>
      </c>
      <c r="S79" s="5">
        <f t="shared" si="16"/>
        <v>17.760000000000002</v>
      </c>
      <c r="T79" s="5">
        <f t="shared" si="17"/>
        <v>17.63</v>
      </c>
      <c r="U79" s="5">
        <f t="shared" si="18"/>
        <v>17.86</v>
      </c>
      <c r="V79" s="5">
        <f t="shared" si="19"/>
        <v>17.59</v>
      </c>
    </row>
    <row r="80" spans="1:22">
      <c r="A80" s="36" t="str">
        <f>IF(Tabela1[[#This Row],[Código]]="IBOV","^BVSP",IF(Tabela1[[#This Row],[Código]]="","",CONCATENATE(LEFT(Tabela1[[#This Row],[Código]],6),".SA")))</f>
        <v>GETI4.SA</v>
      </c>
      <c r="C80" s="3" t="s">
        <v>160</v>
      </c>
      <c r="D80" s="3" t="s">
        <v>590</v>
      </c>
      <c r="E80" s="3" t="s">
        <v>590</v>
      </c>
      <c r="F80" s="3" t="s">
        <v>644</v>
      </c>
      <c r="G80" s="3" t="s">
        <v>775</v>
      </c>
      <c r="H80" s="20">
        <v>41645</v>
      </c>
      <c r="J80" s="3">
        <f t="shared" si="20"/>
        <v>19.2</v>
      </c>
      <c r="K80" s="3">
        <f t="shared" si="20"/>
        <v>19.2</v>
      </c>
      <c r="L80" s="3">
        <f t="shared" si="20"/>
        <v>19.45</v>
      </c>
      <c r="M80" s="3">
        <f t="shared" si="20"/>
        <v>19.079999999999998</v>
      </c>
      <c r="P80" s="27" t="s">
        <v>33</v>
      </c>
      <c r="Q80" s="10" t="str">
        <f t="shared" si="14"/>
        <v>AES TIETE   -PN</v>
      </c>
      <c r="R80" s="57">
        <f t="shared" si="15"/>
        <v>41645</v>
      </c>
      <c r="S80" s="5">
        <f t="shared" si="16"/>
        <v>19.2</v>
      </c>
      <c r="T80" s="5">
        <f t="shared" si="17"/>
        <v>19.2</v>
      </c>
      <c r="U80" s="5">
        <f t="shared" si="18"/>
        <v>19.45</v>
      </c>
      <c r="V80" s="5">
        <f t="shared" si="19"/>
        <v>19.079999999999998</v>
      </c>
    </row>
    <row r="81" spans="1:22">
      <c r="A81" s="36" t="str">
        <f>IF(Tabela1[[#This Row],[Código]]="IBOV","^BVSP",IF(Tabela1[[#This Row],[Código]]="","",CONCATENATE(LEFT(Tabela1[[#This Row],[Código]],6),".SA")))</f>
        <v>GTDP3B.SA</v>
      </c>
      <c r="C81" s="3" t="s">
        <v>197</v>
      </c>
      <c r="D81" s="3" t="s">
        <v>396</v>
      </c>
      <c r="E81" s="3" t="s">
        <v>396</v>
      </c>
      <c r="F81" s="3" t="s">
        <v>396</v>
      </c>
      <c r="G81" s="3" t="s">
        <v>396</v>
      </c>
      <c r="H81" s="20">
        <v>41645</v>
      </c>
      <c r="J81" s="3">
        <f t="shared" si="20"/>
        <v>0.13</v>
      </c>
      <c r="K81" s="3">
        <f t="shared" si="20"/>
        <v>0.13</v>
      </c>
      <c r="L81" s="3">
        <f t="shared" si="20"/>
        <v>0.13</v>
      </c>
      <c r="M81" s="3">
        <f t="shared" si="20"/>
        <v>0.13</v>
      </c>
      <c r="P81" s="14" t="s">
        <v>195</v>
      </c>
      <c r="Q81" s="10" t="str">
        <f t="shared" si="14"/>
        <v xml:space="preserve">GTD PART    -ON  </v>
      </c>
      <c r="R81" s="57">
        <f t="shared" si="15"/>
        <v>41645</v>
      </c>
      <c r="S81" s="5">
        <f t="shared" si="16"/>
        <v>0.13</v>
      </c>
      <c r="T81" s="5">
        <f t="shared" si="17"/>
        <v>0.13</v>
      </c>
      <c r="U81" s="5">
        <f t="shared" si="18"/>
        <v>0.13</v>
      </c>
      <c r="V81" s="5">
        <f t="shared" si="19"/>
        <v>0.13</v>
      </c>
    </row>
    <row r="82" spans="1:22">
      <c r="A82" s="36" t="str">
        <f>IF(Tabela1[[#This Row],[Código]]="IBOV","^BVSP",IF(Tabela1[[#This Row],[Código]]="","",CONCATENATE(LEFT(Tabela1[[#This Row],[Código]],6),".SA")))</f>
        <v>GTDP4B.SA</v>
      </c>
      <c r="C82" s="3" t="s">
        <v>198</v>
      </c>
      <c r="D82" s="3" t="s">
        <v>396</v>
      </c>
      <c r="E82" s="3" t="s">
        <v>591</v>
      </c>
      <c r="F82" s="3" t="s">
        <v>591</v>
      </c>
      <c r="G82" s="3" t="s">
        <v>504</v>
      </c>
      <c r="H82" s="20">
        <v>41645</v>
      </c>
      <c r="J82" s="3">
        <f t="shared" si="20"/>
        <v>0.13</v>
      </c>
      <c r="K82" s="3">
        <f t="shared" si="20"/>
        <v>0.15</v>
      </c>
      <c r="L82" s="3">
        <f t="shared" si="20"/>
        <v>0.15</v>
      </c>
      <c r="M82" s="3">
        <f t="shared" si="20"/>
        <v>0.12</v>
      </c>
      <c r="P82" s="14" t="s">
        <v>196</v>
      </c>
      <c r="Q82" s="10" t="str">
        <f t="shared" si="14"/>
        <v xml:space="preserve">GTD PART    -PN  </v>
      </c>
      <c r="R82" s="57">
        <f t="shared" si="15"/>
        <v>41645</v>
      </c>
      <c r="S82" s="5">
        <f t="shared" si="16"/>
        <v>0.13</v>
      </c>
      <c r="T82" s="5">
        <f t="shared" si="17"/>
        <v>0.15</v>
      </c>
      <c r="U82" s="5">
        <f t="shared" si="18"/>
        <v>0.15</v>
      </c>
      <c r="V82" s="5">
        <f t="shared" si="19"/>
        <v>0.12</v>
      </c>
    </row>
    <row r="83" spans="1:22">
      <c r="A83" s="36" t="str">
        <f>IF(Tabela1[[#This Row],[Código]]="IBOV","^BVSP",IF(Tabela1[[#This Row],[Código]]="","",CONCATENATE(LEFT(Tabela1[[#This Row],[Código]],6),".SA")))</f>
        <v>ITSA3.SA</v>
      </c>
      <c r="C83" s="3" t="s">
        <v>271</v>
      </c>
      <c r="D83" s="3" t="s">
        <v>416</v>
      </c>
      <c r="E83" s="3" t="s">
        <v>592</v>
      </c>
      <c r="F83" s="3" t="s">
        <v>426</v>
      </c>
      <c r="G83" s="3" t="s">
        <v>623</v>
      </c>
      <c r="H83" s="20">
        <v>41645</v>
      </c>
      <c r="J83" s="3">
        <f t="shared" si="20"/>
        <v>11.98</v>
      </c>
      <c r="K83" s="3">
        <f t="shared" si="20"/>
        <v>12</v>
      </c>
      <c r="L83" s="3">
        <f t="shared" si="20"/>
        <v>12.02</v>
      </c>
      <c r="M83" s="3">
        <f t="shared" si="20"/>
        <v>11.81</v>
      </c>
      <c r="P83" s="15" t="s">
        <v>270</v>
      </c>
      <c r="Q83" s="10" t="str">
        <f t="shared" si="14"/>
        <v xml:space="preserve">ITAUSA      -ON  </v>
      </c>
      <c r="R83" s="57">
        <f t="shared" si="15"/>
        <v>41645</v>
      </c>
      <c r="S83" s="5">
        <f t="shared" si="16"/>
        <v>11.98</v>
      </c>
      <c r="T83" s="5">
        <f t="shared" si="17"/>
        <v>12</v>
      </c>
      <c r="U83" s="5">
        <f t="shared" si="18"/>
        <v>12.02</v>
      </c>
      <c r="V83" s="5">
        <f t="shared" si="19"/>
        <v>11.81</v>
      </c>
    </row>
    <row r="84" spans="1:22">
      <c r="A84" s="36" t="str">
        <f>IF(Tabela1[[#This Row],[Código]]="IBOV","^BVSP",IF(Tabela1[[#This Row],[Código]]="","",CONCATENATE(LEFT(Tabela1[[#This Row],[Código]],6),".SA")))</f>
        <v>ITSA4.SA</v>
      </c>
      <c r="C84" s="3" t="s">
        <v>161</v>
      </c>
      <c r="D84" s="3" t="s">
        <v>419</v>
      </c>
      <c r="E84" s="3" t="s">
        <v>418</v>
      </c>
      <c r="F84" s="3" t="s">
        <v>776</v>
      </c>
      <c r="G84" s="3" t="s">
        <v>419</v>
      </c>
      <c r="H84" s="49">
        <v>41645</v>
      </c>
      <c r="J84" s="3">
        <f t="shared" si="20"/>
        <v>8.77</v>
      </c>
      <c r="K84" s="3">
        <f t="shared" si="20"/>
        <v>8.8699999999999992</v>
      </c>
      <c r="L84" s="3">
        <f t="shared" si="20"/>
        <v>8.91</v>
      </c>
      <c r="M84" s="3">
        <f t="shared" si="20"/>
        <v>8.77</v>
      </c>
      <c r="P84" s="15" t="s">
        <v>16</v>
      </c>
      <c r="Q84" s="10" t="str">
        <f t="shared" si="14"/>
        <v xml:space="preserve">ITAUSA      -PN  </v>
      </c>
      <c r="R84" s="57">
        <f t="shared" si="15"/>
        <v>41645</v>
      </c>
      <c r="S84" s="5">
        <f t="shared" si="16"/>
        <v>8.77</v>
      </c>
      <c r="T84" s="5">
        <f t="shared" si="17"/>
        <v>8.8699999999999992</v>
      </c>
      <c r="U84" s="5">
        <f t="shared" si="18"/>
        <v>8.91</v>
      </c>
      <c r="V84" s="5">
        <f t="shared" si="19"/>
        <v>8.77</v>
      </c>
    </row>
    <row r="85" spans="1:22">
      <c r="A85" s="36" t="str">
        <f>IF(Tabela1[[#This Row],[Código]]="IBOV","^BVSP",IF(Tabela1[[#This Row],[Código]]="","",CONCATENATE(LEFT(Tabela1[[#This Row],[Código]],6),".SA")))</f>
        <v>ITUB3.SA</v>
      </c>
      <c r="C85" s="3" t="s">
        <v>269</v>
      </c>
      <c r="D85" s="3" t="s">
        <v>593</v>
      </c>
      <c r="E85" s="3" t="s">
        <v>777</v>
      </c>
      <c r="F85" s="3" t="s">
        <v>420</v>
      </c>
      <c r="G85" s="3" t="s">
        <v>507</v>
      </c>
      <c r="H85" s="49">
        <v>41645</v>
      </c>
      <c r="J85" s="3">
        <f t="shared" si="20"/>
        <v>29.18</v>
      </c>
      <c r="K85" s="3">
        <f t="shared" si="20"/>
        <v>29.13</v>
      </c>
      <c r="L85" s="3">
        <f t="shared" si="20"/>
        <v>29.38</v>
      </c>
      <c r="M85" s="3">
        <f t="shared" si="20"/>
        <v>29</v>
      </c>
      <c r="P85" s="10" t="s">
        <v>268</v>
      </c>
      <c r="Q85" s="10" t="str">
        <f t="shared" si="14"/>
        <v xml:space="preserve">ITAUUNIBANCO-ON  </v>
      </c>
      <c r="R85" s="57">
        <f t="shared" si="15"/>
        <v>41645</v>
      </c>
      <c r="S85" s="5">
        <f t="shared" si="16"/>
        <v>29.18</v>
      </c>
      <c r="T85" s="5">
        <f t="shared" si="17"/>
        <v>29.13</v>
      </c>
      <c r="U85" s="5">
        <f t="shared" si="18"/>
        <v>29.38</v>
      </c>
      <c r="V85" s="5">
        <f t="shared" si="19"/>
        <v>29</v>
      </c>
    </row>
    <row r="86" spans="1:22">
      <c r="A86" s="36" t="str">
        <f>IF(Tabela1[[#This Row],[Código]]="IBOV","^BVSP",IF(Tabela1[[#This Row],[Código]]="","",CONCATENATE(LEFT(Tabela1[[#This Row],[Código]],6),".SA")))</f>
        <v>ITUB4.SA</v>
      </c>
      <c r="C86" s="3" t="s">
        <v>162</v>
      </c>
      <c r="D86" s="3" t="s">
        <v>594</v>
      </c>
      <c r="E86" s="3" t="s">
        <v>645</v>
      </c>
      <c r="F86" s="3" t="s">
        <v>624</v>
      </c>
      <c r="G86" s="3" t="s">
        <v>595</v>
      </c>
      <c r="H86" s="49">
        <v>41645</v>
      </c>
      <c r="J86" s="3">
        <f t="shared" si="20"/>
        <v>31.38</v>
      </c>
      <c r="K86" s="3">
        <f t="shared" si="20"/>
        <v>31.64</v>
      </c>
      <c r="L86" s="3">
        <f t="shared" si="20"/>
        <v>31.69</v>
      </c>
      <c r="M86" s="3">
        <f t="shared" si="20"/>
        <v>31.34</v>
      </c>
      <c r="P86" s="10" t="s">
        <v>85</v>
      </c>
      <c r="Q86" s="10" t="str">
        <f t="shared" si="14"/>
        <v xml:space="preserve">ITAUUNIBANCO-PN  </v>
      </c>
      <c r="R86" s="57">
        <f t="shared" si="15"/>
        <v>41645</v>
      </c>
      <c r="S86" s="5">
        <f t="shared" si="16"/>
        <v>31.38</v>
      </c>
      <c r="T86" s="5">
        <f t="shared" si="17"/>
        <v>31.64</v>
      </c>
      <c r="U86" s="5">
        <f t="shared" si="18"/>
        <v>31.69</v>
      </c>
      <c r="V86" s="5">
        <f t="shared" si="19"/>
        <v>31.34</v>
      </c>
    </row>
    <row r="87" spans="1:22">
      <c r="A87" s="36" t="str">
        <f>IF(Tabela1[[#This Row],[Código]]="IBOV","^BVSP",IF(Tabela1[[#This Row],[Código]]="","",CONCATENATE(LEFT(Tabela1[[#This Row],[Código]],6),".SA")))</f>
        <v>KLBN3.SA</v>
      </c>
      <c r="C87" s="3" t="s">
        <v>212</v>
      </c>
      <c r="D87" s="3" t="s">
        <v>153</v>
      </c>
      <c r="E87" s="3" t="s">
        <v>153</v>
      </c>
      <c r="F87" s="3" t="s">
        <v>153</v>
      </c>
      <c r="G87" s="3" t="s">
        <v>153</v>
      </c>
      <c r="H87" s="49">
        <v>41645</v>
      </c>
      <c r="J87" s="3">
        <f t="shared" si="20"/>
        <v>11</v>
      </c>
      <c r="K87" s="3">
        <f t="shared" si="20"/>
        <v>11</v>
      </c>
      <c r="L87" s="3">
        <f t="shared" si="20"/>
        <v>11</v>
      </c>
      <c r="M87" s="3">
        <f t="shared" si="20"/>
        <v>11</v>
      </c>
      <c r="P87" s="15" t="s">
        <v>211</v>
      </c>
      <c r="Q87" s="10" t="str">
        <f t="shared" si="14"/>
        <v xml:space="preserve">KLABIN S/A  -ON  </v>
      </c>
      <c r="R87" s="57">
        <f t="shared" si="15"/>
        <v>41645</v>
      </c>
      <c r="S87" s="5">
        <f t="shared" si="16"/>
        <v>11</v>
      </c>
      <c r="T87" s="5">
        <f t="shared" si="17"/>
        <v>11</v>
      </c>
      <c r="U87" s="5">
        <f t="shared" si="18"/>
        <v>11</v>
      </c>
      <c r="V87" s="5">
        <f t="shared" si="19"/>
        <v>11</v>
      </c>
    </row>
    <row r="88" spans="1:22">
      <c r="A88" s="36" t="str">
        <f>IF(Tabela1[[#This Row],[Código]]="IBOV","^BVSP",IF(Tabela1[[#This Row],[Código]]="","",CONCATENATE(LEFT(Tabela1[[#This Row],[Código]],6),".SA")))</f>
        <v>KLBN4.SA</v>
      </c>
      <c r="C88" s="3" t="s">
        <v>163</v>
      </c>
      <c r="D88" s="3" t="s">
        <v>421</v>
      </c>
      <c r="E88" s="3" t="s">
        <v>778</v>
      </c>
      <c r="F88" s="3" t="s">
        <v>505</v>
      </c>
      <c r="G88" s="3" t="s">
        <v>596</v>
      </c>
      <c r="H88" s="49">
        <v>41645</v>
      </c>
      <c r="J88" s="3">
        <f t="shared" si="20"/>
        <v>11.91</v>
      </c>
      <c r="K88" s="3">
        <f t="shared" si="20"/>
        <v>11.93</v>
      </c>
      <c r="L88" s="3">
        <f t="shared" si="20"/>
        <v>12.08</v>
      </c>
      <c r="M88" s="3">
        <f t="shared" si="20"/>
        <v>11.8</v>
      </c>
      <c r="P88" s="15" t="s">
        <v>55</v>
      </c>
      <c r="Q88" s="10" t="str">
        <f t="shared" si="14"/>
        <v xml:space="preserve">KLABIN S/A  -PN  </v>
      </c>
      <c r="R88" s="57">
        <f t="shared" si="15"/>
        <v>41645</v>
      </c>
      <c r="S88" s="5">
        <f t="shared" si="16"/>
        <v>11.91</v>
      </c>
      <c r="T88" s="5">
        <f t="shared" si="17"/>
        <v>11.93</v>
      </c>
      <c r="U88" s="5">
        <f t="shared" si="18"/>
        <v>12.08</v>
      </c>
      <c r="V88" s="5">
        <f t="shared" si="19"/>
        <v>11.8</v>
      </c>
    </row>
    <row r="89" spans="1:22">
      <c r="A89" s="36" t="str">
        <f>IF(Tabela1[[#This Row],[Código]]="IBOV","^BVSP",IF(Tabela1[[#This Row],[Código]]="","",CONCATENATE(LEFT(Tabela1[[#This Row],[Código]],6),".SA")))</f>
        <v>LIGT3.SA</v>
      </c>
      <c r="C89" s="3" t="s">
        <v>164</v>
      </c>
      <c r="D89" s="3" t="s">
        <v>597</v>
      </c>
      <c r="E89" s="3" t="s">
        <v>779</v>
      </c>
      <c r="F89" s="3" t="s">
        <v>597</v>
      </c>
      <c r="G89" s="3" t="s">
        <v>780</v>
      </c>
      <c r="H89" s="49">
        <v>41645</v>
      </c>
      <c r="J89" s="3">
        <f t="shared" si="20"/>
        <v>22.28</v>
      </c>
      <c r="K89" s="3">
        <f t="shared" si="20"/>
        <v>21.78</v>
      </c>
      <c r="L89" s="3">
        <f t="shared" si="20"/>
        <v>22.28</v>
      </c>
      <c r="M89" s="3">
        <f t="shared" si="20"/>
        <v>21.66</v>
      </c>
      <c r="P89" s="47" t="s">
        <v>56</v>
      </c>
      <c r="Q89" s="10" t="str">
        <f t="shared" si="14"/>
        <v xml:space="preserve">LIGHT S/A   -ON  </v>
      </c>
      <c r="R89" s="57">
        <f t="shared" si="15"/>
        <v>41645</v>
      </c>
      <c r="S89" s="5">
        <f t="shared" si="16"/>
        <v>22.28</v>
      </c>
      <c r="T89" s="5">
        <f t="shared" si="17"/>
        <v>21.78</v>
      </c>
      <c r="U89" s="5">
        <f t="shared" si="18"/>
        <v>22.28</v>
      </c>
      <c r="V89" s="5">
        <f t="shared" si="19"/>
        <v>21.66</v>
      </c>
    </row>
    <row r="90" spans="1:22">
      <c r="A90" s="36" t="str">
        <f>IF(Tabela1[[#This Row],[Código]]="IBOV","^BVSP",IF(Tabela1[[#This Row],[Código]]="","",CONCATENATE(LEFT(Tabela1[[#This Row],[Código]],6),".SA")))</f>
        <v>LIPR3.SA</v>
      </c>
      <c r="C90" s="3" t="s">
        <v>186</v>
      </c>
      <c r="D90" s="3" t="s">
        <v>187</v>
      </c>
      <c r="E90" s="3" t="s">
        <v>506</v>
      </c>
      <c r="F90" s="3" t="s">
        <v>506</v>
      </c>
      <c r="G90" s="3" t="s">
        <v>187</v>
      </c>
      <c r="H90" s="49">
        <v>41645</v>
      </c>
      <c r="J90" s="3">
        <f t="shared" si="20"/>
        <v>49.45</v>
      </c>
      <c r="K90" s="3">
        <f t="shared" si="20"/>
        <v>49.6</v>
      </c>
      <c r="L90" s="3">
        <f t="shared" si="20"/>
        <v>49.6</v>
      </c>
      <c r="M90" s="3">
        <f t="shared" si="20"/>
        <v>49.45</v>
      </c>
      <c r="P90" s="14" t="s">
        <v>185</v>
      </c>
      <c r="Q90" s="10" t="str">
        <f t="shared" si="14"/>
        <v>ELETROPAR   -ON</v>
      </c>
      <c r="R90" s="57">
        <f t="shared" si="15"/>
        <v>41645</v>
      </c>
      <c r="S90" s="5">
        <f t="shared" si="16"/>
        <v>49.45</v>
      </c>
      <c r="T90" s="5">
        <f t="shared" si="17"/>
        <v>49.6</v>
      </c>
      <c r="U90" s="5">
        <f t="shared" si="18"/>
        <v>49.6</v>
      </c>
      <c r="V90" s="5">
        <f t="shared" si="19"/>
        <v>49.45</v>
      </c>
    </row>
    <row r="91" spans="1:22">
      <c r="A91" s="36" t="str">
        <f>IF(Tabela1[[#This Row],[Código]]="IBOV","^BVSP",IF(Tabela1[[#This Row],[Código]]="","",CONCATENATE(LEFT(Tabela1[[#This Row],[Código]],6),".SA")))</f>
        <v>PINE4.SA</v>
      </c>
      <c r="C91" s="3" t="s">
        <v>165</v>
      </c>
      <c r="D91" s="3" t="s">
        <v>599</v>
      </c>
      <c r="E91" s="3" t="s">
        <v>600</v>
      </c>
      <c r="F91" s="3" t="s">
        <v>601</v>
      </c>
      <c r="G91" s="3" t="s">
        <v>320</v>
      </c>
      <c r="H91" s="49">
        <v>41645</v>
      </c>
      <c r="J91" s="3">
        <f t="shared" si="20"/>
        <v>10.08</v>
      </c>
      <c r="K91" s="3">
        <f t="shared" si="20"/>
        <v>10.199999999999999</v>
      </c>
      <c r="L91" s="3">
        <f t="shared" si="20"/>
        <v>10.25</v>
      </c>
      <c r="M91" s="3">
        <f t="shared" si="20"/>
        <v>10</v>
      </c>
      <c r="P91" s="10" t="s">
        <v>78</v>
      </c>
      <c r="Q91" s="10" t="str">
        <f t="shared" si="14"/>
        <v xml:space="preserve">PINE        -PN  </v>
      </c>
      <c r="R91" s="57">
        <f t="shared" si="15"/>
        <v>41645</v>
      </c>
      <c r="S91" s="5">
        <f t="shared" si="16"/>
        <v>10.08</v>
      </c>
      <c r="T91" s="5">
        <f t="shared" si="17"/>
        <v>10.199999999999999</v>
      </c>
      <c r="U91" s="5">
        <f t="shared" si="18"/>
        <v>10.25</v>
      </c>
      <c r="V91" s="5">
        <f t="shared" si="19"/>
        <v>10</v>
      </c>
    </row>
    <row r="92" spans="1:22">
      <c r="A92" s="36" t="str">
        <f>IF(Tabela1[[#This Row],[Código]]="IBOV","^BVSP",IF(Tabela1[[#This Row],[Código]]="","",CONCATENATE(LEFT(Tabela1[[#This Row],[Código]],6),".SA")))</f>
        <v>PRBC4.SA</v>
      </c>
      <c r="C92" s="3" t="s">
        <v>166</v>
      </c>
      <c r="D92" s="3" t="s">
        <v>449</v>
      </c>
      <c r="E92" s="3" t="s">
        <v>781</v>
      </c>
      <c r="F92" s="3" t="s">
        <v>625</v>
      </c>
      <c r="G92" s="3" t="s">
        <v>602</v>
      </c>
      <c r="H92" s="49">
        <v>41645</v>
      </c>
      <c r="J92" s="3">
        <f t="shared" si="20"/>
        <v>11.37</v>
      </c>
      <c r="K92" s="3">
        <f t="shared" si="20"/>
        <v>11.4</v>
      </c>
      <c r="L92" s="3">
        <f t="shared" si="20"/>
        <v>11.68</v>
      </c>
      <c r="M92" s="3">
        <f t="shared" si="20"/>
        <v>11.35</v>
      </c>
      <c r="P92" s="16" t="s">
        <v>87</v>
      </c>
      <c r="Q92" s="10" t="str">
        <f t="shared" si="14"/>
        <v xml:space="preserve">PARANA      -PN  </v>
      </c>
      <c r="R92" s="57">
        <f t="shared" si="15"/>
        <v>41645</v>
      </c>
      <c r="S92" s="5">
        <f t="shared" si="16"/>
        <v>11.37</v>
      </c>
      <c r="T92" s="5">
        <f t="shared" si="17"/>
        <v>11.4</v>
      </c>
      <c r="U92" s="5">
        <f t="shared" si="18"/>
        <v>11.68</v>
      </c>
      <c r="V92" s="5">
        <f t="shared" si="19"/>
        <v>11.35</v>
      </c>
    </row>
    <row r="93" spans="1:22">
      <c r="A93" s="36" t="str">
        <f>IF(Tabela1[[#This Row],[Código]]="IBOV","^BVSP",IF(Tabela1[[#This Row],[Código]]="","",CONCATENATE(LEFT(Tabela1[[#This Row],[Código]],6),".SA")))</f>
        <v>PSSA3.SA</v>
      </c>
      <c r="C93" s="3" t="s">
        <v>273</v>
      </c>
      <c r="D93" s="3" t="s">
        <v>603</v>
      </c>
      <c r="E93" s="3" t="s">
        <v>782</v>
      </c>
      <c r="F93" s="3" t="s">
        <v>603</v>
      </c>
      <c r="G93" s="3" t="s">
        <v>783</v>
      </c>
      <c r="H93" s="49">
        <v>41645</v>
      </c>
      <c r="J93" s="3">
        <f t="shared" si="20"/>
        <v>29.57</v>
      </c>
      <c r="K93" s="3">
        <f t="shared" si="20"/>
        <v>28.89</v>
      </c>
      <c r="L93" s="3">
        <f t="shared" si="20"/>
        <v>29.57</v>
      </c>
      <c r="M93" s="3">
        <f t="shared" si="20"/>
        <v>28.61</v>
      </c>
      <c r="P93" s="16" t="s">
        <v>272</v>
      </c>
      <c r="Q93" s="10" t="str">
        <f t="shared" si="14"/>
        <v xml:space="preserve">PORTO SEGURO-ON  </v>
      </c>
      <c r="R93" s="57">
        <f t="shared" si="15"/>
        <v>41645</v>
      </c>
      <c r="S93" s="5">
        <f t="shared" si="16"/>
        <v>29.57</v>
      </c>
      <c r="T93" s="5">
        <f t="shared" si="17"/>
        <v>28.89</v>
      </c>
      <c r="U93" s="5">
        <f t="shared" si="18"/>
        <v>29.57</v>
      </c>
      <c r="V93" s="5">
        <f t="shared" si="19"/>
        <v>28.61</v>
      </c>
    </row>
    <row r="94" spans="1:22">
      <c r="A94" s="36" t="str">
        <f>IF(Tabela1[[#This Row],[Código]]="IBOV","^BVSP",IF(Tabela1[[#This Row],[Código]]="","",CONCATENATE(LEFT(Tabela1[[#This Row],[Código]],6),".SA")))</f>
        <v>RANI3.SA</v>
      </c>
      <c r="C94" s="3" t="s">
        <v>209</v>
      </c>
      <c r="D94" s="3" t="s">
        <v>604</v>
      </c>
      <c r="E94" s="3" t="s">
        <v>604</v>
      </c>
      <c r="F94" s="3" t="s">
        <v>604</v>
      </c>
      <c r="G94" s="3" t="s">
        <v>604</v>
      </c>
      <c r="H94" s="49">
        <v>41645</v>
      </c>
      <c r="J94" s="3">
        <f t="shared" si="20"/>
        <v>3.2</v>
      </c>
      <c r="K94" s="3">
        <f t="shared" si="20"/>
        <v>3.2</v>
      </c>
      <c r="L94" s="3">
        <f t="shared" si="20"/>
        <v>3.2</v>
      </c>
      <c r="M94" s="3">
        <f t="shared" si="20"/>
        <v>3.2</v>
      </c>
      <c r="P94" s="14" t="s">
        <v>207</v>
      </c>
      <c r="Q94" s="10" t="str">
        <f t="shared" si="14"/>
        <v>CELUL IRANI -ON</v>
      </c>
      <c r="R94" s="57">
        <f t="shared" si="15"/>
        <v>41645</v>
      </c>
      <c r="S94" s="5">
        <f t="shared" si="16"/>
        <v>3.2</v>
      </c>
      <c r="T94" s="5">
        <f t="shared" si="17"/>
        <v>3.2</v>
      </c>
      <c r="U94" s="5">
        <f t="shared" si="18"/>
        <v>3.2</v>
      </c>
      <c r="V94" s="5">
        <f t="shared" si="19"/>
        <v>3.2</v>
      </c>
    </row>
    <row r="95" spans="1:22">
      <c r="A95" s="36" t="str">
        <f>IF(Tabela1[[#This Row],[Código]]="IBOV","^BVSP",IF(Tabela1[[#This Row],[Código]]="","",CONCATENATE(LEFT(Tabela1[[#This Row],[Código]],6),".SA")))</f>
        <v>RANI4.SA</v>
      </c>
      <c r="C95" s="3" t="s">
        <v>210</v>
      </c>
      <c r="D95" s="3" t="s">
        <v>397</v>
      </c>
      <c r="E95" s="3" t="s">
        <v>397</v>
      </c>
      <c r="F95" s="3" t="s">
        <v>397</v>
      </c>
      <c r="G95" s="3" t="s">
        <v>397</v>
      </c>
      <c r="H95" s="49">
        <v>41645</v>
      </c>
      <c r="J95" s="3">
        <f t="shared" si="20"/>
        <v>3.24</v>
      </c>
      <c r="K95" s="3">
        <f t="shared" si="20"/>
        <v>3.24</v>
      </c>
      <c r="L95" s="3">
        <f t="shared" si="20"/>
        <v>3.24</v>
      </c>
      <c r="M95" s="3">
        <f t="shared" si="20"/>
        <v>3.24</v>
      </c>
      <c r="P95" s="14" t="s">
        <v>208</v>
      </c>
      <c r="Q95" s="10" t="str">
        <f t="shared" si="14"/>
        <v>CELUL IRANI -PN</v>
      </c>
      <c r="R95" s="57">
        <f t="shared" si="15"/>
        <v>41645</v>
      </c>
      <c r="S95" s="5">
        <f t="shared" si="16"/>
        <v>3.24</v>
      </c>
      <c r="T95" s="5">
        <f t="shared" si="17"/>
        <v>3.24</v>
      </c>
      <c r="U95" s="5">
        <f t="shared" si="18"/>
        <v>3.24</v>
      </c>
      <c r="V95" s="5">
        <f t="shared" si="19"/>
        <v>3.24</v>
      </c>
    </row>
    <row r="96" spans="1:22">
      <c r="A96" s="36" t="str">
        <f>IF(Tabela1[[#This Row],[Código]]="IBOV","^BVSP",IF(Tabela1[[#This Row],[Código]]="","",CONCATENATE(LEFT(Tabela1[[#This Row],[Código]],6),".SA")))</f>
        <v>RDTR3.SA</v>
      </c>
      <c r="C96" s="3" t="s">
        <v>167</v>
      </c>
      <c r="D96" s="3" t="s">
        <v>404</v>
      </c>
      <c r="E96" s="3" t="s">
        <v>404</v>
      </c>
      <c r="F96" s="3" t="s">
        <v>404</v>
      </c>
      <c r="G96" s="3" t="s">
        <v>404</v>
      </c>
      <c r="H96" s="57">
        <v>41645</v>
      </c>
      <c r="J96" s="3">
        <f t="shared" si="20"/>
        <v>5.95</v>
      </c>
      <c r="K96" s="3">
        <f t="shared" si="20"/>
        <v>5.95</v>
      </c>
      <c r="L96" s="3">
        <f t="shared" si="20"/>
        <v>5.95</v>
      </c>
      <c r="M96" s="3">
        <f t="shared" si="20"/>
        <v>5.95</v>
      </c>
      <c r="P96" s="14" t="s">
        <v>68</v>
      </c>
      <c r="Q96" s="10" t="str">
        <f t="shared" si="14"/>
        <v>REDENTOR    -ON</v>
      </c>
      <c r="R96" s="57">
        <f t="shared" si="15"/>
        <v>41645</v>
      </c>
      <c r="S96" s="5">
        <f t="shared" si="16"/>
        <v>5.95</v>
      </c>
      <c r="T96" s="5">
        <f t="shared" si="17"/>
        <v>5.95</v>
      </c>
      <c r="U96" s="5">
        <f t="shared" si="18"/>
        <v>5.95</v>
      </c>
      <c r="V96" s="5">
        <f t="shared" si="19"/>
        <v>5.95</v>
      </c>
    </row>
    <row r="97" spans="1:22">
      <c r="A97" s="36" t="str">
        <f>IF(Tabela1[[#This Row],[Código]]="IBOV","^BVSP",IF(Tabela1[[#This Row],[Código]]="","",CONCATENATE(LEFT(Tabela1[[#This Row],[Código]],6),".SA")))</f>
        <v>RPAD3.SA</v>
      </c>
      <c r="C97" s="3" t="s">
        <v>218</v>
      </c>
      <c r="D97" s="3" t="s">
        <v>219</v>
      </c>
      <c r="E97" s="3" t="s">
        <v>219</v>
      </c>
      <c r="F97" s="3" t="s">
        <v>219</v>
      </c>
      <c r="G97" s="3" t="s">
        <v>219</v>
      </c>
      <c r="H97" s="57">
        <v>41645</v>
      </c>
      <c r="J97" s="3">
        <f t="shared" si="20"/>
        <v>3.08</v>
      </c>
      <c r="K97" s="3">
        <f t="shared" si="20"/>
        <v>3.08</v>
      </c>
      <c r="L97" s="3">
        <f t="shared" si="20"/>
        <v>3.08</v>
      </c>
      <c r="M97" s="3">
        <f t="shared" si="20"/>
        <v>3.08</v>
      </c>
      <c r="P97" s="15" t="s">
        <v>216</v>
      </c>
      <c r="Q97" s="10" t="str">
        <f t="shared" si="14"/>
        <v>ALFA HOLDING-ON</v>
      </c>
      <c r="R97" s="57">
        <f t="shared" si="15"/>
        <v>41645</v>
      </c>
      <c r="S97" s="5">
        <f t="shared" si="16"/>
        <v>3.08</v>
      </c>
      <c r="T97" s="5">
        <f t="shared" si="17"/>
        <v>3.08</v>
      </c>
      <c r="U97" s="5">
        <f t="shared" si="18"/>
        <v>3.08</v>
      </c>
      <c r="V97" s="5">
        <f t="shared" si="19"/>
        <v>3.08</v>
      </c>
    </row>
    <row r="98" spans="1:22">
      <c r="A98" s="36" t="str">
        <f>IF(Tabela1[[#This Row],[Código]]="IBOV","^BVSP",IF(Tabela1[[#This Row],[Código]]="","",CONCATENATE(LEFT(Tabela1[[#This Row],[Código]],6),".SA")))</f>
        <v>RPAD5.SA</v>
      </c>
      <c r="C98" s="3" t="s">
        <v>168</v>
      </c>
      <c r="D98" s="3" t="s">
        <v>292</v>
      </c>
      <c r="E98" s="3" t="s">
        <v>292</v>
      </c>
      <c r="F98" s="3" t="s">
        <v>292</v>
      </c>
      <c r="G98" s="3" t="s">
        <v>292</v>
      </c>
      <c r="H98" s="57">
        <v>41645</v>
      </c>
      <c r="J98" s="3">
        <f t="shared" si="20"/>
        <v>6.89</v>
      </c>
      <c r="K98" s="3">
        <f t="shared" si="20"/>
        <v>6.89</v>
      </c>
      <c r="L98" s="3">
        <f t="shared" si="20"/>
        <v>6.89</v>
      </c>
      <c r="M98" s="3">
        <f t="shared" si="20"/>
        <v>6.89</v>
      </c>
      <c r="P98" s="15" t="s">
        <v>80</v>
      </c>
      <c r="Q98" s="10" t="str">
        <f t="shared" si="14"/>
        <v>ALFA HOLDING-PNA</v>
      </c>
      <c r="R98" s="57">
        <f t="shared" si="15"/>
        <v>41645</v>
      </c>
      <c r="S98" s="5">
        <f t="shared" si="16"/>
        <v>6.89</v>
      </c>
      <c r="T98" s="5">
        <f t="shared" si="17"/>
        <v>6.89</v>
      </c>
      <c r="U98" s="5">
        <f t="shared" si="18"/>
        <v>6.89</v>
      </c>
      <c r="V98" s="5">
        <f t="shared" si="19"/>
        <v>6.89</v>
      </c>
    </row>
    <row r="99" spans="1:22">
      <c r="A99" s="36" t="str">
        <f>IF(Tabela1[[#This Row],[Código]]="IBOV","^BVSP",IF(Tabela1[[#This Row],[Código]]="","",CONCATENATE(LEFT(Tabela1[[#This Row],[Código]],6),".SA")))</f>
        <v>RPAD6.SA</v>
      </c>
      <c r="C99" s="3" t="s">
        <v>220</v>
      </c>
      <c r="D99" s="3" t="s">
        <v>283</v>
      </c>
      <c r="E99" s="3" t="s">
        <v>283</v>
      </c>
      <c r="F99" s="3" t="s">
        <v>283</v>
      </c>
      <c r="G99" s="3" t="s">
        <v>283</v>
      </c>
      <c r="H99" s="57">
        <v>41645</v>
      </c>
      <c r="J99" s="3">
        <f t="shared" si="20"/>
        <v>2.83</v>
      </c>
      <c r="K99" s="3">
        <f t="shared" si="20"/>
        <v>2.83</v>
      </c>
      <c r="L99" s="3">
        <f t="shared" si="20"/>
        <v>2.83</v>
      </c>
      <c r="M99" s="3">
        <f t="shared" si="20"/>
        <v>2.83</v>
      </c>
      <c r="P99" s="15" t="s">
        <v>217</v>
      </c>
      <c r="Q99" s="10" t="str">
        <f t="shared" si="14"/>
        <v>ALFA HOLDING-PNB</v>
      </c>
      <c r="R99" s="57">
        <f t="shared" si="15"/>
        <v>41645</v>
      </c>
      <c r="S99" s="5">
        <f t="shared" si="16"/>
        <v>2.83</v>
      </c>
      <c r="T99" s="5">
        <f t="shared" si="17"/>
        <v>2.83</v>
      </c>
      <c r="U99" s="5">
        <f t="shared" si="18"/>
        <v>2.83</v>
      </c>
      <c r="V99" s="5">
        <f t="shared" si="19"/>
        <v>2.83</v>
      </c>
    </row>
    <row r="100" spans="1:22">
      <c r="A100" s="36" t="str">
        <f>IF(Tabela1[[#This Row],[Código]]="IBOV","^BVSP",IF(Tabela1[[#This Row],[Código]]="","",CONCATENATE(LEFT(Tabela1[[#This Row],[Código]],6),".SA")))</f>
        <v>SAPR3.SA</v>
      </c>
      <c r="C100" s="3" t="s">
        <v>605</v>
      </c>
      <c r="D100" s="3" t="s">
        <v>206</v>
      </c>
      <c r="E100" s="3" t="s">
        <v>206</v>
      </c>
      <c r="F100" s="3" t="s">
        <v>206</v>
      </c>
      <c r="G100" s="3" t="s">
        <v>206</v>
      </c>
      <c r="H100" s="57">
        <v>41645</v>
      </c>
      <c r="J100" s="3">
        <f t="shared" si="20"/>
        <v>8.19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205</v>
      </c>
      <c r="Q100" s="10" t="str">
        <f t="shared" si="14"/>
        <v xml:space="preserve">SANEPAR     -ON  </v>
      </c>
      <c r="R100" s="57">
        <f t="shared" si="15"/>
        <v>41645</v>
      </c>
      <c r="S100" s="5">
        <f t="shared" si="16"/>
        <v>8.19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>
      <c r="A101" s="36" t="str">
        <f>IF(Tabela1[[#This Row],[Código]]="IBOV","^BVSP",IF(Tabela1[[#This Row],[Código]]="","",CONCATENATE(LEFT(Tabela1[[#This Row],[Código]],6),".SA")))</f>
        <v>SAPR4.SA</v>
      </c>
      <c r="C101" s="3" t="s">
        <v>606</v>
      </c>
      <c r="D101" s="3" t="s">
        <v>607</v>
      </c>
      <c r="E101" s="3" t="s">
        <v>405</v>
      </c>
      <c r="F101" s="3" t="s">
        <v>646</v>
      </c>
      <c r="G101" s="3" t="s">
        <v>626</v>
      </c>
      <c r="H101" s="57">
        <v>41645</v>
      </c>
      <c r="J101" s="3">
        <f t="shared" si="20"/>
        <v>6.71</v>
      </c>
      <c r="K101" s="3">
        <f t="shared" si="20"/>
        <v>6.8</v>
      </c>
      <c r="L101" s="3">
        <f t="shared" si="20"/>
        <v>6.97</v>
      </c>
      <c r="M101" s="3">
        <f t="shared" si="20"/>
        <v>6.64</v>
      </c>
      <c r="P101" s="14" t="s">
        <v>69</v>
      </c>
      <c r="Q101" s="10" t="str">
        <f t="shared" si="14"/>
        <v xml:space="preserve">SANEPAR     -PN  </v>
      </c>
      <c r="R101" s="57">
        <f t="shared" si="15"/>
        <v>41645</v>
      </c>
      <c r="S101" s="5">
        <f t="shared" si="16"/>
        <v>6.71</v>
      </c>
      <c r="T101" s="5">
        <f t="shared" si="17"/>
        <v>6.8</v>
      </c>
      <c r="U101" s="5">
        <f t="shared" si="18"/>
        <v>6.97</v>
      </c>
      <c r="V101" s="5">
        <f t="shared" si="19"/>
        <v>6.64</v>
      </c>
    </row>
    <row r="102" spans="1:22">
      <c r="A102" s="36" t="str">
        <f>IF(Tabela1[[#This Row],[Código]]="IBOV","^BVSP",IF(Tabela1[[#This Row],[Código]]="","",CONCATENATE(LEFT(Tabela1[[#This Row],[Código]],6),".SA")))</f>
        <v>SBSP3.SA</v>
      </c>
      <c r="C102" s="3" t="s">
        <v>169</v>
      </c>
      <c r="D102" s="3" t="s">
        <v>608</v>
      </c>
      <c r="E102" s="3" t="s">
        <v>784</v>
      </c>
      <c r="F102" s="3" t="s">
        <v>609</v>
      </c>
      <c r="G102" s="3" t="s">
        <v>785</v>
      </c>
      <c r="H102" s="57">
        <v>41645</v>
      </c>
      <c r="J102" s="3">
        <f t="shared" si="20"/>
        <v>25.75</v>
      </c>
      <c r="K102" s="3">
        <f t="shared" si="20"/>
        <v>25.26</v>
      </c>
      <c r="L102" s="3">
        <f t="shared" si="20"/>
        <v>25.93</v>
      </c>
      <c r="M102" s="3">
        <f t="shared" si="20"/>
        <v>25.11</v>
      </c>
      <c r="P102" s="14" t="s">
        <v>36</v>
      </c>
      <c r="Q102" s="10" t="str">
        <f t="shared" si="14"/>
        <v xml:space="preserve">SABESP      -ON  </v>
      </c>
      <c r="R102" s="57">
        <f t="shared" si="15"/>
        <v>41645</v>
      </c>
      <c r="S102" s="5">
        <f t="shared" si="16"/>
        <v>25.75</v>
      </c>
      <c r="T102" s="5">
        <f t="shared" si="17"/>
        <v>25.26</v>
      </c>
      <c r="U102" s="5">
        <f t="shared" si="18"/>
        <v>25.93</v>
      </c>
      <c r="V102" s="5">
        <f t="shared" si="19"/>
        <v>25.11</v>
      </c>
    </row>
    <row r="103" spans="1:22">
      <c r="A103" s="36" t="str">
        <f>IF(Tabela1[[#This Row],[Código]]="IBOV","^BVSP",IF(Tabela1[[#This Row],[Código]]="","",CONCATENATE(LEFT(Tabela1[[#This Row],[Código]],6),".SA")))</f>
        <v>SFSA4.SA</v>
      </c>
      <c r="C103" s="3" t="s">
        <v>170</v>
      </c>
      <c r="D103" s="3" t="s">
        <v>293</v>
      </c>
      <c r="E103" s="3" t="s">
        <v>293</v>
      </c>
      <c r="F103" s="3" t="s">
        <v>293</v>
      </c>
      <c r="G103" s="3" t="s">
        <v>406</v>
      </c>
      <c r="H103" s="57">
        <v>41645</v>
      </c>
      <c r="J103" s="3">
        <f t="shared" si="20"/>
        <v>2.65</v>
      </c>
      <c r="K103" s="3">
        <f t="shared" si="20"/>
        <v>2.65</v>
      </c>
      <c r="L103" s="3">
        <f t="shared" si="20"/>
        <v>2.65</v>
      </c>
      <c r="M103" s="3">
        <f t="shared" si="20"/>
        <v>2.63</v>
      </c>
      <c r="P103" s="15" t="s">
        <v>79</v>
      </c>
      <c r="Q103" s="10" t="str">
        <f t="shared" ref="Q103:Q112" si="21">IF(A103="","",C103)</f>
        <v xml:space="preserve">SOFISA      -PN  </v>
      </c>
      <c r="R103" s="57">
        <f t="shared" ref="R103:R112" si="22">IF(A103="","",H103)</f>
        <v>41645</v>
      </c>
      <c r="S103" s="5">
        <f t="shared" ref="S103:S112" si="23">J103</f>
        <v>2.65</v>
      </c>
      <c r="T103" s="5">
        <f t="shared" ref="T103:T112" si="24">K103</f>
        <v>2.65</v>
      </c>
      <c r="U103" s="5">
        <f t="shared" ref="U103:U112" si="25">L103</f>
        <v>2.65</v>
      </c>
      <c r="V103" s="5">
        <f t="shared" ref="V103:V112" si="26">M103</f>
        <v>2.63</v>
      </c>
    </row>
    <row r="104" spans="1:22">
      <c r="A104" s="36" t="str">
        <f>IF(Tabela1[[#This Row],[Código]]="IBOV","^BVSP",IF(Tabela1[[#This Row],[Código]]="","",CONCATENATE(LEFT(Tabela1[[#This Row],[Código]],6),".SA")))</f>
        <v>SUZB5.SA</v>
      </c>
      <c r="C104" s="3" t="s">
        <v>171</v>
      </c>
      <c r="D104" s="3" t="s">
        <v>610</v>
      </c>
      <c r="E104" s="3" t="s">
        <v>786</v>
      </c>
      <c r="F104" s="3" t="s">
        <v>611</v>
      </c>
      <c r="G104" s="3" t="s">
        <v>787</v>
      </c>
      <c r="H104" s="57">
        <v>41645</v>
      </c>
      <c r="J104" s="3">
        <f t="shared" si="20"/>
        <v>9.41</v>
      </c>
      <c r="K104" s="3">
        <f t="shared" si="20"/>
        <v>9.2100000000000009</v>
      </c>
      <c r="L104" s="3">
        <f t="shared" si="20"/>
        <v>9.42</v>
      </c>
      <c r="M104" s="3">
        <f t="shared" si="20"/>
        <v>9.11</v>
      </c>
      <c r="P104" s="15" t="s">
        <v>18</v>
      </c>
      <c r="Q104" s="10" t="str">
        <f t="shared" si="21"/>
        <v xml:space="preserve">SUZANO PAPEL-PNA </v>
      </c>
      <c r="R104" s="57">
        <f t="shared" si="22"/>
        <v>41645</v>
      </c>
      <c r="S104" s="5">
        <f t="shared" si="23"/>
        <v>9.41</v>
      </c>
      <c r="T104" s="5">
        <f t="shared" si="24"/>
        <v>9.2100000000000009</v>
      </c>
      <c r="U104" s="5">
        <f t="shared" si="25"/>
        <v>9.42</v>
      </c>
      <c r="V104" s="5">
        <f t="shared" si="26"/>
        <v>9.11</v>
      </c>
    </row>
    <row r="105" spans="1:22">
      <c r="A105" s="36" t="str">
        <f>IF(Tabela1[[#This Row],[Código]]="IBOV","^BVSP",IF(Tabela1[[#This Row],[Código]]="","",CONCATENATE(LEFT(Tabela1[[#This Row],[Código]],6),".SA")))</f>
        <v>SUZB6.SA</v>
      </c>
      <c r="C105" s="3" t="s">
        <v>215</v>
      </c>
      <c r="D105" s="3" t="s">
        <v>182</v>
      </c>
      <c r="E105" s="3" t="s">
        <v>182</v>
      </c>
      <c r="F105" s="3" t="s">
        <v>182</v>
      </c>
      <c r="G105" s="3" t="s">
        <v>182</v>
      </c>
      <c r="H105" s="57">
        <v>41645</v>
      </c>
      <c r="J105" s="3">
        <f t="shared" si="20"/>
        <v>5.7</v>
      </c>
      <c r="K105" s="3">
        <f t="shared" si="20"/>
        <v>5.7</v>
      </c>
      <c r="L105" s="3">
        <f t="shared" si="20"/>
        <v>5.7</v>
      </c>
      <c r="M105" s="3">
        <f t="shared" si="20"/>
        <v>5.7</v>
      </c>
      <c r="P105" s="15" t="s">
        <v>213</v>
      </c>
      <c r="Q105" s="10" t="str">
        <f t="shared" si="21"/>
        <v xml:space="preserve">SUZANO PAPEL-PNB </v>
      </c>
      <c r="R105" s="57">
        <f t="shared" si="22"/>
        <v>41645</v>
      </c>
      <c r="S105" s="5">
        <f t="shared" si="23"/>
        <v>5.7</v>
      </c>
      <c r="T105" s="5">
        <f t="shared" si="24"/>
        <v>5.7</v>
      </c>
      <c r="U105" s="5">
        <f t="shared" si="25"/>
        <v>5.7</v>
      </c>
      <c r="V105" s="5">
        <f t="shared" si="26"/>
        <v>5.7</v>
      </c>
    </row>
    <row r="106" spans="1:22">
      <c r="A106" s="36" t="str">
        <f>IF(Tabela1[[#This Row],[Código]]="IBOV","^BVSP",IF(Tabela1[[#This Row],[Código]]="","",CONCATENATE(LEFT(Tabela1[[#This Row],[Código]],6),".SA")))</f>
        <v>TAEE11.SA</v>
      </c>
      <c r="C106" s="3" t="s">
        <v>172</v>
      </c>
      <c r="D106" s="3" t="s">
        <v>612</v>
      </c>
      <c r="E106" s="3" t="s">
        <v>612</v>
      </c>
      <c r="F106" s="3" t="s">
        <v>431</v>
      </c>
      <c r="G106" s="3" t="s">
        <v>613</v>
      </c>
      <c r="H106" s="57">
        <v>41645</v>
      </c>
      <c r="J106" s="3">
        <f t="shared" si="20"/>
        <v>18.399999999999999</v>
      </c>
      <c r="K106" s="3">
        <f t="shared" si="20"/>
        <v>18.399999999999999</v>
      </c>
      <c r="L106" s="3">
        <f t="shared" si="20"/>
        <v>18.68</v>
      </c>
      <c r="M106" s="3">
        <f t="shared" si="20"/>
        <v>18.260000000000002</v>
      </c>
      <c r="P106" s="14" t="s">
        <v>57</v>
      </c>
      <c r="Q106" s="10" t="str">
        <f t="shared" si="21"/>
        <v xml:space="preserve">TAESA       -UNT </v>
      </c>
      <c r="R106" s="57">
        <f t="shared" si="22"/>
        <v>41645</v>
      </c>
      <c r="S106" s="5">
        <f t="shared" si="23"/>
        <v>18.399999999999999</v>
      </c>
      <c r="T106" s="5">
        <f t="shared" si="24"/>
        <v>18.399999999999999</v>
      </c>
      <c r="U106" s="5">
        <f t="shared" si="25"/>
        <v>18.68</v>
      </c>
      <c r="V106" s="5">
        <f t="shared" si="26"/>
        <v>18.260000000000002</v>
      </c>
    </row>
    <row r="107" spans="1:22">
      <c r="A107" s="36" t="str">
        <f>IF(Tabela1[[#This Row],[Código]]="IBOV","^BVSP",IF(Tabela1[[#This Row],[Código]]="","",CONCATENATE(LEFT(Tabela1[[#This Row],[Código]],6),".SA")))</f>
        <v>TBLE3.SA</v>
      </c>
      <c r="C107" s="3" t="s">
        <v>200</v>
      </c>
      <c r="D107" s="3" t="s">
        <v>614</v>
      </c>
      <c r="E107" s="3" t="s">
        <v>788</v>
      </c>
      <c r="F107" s="3" t="s">
        <v>615</v>
      </c>
      <c r="G107" s="3" t="s">
        <v>641</v>
      </c>
      <c r="H107" s="57">
        <v>41645</v>
      </c>
      <c r="J107" s="3">
        <f t="shared" si="20"/>
        <v>36.520000000000003</v>
      </c>
      <c r="K107" s="3">
        <f t="shared" si="20"/>
        <v>35.69</v>
      </c>
      <c r="L107" s="3">
        <f t="shared" si="20"/>
        <v>36.96</v>
      </c>
      <c r="M107" s="3">
        <f t="shared" si="20"/>
        <v>35.65</v>
      </c>
      <c r="P107" s="14" t="s">
        <v>199</v>
      </c>
      <c r="Q107" s="10" t="str">
        <f t="shared" si="21"/>
        <v xml:space="preserve">TRACTEBEL   -ON  </v>
      </c>
      <c r="R107" s="57">
        <f t="shared" si="22"/>
        <v>41645</v>
      </c>
      <c r="S107" s="5">
        <f t="shared" si="23"/>
        <v>36.520000000000003</v>
      </c>
      <c r="T107" s="5">
        <f t="shared" si="24"/>
        <v>35.69</v>
      </c>
      <c r="U107" s="5">
        <f t="shared" si="25"/>
        <v>36.96</v>
      </c>
      <c r="V107" s="5">
        <f t="shared" si="26"/>
        <v>35.65</v>
      </c>
    </row>
    <row r="108" spans="1:22">
      <c r="A108" s="36" t="str">
        <f>IF(Tabela1[[#This Row],[Código]]="IBOV","^BVSP",IF(Tabela1[[#This Row],[Código]]="","",CONCATENATE(LEFT(Tabela1[[#This Row],[Código]],6),".SA")))</f>
        <v>TRPL3.SA</v>
      </c>
      <c r="C108" s="3" t="s">
        <v>180</v>
      </c>
      <c r="D108" s="3" t="s">
        <v>789</v>
      </c>
      <c r="E108" s="3" t="s">
        <v>789</v>
      </c>
      <c r="F108" s="3" t="s">
        <v>789</v>
      </c>
      <c r="G108" s="3" t="s">
        <v>789</v>
      </c>
      <c r="H108" s="57">
        <v>41645</v>
      </c>
      <c r="J108" s="3">
        <f t="shared" si="20"/>
        <v>42.11</v>
      </c>
      <c r="K108" s="3">
        <f t="shared" si="20"/>
        <v>42.11</v>
      </c>
      <c r="L108" s="3">
        <f t="shared" si="20"/>
        <v>42.11</v>
      </c>
      <c r="M108" s="3">
        <f t="shared" si="20"/>
        <v>42.11</v>
      </c>
      <c r="P108" s="14" t="s">
        <v>175</v>
      </c>
      <c r="Q108" s="10" t="str">
        <f t="shared" si="21"/>
        <v xml:space="preserve">TRAN PAULIST-ON  </v>
      </c>
      <c r="R108" s="57">
        <f t="shared" si="22"/>
        <v>41645</v>
      </c>
      <c r="S108" s="5">
        <f t="shared" si="23"/>
        <v>42.11</v>
      </c>
      <c r="T108" s="5">
        <f t="shared" si="24"/>
        <v>42.11</v>
      </c>
      <c r="U108" s="5">
        <f t="shared" si="25"/>
        <v>42.11</v>
      </c>
      <c r="V108" s="5">
        <f t="shared" si="26"/>
        <v>42.11</v>
      </c>
    </row>
    <row r="109" spans="1:22">
      <c r="A109" s="36" t="str">
        <f>IF(Tabela1[[#This Row],[Código]]="IBOV","^BVSP",IF(Tabela1[[#This Row],[Código]]="","",CONCATENATE(LEFT(Tabela1[[#This Row],[Código]],6),".SA")))</f>
        <v>TRPL4.SA</v>
      </c>
      <c r="C109" s="3" t="s">
        <v>181</v>
      </c>
      <c r="D109" s="3" t="s">
        <v>616</v>
      </c>
      <c r="E109" s="3" t="s">
        <v>790</v>
      </c>
      <c r="F109" s="3" t="s">
        <v>627</v>
      </c>
      <c r="G109" s="3" t="s">
        <v>791</v>
      </c>
      <c r="H109" s="57">
        <v>41645</v>
      </c>
      <c r="J109" s="3">
        <f t="shared" si="20"/>
        <v>26.87</v>
      </c>
      <c r="K109" s="3">
        <f t="shared" si="20"/>
        <v>26.61</v>
      </c>
      <c r="L109" s="3">
        <f t="shared" si="20"/>
        <v>27.33</v>
      </c>
      <c r="M109" s="3">
        <f t="shared" si="20"/>
        <v>26.57</v>
      </c>
      <c r="P109" s="14" t="s">
        <v>176</v>
      </c>
      <c r="Q109" s="10" t="str">
        <f t="shared" si="21"/>
        <v xml:space="preserve">TRAN PAULIST-PN  </v>
      </c>
      <c r="R109" s="57">
        <f t="shared" si="22"/>
        <v>41645</v>
      </c>
      <c r="S109" s="5">
        <f t="shared" si="23"/>
        <v>26.87</v>
      </c>
      <c r="T109" s="5">
        <f t="shared" si="24"/>
        <v>26.61</v>
      </c>
      <c r="U109" s="5">
        <f t="shared" si="25"/>
        <v>27.33</v>
      </c>
      <c r="V109" s="5">
        <f t="shared" si="26"/>
        <v>26.57</v>
      </c>
    </row>
    <row r="110" spans="1:22">
      <c r="A110" s="36" t="str">
        <f>IF(Tabela1[[#This Row],[Código]]="IBOV","^BVSP",IF(Tabela1[[#This Row],[Código]]="","",CONCATENATE(LEFT(Tabela1[[#This Row],[Código]],6),".SA")))</f>
        <v>UNIP5.SA</v>
      </c>
      <c r="C110" s="3" t="s">
        <v>173</v>
      </c>
      <c r="D110" s="3" t="s">
        <v>408</v>
      </c>
      <c r="E110" s="3" t="s">
        <v>628</v>
      </c>
      <c r="F110" s="3" t="s">
        <v>617</v>
      </c>
      <c r="G110" s="3" t="s">
        <v>408</v>
      </c>
      <c r="H110" s="57">
        <v>41645</v>
      </c>
      <c r="J110" s="3">
        <f t="shared" si="20"/>
        <v>0.63</v>
      </c>
      <c r="K110" s="3">
        <f t="shared" si="20"/>
        <v>0.67</v>
      </c>
      <c r="L110" s="3">
        <f t="shared" si="20"/>
        <v>0.68</v>
      </c>
      <c r="M110" s="3">
        <f t="shared" si="20"/>
        <v>0.63</v>
      </c>
      <c r="P110" s="15" t="s">
        <v>77</v>
      </c>
      <c r="Q110" s="10" t="str">
        <f t="shared" si="21"/>
        <v>UNIPAR      -PNA</v>
      </c>
      <c r="R110" s="57">
        <f t="shared" si="22"/>
        <v>41645</v>
      </c>
      <c r="S110" s="5">
        <f t="shared" si="23"/>
        <v>0.63</v>
      </c>
      <c r="T110" s="5">
        <f t="shared" si="24"/>
        <v>0.67</v>
      </c>
      <c r="U110" s="5">
        <f t="shared" si="25"/>
        <v>0.68</v>
      </c>
      <c r="V110" s="5">
        <f t="shared" si="26"/>
        <v>0.63</v>
      </c>
    </row>
    <row r="111" spans="1:22">
      <c r="A111" s="36" t="str">
        <f>IF(Tabela1[[#This Row],[Código]]="IBOV","^BVSP",IF(Tabela1[[#This Row],[Código]]="","",CONCATENATE(LEFT(Tabela1[[#This Row],[Código]],6),".SA")))</f>
        <v>UNIP6.SA</v>
      </c>
      <c r="C111" s="3" t="s">
        <v>174</v>
      </c>
      <c r="D111" s="3" t="s">
        <v>423</v>
      </c>
      <c r="E111" s="3" t="s">
        <v>423</v>
      </c>
      <c r="F111" s="3" t="s">
        <v>434</v>
      </c>
      <c r="G111" s="3" t="s">
        <v>618</v>
      </c>
      <c r="H111" s="57">
        <v>41645</v>
      </c>
      <c r="J111" s="3">
        <f t="shared" si="20"/>
        <v>0.52</v>
      </c>
      <c r="K111" s="3">
        <f t="shared" si="20"/>
        <v>0.52</v>
      </c>
      <c r="L111" s="3">
        <f t="shared" si="20"/>
        <v>0.53</v>
      </c>
      <c r="M111" s="3">
        <f t="shared" si="20"/>
        <v>0.51</v>
      </c>
      <c r="P111" s="14" t="s">
        <v>39</v>
      </c>
      <c r="Q111" s="10" t="str">
        <f t="shared" si="21"/>
        <v>UNIPAR      -PNB</v>
      </c>
      <c r="R111" s="57">
        <f t="shared" si="22"/>
        <v>41645</v>
      </c>
      <c r="S111" s="5">
        <f t="shared" si="23"/>
        <v>0.52</v>
      </c>
      <c r="T111" s="5">
        <f t="shared" si="24"/>
        <v>0.52</v>
      </c>
      <c r="U111" s="5">
        <f t="shared" si="25"/>
        <v>0.53</v>
      </c>
      <c r="V111" s="5">
        <f t="shared" si="26"/>
        <v>0.51</v>
      </c>
    </row>
    <row r="112" spans="1:22">
      <c r="A112" s="36" t="str">
        <f>IF(Tabela1[[#This Row],[Código]]="IBOV","^BVSP",IF(Tabela1[[#This Row],[Código]]="","",CONCATENATE(LEFT(Tabela1[[#This Row],[Código]],6),".SA")))</f>
        <v/>
      </c>
      <c r="C112" s="3" t="s">
        <v>109</v>
      </c>
      <c r="H112" s="57"/>
      <c r="J112" s="3">
        <f t="shared" ref="J112:J121" si="27">IF($A112="",0,VALUE(CONCATENATE(LEFT(D112,LEN(D112)-3),",",RIGHT(D112,2))))</f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7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6"/>
      <c r="H113" s="57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7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>
      <c r="A114" s="36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7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>
      <c r="A115" s="36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7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>
      <c r="A116" s="36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7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>
      <c r="A117" s="36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7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>
      <c r="A118" s="36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7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>
      <c r="A119" s="36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7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>
      <c r="A120" s="36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7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>
      <c r="A121" s="36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7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>
      <c r="A122" s="36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7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>
      <c r="A123" s="36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7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>
      <c r="A124" s="36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7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>
      <c r="A125" s="36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7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>
      <c r="A126" s="36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7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>
      <c r="A127" s="36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7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>
      <c r="A128" s="36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7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>
      <c r="A129" s="36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7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>
      <c r="A130" s="36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7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>
      <c r="A131" s="36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7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>
      <c r="A132" s="36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>
      <c r="A133" s="36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>
      <c r="A134" s="36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>
      <c r="A135" s="36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>
      <c r="A136" s="36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>
      <c r="A137" s="36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>
      <c r="A138" s="36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>
      <c r="A139" s="36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>
      <c r="A140" s="36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>
      <c r="A141" s="36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>
      <c r="A142" s="36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>
      <c r="A143" s="36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>
      <c r="A144" s="36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>
      <c r="A145" s="36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>
      <c r="A146" s="36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>
      <c r="A147" s="36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>
      <c r="A148" s="36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>
      <c r="A149" s="36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>
      <c r="A150" s="36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>
      <c r="A151" s="36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>
      <c r="A152" s="36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>
      <c r="A153" s="36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>
      <c r="A154" s="36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>
      <c r="A155" s="36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>
      <c r="A156" s="36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>
      <c r="A157" s="36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>
      <c r="A158" s="36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>
      <c r="A159" s="36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>
      <c r="A160" s="36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>
      <c r="A161" s="36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>
      <c r="A162" s="36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>
      <c r="A163" s="36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>
      <c r="A164" s="36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>
      <c r="A165" s="36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>
      <c r="A166" s="36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>
      <c r="A167" s="36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>
      <c r="A168" s="36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>
      <c r="A169" s="36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>
      <c r="A170" s="36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>
      <c r="A171" s="36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>
      <c r="A172" s="36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>
      <c r="A173" s="36"/>
    </row>
    <row r="174" spans="1:13">
      <c r="A174" s="36"/>
    </row>
    <row r="175" spans="1:13">
      <c r="A175" s="36"/>
    </row>
    <row r="176" spans="1:13">
      <c r="A176" s="36"/>
    </row>
    <row r="177" spans="1:1">
      <c r="A177" s="36"/>
    </row>
    <row r="178" spans="1:1">
      <c r="A178" s="36"/>
    </row>
    <row r="179" spans="1:1">
      <c r="A179" s="36"/>
    </row>
    <row r="180" spans="1:1">
      <c r="A180" s="36"/>
    </row>
    <row r="181" spans="1:1">
      <c r="A181" s="36"/>
    </row>
    <row r="182" spans="1:1">
      <c r="A182" s="36"/>
    </row>
    <row r="183" spans="1:1">
      <c r="A183" s="36"/>
    </row>
    <row r="184" spans="1:1">
      <c r="A184" s="36"/>
    </row>
    <row r="185" spans="1:1">
      <c r="A185" s="36"/>
    </row>
    <row r="186" spans="1:1">
      <c r="A186" s="36"/>
    </row>
    <row r="187" spans="1:1">
      <c r="A187" s="36"/>
    </row>
    <row r="188" spans="1:1">
      <c r="A188" s="36"/>
    </row>
    <row r="189" spans="1:1">
      <c r="A189" s="36"/>
    </row>
    <row r="190" spans="1:1">
      <c r="A190" s="36"/>
    </row>
    <row r="191" spans="1:1">
      <c r="A191" s="36"/>
    </row>
    <row r="192" spans="1:1">
      <c r="A192" s="36"/>
    </row>
    <row r="193" spans="1:1">
      <c r="A193" s="36"/>
    </row>
    <row r="194" spans="1:1">
      <c r="A194" s="36"/>
    </row>
    <row r="195" spans="1:1">
      <c r="A195" s="36"/>
    </row>
    <row r="196" spans="1:1">
      <c r="A196" s="36"/>
    </row>
    <row r="197" spans="1:1">
      <c r="A197" s="36"/>
    </row>
    <row r="198" spans="1:1">
      <c r="A198" s="36"/>
    </row>
    <row r="199" spans="1:1">
      <c r="A199" s="36"/>
    </row>
    <row r="200" spans="1:1">
      <c r="A200" s="36"/>
    </row>
    <row r="201" spans="1:1">
      <c r="A201" s="36"/>
    </row>
    <row r="202" spans="1:1">
      <c r="A202" s="36"/>
    </row>
    <row r="203" spans="1:1">
      <c r="A203" s="36"/>
    </row>
    <row r="204" spans="1:1">
      <c r="A204" s="36"/>
    </row>
    <row r="205" spans="1:1">
      <c r="A205" s="36"/>
    </row>
    <row r="206" spans="1:1">
      <c r="A206" s="36"/>
    </row>
    <row r="207" spans="1:1">
      <c r="A207" s="36"/>
    </row>
    <row r="208" spans="1:1">
      <c r="A208" s="36"/>
    </row>
    <row r="209" spans="1:1">
      <c r="A209" s="36"/>
    </row>
    <row r="210" spans="1:1">
      <c r="A210" s="36"/>
    </row>
    <row r="211" spans="1:1">
      <c r="A211" s="36"/>
    </row>
    <row r="212" spans="1:1">
      <c r="A212" s="36"/>
    </row>
    <row r="213" spans="1:1">
      <c r="A213" s="36"/>
    </row>
    <row r="214" spans="1:1">
      <c r="A214" s="36"/>
    </row>
    <row r="215" spans="1:1">
      <c r="A215" s="36"/>
    </row>
    <row r="216" spans="1:1">
      <c r="A216" s="36"/>
    </row>
    <row r="217" spans="1:1">
      <c r="A217" s="36"/>
    </row>
    <row r="218" spans="1:1">
      <c r="A218" s="36"/>
    </row>
    <row r="219" spans="1:1">
      <c r="A219" s="36"/>
    </row>
    <row r="220" spans="1:1">
      <c r="A220" s="36"/>
    </row>
    <row r="221" spans="1:1">
      <c r="A221" s="36"/>
    </row>
    <row r="222" spans="1:1">
      <c r="A222" s="36"/>
    </row>
    <row r="223" spans="1:1">
      <c r="A223" s="36"/>
    </row>
    <row r="224" spans="1:1">
      <c r="A224" s="36"/>
    </row>
    <row r="225" spans="1:1">
      <c r="A225" s="36"/>
    </row>
    <row r="226" spans="1:1">
      <c r="A226" s="36"/>
    </row>
    <row r="227" spans="1:1">
      <c r="A227" s="36"/>
    </row>
    <row r="228" spans="1:1">
      <c r="A228" s="36"/>
    </row>
    <row r="229" spans="1:1">
      <c r="A229" s="36"/>
    </row>
    <row r="230" spans="1:1">
      <c r="A230" s="36"/>
    </row>
    <row r="231" spans="1:1">
      <c r="A231" s="36"/>
    </row>
    <row r="232" spans="1:1">
      <c r="A232" s="36"/>
    </row>
    <row r="233" spans="1:1">
      <c r="A233" s="36"/>
    </row>
    <row r="234" spans="1:1">
      <c r="A234" s="36"/>
    </row>
    <row r="235" spans="1:1">
      <c r="A235" s="36"/>
    </row>
    <row r="236" spans="1:1">
      <c r="A236" s="36"/>
    </row>
    <row r="237" spans="1:1">
      <c r="A237" s="36"/>
    </row>
    <row r="238" spans="1:1">
      <c r="A238" s="36"/>
    </row>
    <row r="239" spans="1:1">
      <c r="A239" s="36"/>
    </row>
    <row r="240" spans="1:1">
      <c r="A240" s="36"/>
    </row>
    <row r="241" spans="1:1">
      <c r="A241" s="36"/>
    </row>
    <row r="242" spans="1:1">
      <c r="A242" s="36"/>
    </row>
    <row r="243" spans="1:1">
      <c r="A243" s="36"/>
    </row>
    <row r="244" spans="1:1">
      <c r="A244" s="36"/>
    </row>
    <row r="245" spans="1:1">
      <c r="A245" s="36"/>
    </row>
    <row r="246" spans="1:1">
      <c r="A246" s="36"/>
    </row>
    <row r="247" spans="1:1">
      <c r="A247" s="36"/>
    </row>
    <row r="248" spans="1:1">
      <c r="A248" s="36"/>
    </row>
    <row r="249" spans="1:1">
      <c r="A249" s="36"/>
    </row>
    <row r="250" spans="1:1">
      <c r="A250" s="36"/>
    </row>
    <row r="251" spans="1:1">
      <c r="A251" s="36"/>
    </row>
    <row r="252" spans="1:1">
      <c r="A252" s="36"/>
    </row>
    <row r="253" spans="1:1">
      <c r="A253" s="36"/>
    </row>
    <row r="254" spans="1:1">
      <c r="A254" s="36"/>
    </row>
    <row r="255" spans="1:1">
      <c r="A255" s="36"/>
    </row>
    <row r="256" spans="1:1">
      <c r="A256" s="36"/>
    </row>
    <row r="257" spans="1:1">
      <c r="A257" s="36"/>
    </row>
    <row r="258" spans="1:1">
      <c r="A258" s="36"/>
    </row>
    <row r="259" spans="1:1">
      <c r="A259" s="36"/>
    </row>
    <row r="260" spans="1:1">
      <c r="A260" s="36"/>
    </row>
    <row r="261" spans="1:1">
      <c r="A261" s="36"/>
    </row>
    <row r="262" spans="1:1">
      <c r="A262" s="36"/>
    </row>
    <row r="263" spans="1:1">
      <c r="A263" s="36"/>
    </row>
    <row r="264" spans="1:1">
      <c r="A264" s="36"/>
    </row>
    <row r="265" spans="1:1">
      <c r="A265" s="36"/>
    </row>
    <row r="266" spans="1:1">
      <c r="A266" s="36"/>
    </row>
    <row r="267" spans="1:1">
      <c r="A267" s="36"/>
    </row>
    <row r="268" spans="1:1">
      <c r="A268" s="36"/>
    </row>
    <row r="269" spans="1:1">
      <c r="A269" s="36"/>
    </row>
    <row r="270" spans="1:1">
      <c r="A270" s="36"/>
    </row>
    <row r="271" spans="1:1">
      <c r="A271" s="36"/>
    </row>
    <row r="272" spans="1:1">
      <c r="A272" s="36"/>
    </row>
    <row r="273" spans="1:1">
      <c r="A273" s="36"/>
    </row>
    <row r="274" spans="1:1">
      <c r="A274" s="36"/>
    </row>
    <row r="275" spans="1:1">
      <c r="A275" s="36"/>
    </row>
    <row r="276" spans="1:1">
      <c r="A276" s="36"/>
    </row>
    <row r="277" spans="1:1">
      <c r="A277" s="36"/>
    </row>
    <row r="278" spans="1:1">
      <c r="A278" s="36"/>
    </row>
    <row r="279" spans="1:1">
      <c r="A279" s="36"/>
    </row>
    <row r="280" spans="1:1">
      <c r="A280" s="36"/>
    </row>
    <row r="281" spans="1:1">
      <c r="A281" s="36"/>
    </row>
    <row r="282" spans="1:1">
      <c r="A282" s="36"/>
    </row>
    <row r="283" spans="1:1">
      <c r="A283" s="36"/>
    </row>
    <row r="284" spans="1:1">
      <c r="A284" s="36"/>
    </row>
    <row r="285" spans="1:1">
      <c r="A285" s="36"/>
    </row>
    <row r="286" spans="1:1">
      <c r="A286" s="36"/>
    </row>
    <row r="287" spans="1:1">
      <c r="A287" s="36"/>
    </row>
    <row r="288" spans="1:1">
      <c r="A288" s="36"/>
    </row>
    <row r="289" spans="1:1">
      <c r="A289" s="36"/>
    </row>
    <row r="290" spans="1:1">
      <c r="A290" s="36"/>
    </row>
    <row r="291" spans="1:1">
      <c r="A291" s="36"/>
    </row>
    <row r="292" spans="1:1">
      <c r="A292" s="36"/>
    </row>
    <row r="293" spans="1:1">
      <c r="A293" s="36"/>
    </row>
    <row r="294" spans="1:1">
      <c r="A294" s="36"/>
    </row>
    <row r="295" spans="1:1">
      <c r="A295" s="36"/>
    </row>
    <row r="296" spans="1:1">
      <c r="A296" s="36"/>
    </row>
    <row r="297" spans="1:1">
      <c r="A297" s="36"/>
    </row>
    <row r="298" spans="1:1">
      <c r="A298" s="36"/>
    </row>
    <row r="299" spans="1:1">
      <c r="A299" s="36"/>
    </row>
    <row r="300" spans="1:1">
      <c r="A300" s="36"/>
    </row>
    <row r="301" spans="1:1">
      <c r="A301" s="36"/>
    </row>
    <row r="302" spans="1:1">
      <c r="A302" s="36"/>
    </row>
    <row r="303" spans="1:1">
      <c r="A303" s="36"/>
    </row>
    <row r="304" spans="1:1">
      <c r="A304" s="36"/>
    </row>
    <row r="305" spans="1:1">
      <c r="A305" s="36"/>
    </row>
    <row r="306" spans="1:1">
      <c r="A306" s="36"/>
    </row>
    <row r="307" spans="1:1">
      <c r="A307" s="36"/>
    </row>
    <row r="308" spans="1:1">
      <c r="A308" s="36"/>
    </row>
    <row r="309" spans="1:1">
      <c r="A309" s="36"/>
    </row>
    <row r="310" spans="1:1">
      <c r="A310" s="36"/>
    </row>
    <row r="311" spans="1:1">
      <c r="A311" s="36"/>
    </row>
    <row r="312" spans="1:1">
      <c r="A312" s="36"/>
    </row>
    <row r="313" spans="1:1">
      <c r="A313" s="36"/>
    </row>
    <row r="314" spans="1:1">
      <c r="A314" s="36"/>
    </row>
    <row r="315" spans="1:1">
      <c r="A315" s="36"/>
    </row>
    <row r="316" spans="1:1">
      <c r="A316" s="36"/>
    </row>
    <row r="317" spans="1:1">
      <c r="A317" s="36"/>
    </row>
    <row r="318" spans="1:1">
      <c r="A318" s="36"/>
    </row>
    <row r="319" spans="1:1">
      <c r="A319" s="36"/>
    </row>
    <row r="320" spans="1:1">
      <c r="A320" s="36"/>
    </row>
    <row r="321" spans="1:1">
      <c r="A321" s="36"/>
    </row>
    <row r="322" spans="1:1">
      <c r="A322" s="36"/>
    </row>
    <row r="323" spans="1:1">
      <c r="A323" s="36"/>
    </row>
    <row r="324" spans="1:1">
      <c r="A324" s="36"/>
    </row>
    <row r="325" spans="1:1">
      <c r="A325" s="36"/>
    </row>
    <row r="326" spans="1:1">
      <c r="A326" s="36"/>
    </row>
    <row r="327" spans="1:1">
      <c r="A327" s="36"/>
    </row>
    <row r="328" spans="1:1">
      <c r="A328" s="36"/>
    </row>
    <row r="329" spans="1:1">
      <c r="A329" s="36"/>
    </row>
    <row r="330" spans="1:1">
      <c r="A330" s="36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739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4" t="s">
        <v>45</v>
      </c>
      <c r="Q6" s="34" t="s">
        <v>0</v>
      </c>
      <c r="R6" s="35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6" t="str">
        <f>IF(Tabela17[[#This Row],[Código]]="IBOV","^BVSP",IF(Tabela17[[#This Row],[Código]]="","",CONCATENATE(LEFT(Tabela17[[#This Row],[Código]],6),".SA")))</f>
        <v>PETR3.SA</v>
      </c>
      <c r="C7" s="3" t="s">
        <v>297</v>
      </c>
      <c r="D7" s="3" t="s">
        <v>510</v>
      </c>
      <c r="E7" s="3" t="s">
        <v>508</v>
      </c>
      <c r="F7" s="3" t="s">
        <v>709</v>
      </c>
      <c r="G7" s="3" t="s">
        <v>511</v>
      </c>
      <c r="H7" s="57">
        <v>41645</v>
      </c>
      <c r="J7" s="3">
        <f>IF($A7="",0,VALUE(CONCATENATE(LEFT(D7,LEN(D7)-3),",",RIGHT(D7,2))))</f>
        <v>15.39</v>
      </c>
      <c r="K7" s="3">
        <f t="shared" ref="K7:M22" si="0">IF($A7="",0,VALUE(CONCATENATE(LEFT(E7,LEN(E7)-3),",",RIGHT(E7,2))))</f>
        <v>15.49</v>
      </c>
      <c r="L7" s="3">
        <f t="shared" si="0"/>
        <v>15.63</v>
      </c>
      <c r="M7" s="3">
        <f t="shared" si="0"/>
        <v>15.18</v>
      </c>
      <c r="P7" s="14" t="s">
        <v>20</v>
      </c>
      <c r="Q7" s="10" t="str">
        <f t="shared" ref="Q7:Q70" si="1">IF(A7="","",C7)</f>
        <v>PETROBRAS   -ON</v>
      </c>
      <c r="R7" s="57">
        <f t="shared" ref="R7:R70" si="2">IF(A7="","",H7)</f>
        <v>41645</v>
      </c>
      <c r="S7" s="5">
        <f t="shared" ref="S7:V38" si="3">J7</f>
        <v>15.39</v>
      </c>
      <c r="T7" s="5">
        <f t="shared" si="3"/>
        <v>15.49</v>
      </c>
      <c r="U7" s="5">
        <f t="shared" si="3"/>
        <v>15.63</v>
      </c>
      <c r="V7" s="5">
        <f t="shared" si="3"/>
        <v>15.18</v>
      </c>
    </row>
    <row r="8" spans="1:22">
      <c r="A8" s="36" t="str">
        <f>IF(Tabela17[[#This Row],[Código]]="IBOV","^BVSP",IF(Tabela17[[#This Row],[Código]]="","",CONCATENATE(LEFT(Tabela17[[#This Row],[Código]],6),".SA")))</f>
        <v>PETR4.SA</v>
      </c>
      <c r="C8" s="3" t="s">
        <v>294</v>
      </c>
      <c r="D8" s="3" t="s">
        <v>512</v>
      </c>
      <c r="E8" s="3" t="s">
        <v>480</v>
      </c>
      <c r="F8" s="3" t="s">
        <v>710</v>
      </c>
      <c r="G8" s="3" t="s">
        <v>513</v>
      </c>
      <c r="H8" s="57">
        <v>41645</v>
      </c>
      <c r="J8" s="3">
        <f t="shared" ref="J8:M71" si="4">IF($A8="",0,VALUE(CONCATENATE(LEFT(D8,LEN(D8)-3),",",RIGHT(D8,2))))</f>
        <v>16.45</v>
      </c>
      <c r="K8" s="3">
        <f t="shared" si="0"/>
        <v>16.47</v>
      </c>
      <c r="L8" s="3">
        <f t="shared" si="0"/>
        <v>16.59</v>
      </c>
      <c r="M8" s="3">
        <f t="shared" si="0"/>
        <v>16.16</v>
      </c>
      <c r="P8" s="14" t="s">
        <v>21</v>
      </c>
      <c r="Q8" s="10" t="str">
        <f t="shared" si="1"/>
        <v>PETROBRAS   -PN</v>
      </c>
      <c r="R8" s="57">
        <f t="shared" si="2"/>
        <v>41645</v>
      </c>
      <c r="S8" s="5">
        <f t="shared" si="3"/>
        <v>16.45</v>
      </c>
      <c r="T8" s="5">
        <f t="shared" si="3"/>
        <v>16.47</v>
      </c>
      <c r="U8" s="5">
        <f t="shared" si="3"/>
        <v>16.59</v>
      </c>
      <c r="V8" s="5">
        <f t="shared" si="3"/>
        <v>16.16</v>
      </c>
    </row>
    <row r="9" spans="1:22">
      <c r="A9" s="36" t="str">
        <f>IF(Tabela17[[#This Row],[Código]]="IBOV","^BVSP",IF(Tabela17[[#This Row],[Código]]="","",CONCATENATE(LEFT(Tabela17[[#This Row],[Código]],6),".SA")))</f>
        <v>QGEP3.SA</v>
      </c>
      <c r="C9" s="3" t="s">
        <v>300</v>
      </c>
      <c r="D9" s="3" t="s">
        <v>514</v>
      </c>
      <c r="E9" s="3" t="s">
        <v>653</v>
      </c>
      <c r="F9" s="3" t="s">
        <v>515</v>
      </c>
      <c r="G9" s="3" t="s">
        <v>683</v>
      </c>
      <c r="H9" s="57">
        <v>41645</v>
      </c>
      <c r="J9" s="3">
        <f t="shared" si="4"/>
        <v>9.6999999999999993</v>
      </c>
      <c r="K9" s="3">
        <f t="shared" si="0"/>
        <v>9.36</v>
      </c>
      <c r="L9" s="3">
        <f t="shared" si="0"/>
        <v>9.76</v>
      </c>
      <c r="M9" s="3">
        <f t="shared" si="0"/>
        <v>9.3000000000000007</v>
      </c>
      <c r="P9" s="15" t="s">
        <v>299</v>
      </c>
      <c r="Q9" s="10" t="str">
        <f t="shared" si="1"/>
        <v xml:space="preserve">QGEP PART   -ON  </v>
      </c>
      <c r="R9" s="57">
        <f t="shared" si="2"/>
        <v>41645</v>
      </c>
      <c r="S9" s="5">
        <f t="shared" si="3"/>
        <v>9.6999999999999993</v>
      </c>
      <c r="T9" s="5">
        <f t="shared" si="3"/>
        <v>9.36</v>
      </c>
      <c r="U9" s="5">
        <f t="shared" si="3"/>
        <v>9.76</v>
      </c>
      <c r="V9" s="5">
        <f t="shared" si="3"/>
        <v>9.3000000000000007</v>
      </c>
    </row>
    <row r="10" spans="1:22">
      <c r="A10" s="36" t="str">
        <f>IF(Tabela17[[#This Row],[Código]]="IBOV","^BVSP",IF(Tabela17[[#This Row],[Código]]="","",CONCATENATE(LEFT(Tabela17[[#This Row],[Código]],6),".SA")))</f>
        <v>SULA11.SA</v>
      </c>
      <c r="C10" s="3" t="s">
        <v>301</v>
      </c>
      <c r="D10" s="3" t="s">
        <v>516</v>
      </c>
      <c r="E10" s="3" t="s">
        <v>509</v>
      </c>
      <c r="F10" s="3" t="s">
        <v>516</v>
      </c>
      <c r="G10" s="3" t="s">
        <v>654</v>
      </c>
      <c r="H10" s="57">
        <v>41645</v>
      </c>
      <c r="J10" s="3">
        <f t="shared" si="4"/>
        <v>14.85</v>
      </c>
      <c r="K10" s="3">
        <f t="shared" si="0"/>
        <v>14.58</v>
      </c>
      <c r="L10" s="3">
        <f t="shared" si="0"/>
        <v>14.85</v>
      </c>
      <c r="M10" s="3">
        <f t="shared" si="0"/>
        <v>14.38</v>
      </c>
      <c r="P10" s="14" t="s">
        <v>58</v>
      </c>
      <c r="Q10" s="10" t="str">
        <f t="shared" si="1"/>
        <v xml:space="preserve">SUL AMERICA -UNT </v>
      </c>
      <c r="R10" s="57">
        <f t="shared" si="2"/>
        <v>41645</v>
      </c>
      <c r="S10" s="5">
        <f t="shared" si="3"/>
        <v>14.85</v>
      </c>
      <c r="T10" s="5">
        <f t="shared" si="3"/>
        <v>14.58</v>
      </c>
      <c r="U10" s="5">
        <f t="shared" si="3"/>
        <v>14.85</v>
      </c>
      <c r="V10" s="5">
        <f t="shared" si="3"/>
        <v>14.38</v>
      </c>
    </row>
    <row r="11" spans="1:22">
      <c r="A11" s="36" t="str">
        <f>IF(Tabela17[[#This Row],[Código]]="IBOV","^BVSP",IF(Tabela17[[#This Row],[Código]]="","",CONCATENATE(LEFT(Tabela17[[#This Row],[Código]],6),".SA")))</f>
        <v>CSAB3.SA</v>
      </c>
      <c r="C11" s="3" t="s">
        <v>304</v>
      </c>
      <c r="D11" s="3" t="s">
        <v>305</v>
      </c>
      <c r="E11" s="3" t="s">
        <v>305</v>
      </c>
      <c r="F11" s="3" t="s">
        <v>305</v>
      </c>
      <c r="G11" s="3" t="s">
        <v>305</v>
      </c>
      <c r="H11" s="57">
        <v>41645</v>
      </c>
      <c r="J11" s="3">
        <f t="shared" si="4"/>
        <v>30.01</v>
      </c>
      <c r="K11" s="3">
        <f t="shared" si="0"/>
        <v>30.01</v>
      </c>
      <c r="L11" s="3">
        <f t="shared" si="0"/>
        <v>30.01</v>
      </c>
      <c r="M11" s="3">
        <f t="shared" si="0"/>
        <v>30.01</v>
      </c>
      <c r="P11" s="14" t="s">
        <v>302</v>
      </c>
      <c r="Q11" s="10" t="str">
        <f t="shared" si="1"/>
        <v>SEG AL BAHIA-ON</v>
      </c>
      <c r="R11" s="57">
        <f t="shared" si="2"/>
        <v>41645</v>
      </c>
      <c r="S11" s="5">
        <f t="shared" si="3"/>
        <v>30.01</v>
      </c>
      <c r="T11" s="5">
        <f t="shared" si="3"/>
        <v>30.01</v>
      </c>
      <c r="U11" s="5">
        <f t="shared" si="3"/>
        <v>30.01</v>
      </c>
      <c r="V11" s="5">
        <f t="shared" si="3"/>
        <v>30.01</v>
      </c>
    </row>
    <row r="12" spans="1:22">
      <c r="A12" s="36" t="str">
        <f>IF(Tabela17[[#This Row],[Código]]="IBOV","^BVSP",IF(Tabela17[[#This Row],[Código]]="","",CONCATENATE(LEFT(Tabela17[[#This Row],[Código]],6),".SA")))</f>
        <v>CSAB4.SA</v>
      </c>
      <c r="C12" s="3" t="s">
        <v>306</v>
      </c>
      <c r="D12" s="3" t="s">
        <v>307</v>
      </c>
      <c r="E12" s="3" t="s">
        <v>307</v>
      </c>
      <c r="F12" s="3" t="s">
        <v>307</v>
      </c>
      <c r="G12" s="3" t="s">
        <v>307</v>
      </c>
      <c r="H12" s="57">
        <v>41645</v>
      </c>
      <c r="J12" s="3">
        <f t="shared" si="4"/>
        <v>30.05</v>
      </c>
      <c r="K12" s="3">
        <f t="shared" si="0"/>
        <v>30.05</v>
      </c>
      <c r="L12" s="3">
        <f t="shared" si="0"/>
        <v>30.05</v>
      </c>
      <c r="M12" s="3">
        <f t="shared" si="0"/>
        <v>30.05</v>
      </c>
      <c r="P12" s="14" t="s">
        <v>303</v>
      </c>
      <c r="Q12" s="10" t="str">
        <f t="shared" si="1"/>
        <v>SEG AL BAHIA-PN</v>
      </c>
      <c r="R12" s="57">
        <f t="shared" si="2"/>
        <v>41645</v>
      </c>
      <c r="S12" s="5">
        <f t="shared" si="3"/>
        <v>30.05</v>
      </c>
      <c r="T12" s="5">
        <f t="shared" si="3"/>
        <v>30.05</v>
      </c>
      <c r="U12" s="5">
        <f t="shared" si="3"/>
        <v>30.05</v>
      </c>
      <c r="V12" s="5">
        <f t="shared" si="3"/>
        <v>30.05</v>
      </c>
    </row>
    <row r="13" spans="1:22">
      <c r="A13" s="36" t="str">
        <f>IF(Tabela17[[#This Row],[Código]]="IBOV","^BVSP",IF(Tabela17[[#This Row],[Código]]="","",CONCATENATE(LEFT(Tabela17[[#This Row],[Código]],6),".SA")))</f>
        <v>BBSE3.SA</v>
      </c>
      <c r="C13" s="3" t="s">
        <v>308</v>
      </c>
      <c r="D13" s="3" t="s">
        <v>517</v>
      </c>
      <c r="E13" s="3" t="s">
        <v>697</v>
      </c>
      <c r="F13" s="3" t="s">
        <v>464</v>
      </c>
      <c r="G13" s="3" t="s">
        <v>655</v>
      </c>
      <c r="H13" s="57">
        <v>41645</v>
      </c>
      <c r="J13" s="3">
        <f t="shared" si="4"/>
        <v>23.55</v>
      </c>
      <c r="K13" s="3">
        <f t="shared" si="0"/>
        <v>22.95</v>
      </c>
      <c r="L13" s="3">
        <f t="shared" si="0"/>
        <v>23.7</v>
      </c>
      <c r="M13" s="3">
        <f t="shared" si="0"/>
        <v>22.91</v>
      </c>
      <c r="P13" s="15" t="s">
        <v>25</v>
      </c>
      <c r="Q13" s="10" t="str">
        <f t="shared" si="1"/>
        <v xml:space="preserve">BBSEGURIDADE-ON  </v>
      </c>
      <c r="R13" s="57">
        <f t="shared" si="2"/>
        <v>41645</v>
      </c>
      <c r="S13" s="5">
        <f t="shared" si="3"/>
        <v>23.55</v>
      </c>
      <c r="T13" s="5">
        <f t="shared" si="3"/>
        <v>22.95</v>
      </c>
      <c r="U13" s="5">
        <f t="shared" si="3"/>
        <v>23.7</v>
      </c>
      <c r="V13" s="5">
        <f t="shared" si="3"/>
        <v>22.91</v>
      </c>
    </row>
    <row r="14" spans="1:22">
      <c r="A14" s="36" t="str">
        <f>IF(Tabela17[[#This Row],[Código]]="IBOV","^BVSP",IF(Tabela17[[#This Row],[Código]]="","",CONCATENATE(LEFT(Tabela17[[#This Row],[Código]],6),".SA")))</f>
        <v>JOPA3.SA</v>
      </c>
      <c r="C14" s="3" t="s">
        <v>311</v>
      </c>
      <c r="D14" s="3" t="s">
        <v>312</v>
      </c>
      <c r="E14" s="3" t="s">
        <v>312</v>
      </c>
      <c r="F14" s="3" t="s">
        <v>312</v>
      </c>
      <c r="G14" s="3" t="s">
        <v>312</v>
      </c>
      <c r="H14" s="57">
        <v>41645</v>
      </c>
      <c r="J14" s="3">
        <f t="shared" si="4"/>
        <v>17</v>
      </c>
      <c r="K14" s="3">
        <f t="shared" si="0"/>
        <v>17</v>
      </c>
      <c r="L14" s="3">
        <f t="shared" si="0"/>
        <v>17</v>
      </c>
      <c r="M14" s="3">
        <f t="shared" si="0"/>
        <v>17</v>
      </c>
      <c r="P14" s="15" t="s">
        <v>309</v>
      </c>
      <c r="Q14" s="10" t="str">
        <f t="shared" si="1"/>
        <v>JOSAPAR     -ON</v>
      </c>
      <c r="R14" s="57">
        <f t="shared" si="2"/>
        <v>41645</v>
      </c>
      <c r="S14" s="5">
        <f t="shared" si="3"/>
        <v>17</v>
      </c>
      <c r="T14" s="5">
        <f t="shared" si="3"/>
        <v>17</v>
      </c>
      <c r="U14" s="5">
        <f t="shared" si="3"/>
        <v>17</v>
      </c>
      <c r="V14" s="5">
        <f t="shared" si="3"/>
        <v>17</v>
      </c>
    </row>
    <row r="15" spans="1:22">
      <c r="A15" s="36" t="str">
        <f>IF(Tabela17[[#This Row],[Código]]="IBOV","^BVSP",IF(Tabela17[[#This Row],[Código]]="","",CONCATENATE(LEFT(Tabela17[[#This Row],[Código]],6),".SA")))</f>
        <v>JOPA4.SA</v>
      </c>
      <c r="C15" s="3" t="s">
        <v>313</v>
      </c>
      <c r="D15" s="3" t="s">
        <v>314</v>
      </c>
      <c r="E15" s="3" t="s">
        <v>314</v>
      </c>
      <c r="F15" s="3" t="s">
        <v>314</v>
      </c>
      <c r="G15" s="3" t="s">
        <v>314</v>
      </c>
      <c r="H15" s="57">
        <v>41645</v>
      </c>
      <c r="J15" s="3">
        <f t="shared" si="4"/>
        <v>22</v>
      </c>
      <c r="K15" s="3">
        <f t="shared" si="0"/>
        <v>22</v>
      </c>
      <c r="L15" s="3">
        <f t="shared" si="0"/>
        <v>22</v>
      </c>
      <c r="M15" s="3">
        <f t="shared" si="0"/>
        <v>22</v>
      </c>
      <c r="P15" s="10" t="s">
        <v>310</v>
      </c>
      <c r="Q15" s="10" t="str">
        <f t="shared" si="1"/>
        <v>JOSAPAR     -PN</v>
      </c>
      <c r="R15" s="57">
        <f t="shared" si="2"/>
        <v>41645</v>
      </c>
      <c r="S15" s="5">
        <f t="shared" si="3"/>
        <v>22</v>
      </c>
      <c r="T15" s="5">
        <f t="shared" si="3"/>
        <v>22</v>
      </c>
      <c r="U15" s="5">
        <f t="shared" si="3"/>
        <v>22</v>
      </c>
      <c r="V15" s="5">
        <f t="shared" si="3"/>
        <v>22</v>
      </c>
    </row>
    <row r="16" spans="1:22">
      <c r="A16" s="36" t="str">
        <f>IF(Tabela17[[#This Row],[Código]]="IBOV","^BVSP",IF(Tabela17[[#This Row],[Código]]="","",CONCATENATE(LEFT(Tabela17[[#This Row],[Código]],6),".SA")))</f>
        <v>TERI3.SA</v>
      </c>
      <c r="C16" s="3" t="s">
        <v>315</v>
      </c>
      <c r="D16" s="3" t="s">
        <v>435</v>
      </c>
      <c r="E16" s="3" t="s">
        <v>722</v>
      </c>
      <c r="F16" s="3" t="s">
        <v>436</v>
      </c>
      <c r="G16" s="3" t="s">
        <v>518</v>
      </c>
      <c r="H16" s="57">
        <v>41645</v>
      </c>
      <c r="J16" s="3">
        <f t="shared" si="4"/>
        <v>2.38</v>
      </c>
      <c r="K16" s="3">
        <f t="shared" si="0"/>
        <v>2.44</v>
      </c>
      <c r="L16" s="3">
        <f t="shared" si="0"/>
        <v>2.46</v>
      </c>
      <c r="M16" s="3">
        <f t="shared" si="0"/>
        <v>2.3199999999999998</v>
      </c>
      <c r="P16" s="15" t="s">
        <v>82</v>
      </c>
      <c r="Q16" s="10" t="str">
        <f t="shared" si="1"/>
        <v xml:space="preserve">TEREOS      -ON  </v>
      </c>
      <c r="R16" s="57">
        <f t="shared" si="2"/>
        <v>41645</v>
      </c>
      <c r="S16" s="5">
        <f t="shared" si="3"/>
        <v>2.38</v>
      </c>
      <c r="T16" s="5">
        <f t="shared" si="3"/>
        <v>2.44</v>
      </c>
      <c r="U16" s="5">
        <f t="shared" si="3"/>
        <v>2.46</v>
      </c>
      <c r="V16" s="5">
        <f t="shared" si="3"/>
        <v>2.3199999999999998</v>
      </c>
    </row>
    <row r="17" spans="1:22">
      <c r="A17" s="36" t="str">
        <f>IF(Tabela17[[#This Row],[Código]]="IBOV","^BVSP",IF(Tabela17[[#This Row],[Código]]="","",CONCATENATE(LEFT(Tabela17[[#This Row],[Código]],6),".SA")))</f>
        <v>ELEK3.SA</v>
      </c>
      <c r="C17" s="3" t="s">
        <v>319</v>
      </c>
      <c r="D17" s="3" t="s">
        <v>320</v>
      </c>
      <c r="E17" s="3" t="s">
        <v>320</v>
      </c>
      <c r="F17" s="3" t="s">
        <v>320</v>
      </c>
      <c r="G17" s="3" t="s">
        <v>320</v>
      </c>
      <c r="H17" s="57">
        <v>41645</v>
      </c>
      <c r="J17" s="3">
        <f t="shared" si="4"/>
        <v>10</v>
      </c>
      <c r="K17" s="3">
        <f t="shared" si="0"/>
        <v>10</v>
      </c>
      <c r="L17" s="3">
        <f t="shared" si="0"/>
        <v>10</v>
      </c>
      <c r="M17" s="3">
        <f t="shared" si="0"/>
        <v>10</v>
      </c>
      <c r="P17" s="14" t="s">
        <v>317</v>
      </c>
      <c r="Q17" s="10" t="str">
        <f t="shared" si="1"/>
        <v xml:space="preserve">ELEKEIROZ   -ON  </v>
      </c>
      <c r="R17" s="57">
        <f t="shared" si="2"/>
        <v>41645</v>
      </c>
      <c r="S17" s="5">
        <f t="shared" si="3"/>
        <v>10</v>
      </c>
      <c r="T17" s="5">
        <f t="shared" si="3"/>
        <v>10</v>
      </c>
      <c r="U17" s="5">
        <f t="shared" si="3"/>
        <v>10</v>
      </c>
      <c r="V17" s="5">
        <f t="shared" si="3"/>
        <v>10</v>
      </c>
    </row>
    <row r="18" spans="1:22">
      <c r="A18" s="36" t="str">
        <f>IF(Tabela17[[#This Row],[Código]]="IBOV","^BVSP",IF(Tabela17[[#This Row],[Código]]="","",CONCATENATE(LEFT(Tabela17[[#This Row],[Código]],6),".SA")))</f>
        <v>ELEK4.SA</v>
      </c>
      <c r="C18" s="3" t="s">
        <v>321</v>
      </c>
      <c r="D18" s="3" t="s">
        <v>322</v>
      </c>
      <c r="E18" s="3" t="s">
        <v>323</v>
      </c>
      <c r="F18" s="3" t="s">
        <v>323</v>
      </c>
      <c r="G18" s="3" t="s">
        <v>322</v>
      </c>
      <c r="H18" s="57">
        <v>41645</v>
      </c>
      <c r="J18" s="3">
        <f t="shared" si="4"/>
        <v>10.5</v>
      </c>
      <c r="K18" s="3">
        <f t="shared" si="0"/>
        <v>10.91</v>
      </c>
      <c r="L18" s="3">
        <f t="shared" si="0"/>
        <v>10.91</v>
      </c>
      <c r="M18" s="3">
        <f t="shared" si="0"/>
        <v>10.5</v>
      </c>
      <c r="P18" s="14" t="s">
        <v>318</v>
      </c>
      <c r="Q18" s="10" t="str">
        <f t="shared" si="1"/>
        <v xml:space="preserve">ELEKEIROZ   -PN  </v>
      </c>
      <c r="R18" s="57">
        <f t="shared" si="2"/>
        <v>41645</v>
      </c>
      <c r="S18" s="5">
        <f t="shared" si="3"/>
        <v>10.5</v>
      </c>
      <c r="T18" s="5">
        <f t="shared" si="3"/>
        <v>10.91</v>
      </c>
      <c r="U18" s="5">
        <f t="shared" si="3"/>
        <v>10.91</v>
      </c>
      <c r="V18" s="5">
        <f t="shared" si="3"/>
        <v>10.5</v>
      </c>
    </row>
    <row r="19" spans="1:22">
      <c r="A19" s="36" t="str">
        <f>IF(Tabela17[[#This Row],[Código]]="IBOV","^BVSP",IF(Tabela17[[#This Row],[Código]]="","",CONCATENATE(LEFT(Tabela17[[#This Row],[Código]],6),".SA")))</f>
        <v>BRKM3.SA</v>
      </c>
      <c r="C19" s="3" t="s">
        <v>327</v>
      </c>
      <c r="D19" s="3" t="s">
        <v>647</v>
      </c>
      <c r="E19" s="3" t="s">
        <v>452</v>
      </c>
      <c r="F19" s="3" t="s">
        <v>452</v>
      </c>
      <c r="G19" s="3" t="s">
        <v>487</v>
      </c>
      <c r="H19" s="57">
        <v>41645</v>
      </c>
      <c r="J19" s="3">
        <f t="shared" si="4"/>
        <v>16.29</v>
      </c>
      <c r="K19" s="3">
        <f t="shared" si="0"/>
        <v>16.3</v>
      </c>
      <c r="L19" s="3">
        <f t="shared" si="0"/>
        <v>16.3</v>
      </c>
      <c r="M19" s="3">
        <f t="shared" si="0"/>
        <v>16.25</v>
      </c>
      <c r="P19" s="14" t="s">
        <v>324</v>
      </c>
      <c r="Q19" s="10" t="str">
        <f t="shared" si="1"/>
        <v xml:space="preserve">BRASKEM     -ON  </v>
      </c>
      <c r="R19" s="57">
        <f t="shared" si="2"/>
        <v>41645</v>
      </c>
      <c r="S19" s="5">
        <f t="shared" si="3"/>
        <v>16.29</v>
      </c>
      <c r="T19" s="5">
        <f t="shared" si="3"/>
        <v>16.3</v>
      </c>
      <c r="U19" s="5">
        <f t="shared" si="3"/>
        <v>16.3</v>
      </c>
      <c r="V19" s="5">
        <f t="shared" si="3"/>
        <v>16.25</v>
      </c>
    </row>
    <row r="20" spans="1:22">
      <c r="A20" s="36" t="str">
        <f>IF(Tabela17[[#This Row],[Código]]="IBOV","^BVSP",IF(Tabela17[[#This Row],[Código]]="","",CONCATENATE(LEFT(Tabela17[[#This Row],[Código]],6),".SA")))</f>
        <v>BRKM5.SA</v>
      </c>
      <c r="C20" s="3" t="s">
        <v>328</v>
      </c>
      <c r="D20" s="3" t="s">
        <v>519</v>
      </c>
      <c r="E20" s="3" t="s">
        <v>629</v>
      </c>
      <c r="F20" s="3" t="s">
        <v>424</v>
      </c>
      <c r="G20" s="3" t="s">
        <v>520</v>
      </c>
      <c r="H20" s="57">
        <v>41645</v>
      </c>
      <c r="J20" s="3">
        <f t="shared" si="4"/>
        <v>20.46</v>
      </c>
      <c r="K20" s="3">
        <f t="shared" si="0"/>
        <v>20.399999999999999</v>
      </c>
      <c r="L20" s="3">
        <f t="shared" si="0"/>
        <v>20.58</v>
      </c>
      <c r="M20" s="3">
        <f t="shared" si="0"/>
        <v>20.18</v>
      </c>
      <c r="P20" s="14" t="s">
        <v>325</v>
      </c>
      <c r="Q20" s="10" t="str">
        <f t="shared" si="1"/>
        <v xml:space="preserve">BRASKEM     -PNA </v>
      </c>
      <c r="R20" s="57">
        <f t="shared" si="2"/>
        <v>41645</v>
      </c>
      <c r="S20" s="5">
        <f t="shared" si="3"/>
        <v>20.46</v>
      </c>
      <c r="T20" s="5">
        <f t="shared" si="3"/>
        <v>20.399999999999999</v>
      </c>
      <c r="U20" s="5">
        <f t="shared" si="3"/>
        <v>20.58</v>
      </c>
      <c r="V20" s="5">
        <f t="shared" si="3"/>
        <v>20.18</v>
      </c>
    </row>
    <row r="21" spans="1:22">
      <c r="A21" s="36" t="str">
        <f>IF(Tabela17[[#This Row],[Código]]="IBOV","^BVSP",IF(Tabela17[[#This Row],[Código]]="","",CONCATENATE(LEFT(Tabela17[[#This Row],[Código]],6),".SA")))</f>
        <v>BRKM6.SA</v>
      </c>
      <c r="C21" s="3" t="s">
        <v>329</v>
      </c>
      <c r="D21" s="3" t="s">
        <v>330</v>
      </c>
      <c r="E21" s="3" t="s">
        <v>330</v>
      </c>
      <c r="F21" s="3" t="s">
        <v>330</v>
      </c>
      <c r="G21" s="3" t="s">
        <v>330</v>
      </c>
      <c r="H21" s="57">
        <v>41645</v>
      </c>
      <c r="J21" s="3">
        <f t="shared" si="4"/>
        <v>10.1</v>
      </c>
      <c r="K21" s="3">
        <f t="shared" si="0"/>
        <v>10.1</v>
      </c>
      <c r="L21" s="3">
        <f t="shared" si="0"/>
        <v>10.1</v>
      </c>
      <c r="M21" s="3">
        <f t="shared" si="0"/>
        <v>10.1</v>
      </c>
      <c r="P21" s="15" t="s">
        <v>326</v>
      </c>
      <c r="Q21" s="10" t="str">
        <f t="shared" si="1"/>
        <v xml:space="preserve">BRASKEM     -PNB </v>
      </c>
      <c r="R21" s="57">
        <f t="shared" si="2"/>
        <v>41645</v>
      </c>
      <c r="S21" s="5">
        <f t="shared" si="3"/>
        <v>10.1</v>
      </c>
      <c r="T21" s="5">
        <f t="shared" si="3"/>
        <v>10.1</v>
      </c>
      <c r="U21" s="5">
        <f t="shared" si="3"/>
        <v>10.1</v>
      </c>
      <c r="V21" s="5">
        <f t="shared" si="3"/>
        <v>10.1</v>
      </c>
    </row>
    <row r="22" spans="1:22">
      <c r="A22" s="36" t="str">
        <f>IF(Tabela17[[#This Row],[Código]]="IBOV","^BVSP",IF(Tabela17[[#This Row],[Código]]="","",CONCATENATE(LEFT(Tabela17[[#This Row],[Código]],6),".SA")))</f>
        <v>CSAN3.SA</v>
      </c>
      <c r="C22" s="3" t="s">
        <v>333</v>
      </c>
      <c r="D22" s="3" t="s">
        <v>521</v>
      </c>
      <c r="E22" s="3" t="s">
        <v>792</v>
      </c>
      <c r="F22" s="3" t="s">
        <v>522</v>
      </c>
      <c r="G22" s="3" t="s">
        <v>674</v>
      </c>
      <c r="H22" s="57">
        <v>41645</v>
      </c>
      <c r="J22" s="3">
        <f t="shared" si="4"/>
        <v>38.15</v>
      </c>
      <c r="K22" s="3">
        <f t="shared" si="0"/>
        <v>37.42</v>
      </c>
      <c r="L22" s="3">
        <f t="shared" si="0"/>
        <v>38.229999999999997</v>
      </c>
      <c r="M22" s="3">
        <f t="shared" si="0"/>
        <v>37.35</v>
      </c>
      <c r="P22" s="14" t="s">
        <v>332</v>
      </c>
      <c r="Q22" s="10" t="str">
        <f t="shared" si="1"/>
        <v xml:space="preserve">COSAN       -ON  </v>
      </c>
      <c r="R22" s="57">
        <f t="shared" si="2"/>
        <v>41645</v>
      </c>
      <c r="S22" s="5">
        <f t="shared" si="3"/>
        <v>38.15</v>
      </c>
      <c r="T22" s="5">
        <f t="shared" si="3"/>
        <v>37.42</v>
      </c>
      <c r="U22" s="5">
        <f t="shared" si="3"/>
        <v>38.229999999999997</v>
      </c>
      <c r="V22" s="5">
        <f t="shared" si="3"/>
        <v>37.35</v>
      </c>
    </row>
    <row r="23" spans="1:22">
      <c r="A23" s="36" t="str">
        <f>IF(Tabela17[[#This Row],[Código]]="IBOV","^BVSP",IF(Tabela17[[#This Row],[Código]]="","",CONCATENATE(LEFT(Tabela17[[#This Row],[Código]],6),".SA")))</f>
        <v>SMTO3.SA</v>
      </c>
      <c r="C23" s="3" t="s">
        <v>335</v>
      </c>
      <c r="D23" s="3" t="s">
        <v>453</v>
      </c>
      <c r="E23" s="3" t="s">
        <v>668</v>
      </c>
      <c r="F23" s="3" t="s">
        <v>250</v>
      </c>
      <c r="G23" s="3" t="s">
        <v>648</v>
      </c>
      <c r="H23" s="57">
        <v>41645</v>
      </c>
      <c r="J23" s="3">
        <f t="shared" si="4"/>
        <v>28.13</v>
      </c>
      <c r="K23" s="3">
        <f t="shared" si="4"/>
        <v>28.04</v>
      </c>
      <c r="L23" s="3">
        <f t="shared" si="4"/>
        <v>29.02</v>
      </c>
      <c r="M23" s="3">
        <f t="shared" si="4"/>
        <v>27.84</v>
      </c>
      <c r="P23" s="15" t="s">
        <v>334</v>
      </c>
      <c r="Q23" s="10" t="str">
        <f t="shared" si="1"/>
        <v xml:space="preserve">SAO MARTINHO-ON  </v>
      </c>
      <c r="R23" s="57">
        <f t="shared" si="2"/>
        <v>41645</v>
      </c>
      <c r="S23" s="5">
        <f t="shared" si="3"/>
        <v>28.13</v>
      </c>
      <c r="T23" s="5">
        <f t="shared" si="3"/>
        <v>28.04</v>
      </c>
      <c r="U23" s="5">
        <f t="shared" si="3"/>
        <v>29.02</v>
      </c>
      <c r="V23" s="5">
        <f t="shared" si="3"/>
        <v>27.84</v>
      </c>
    </row>
    <row r="24" spans="1:22">
      <c r="A24" s="36" t="str">
        <f>IF(Tabela17[[#This Row],[Código]]="IBOV","^BVSP",IF(Tabela17[[#This Row],[Código]]="","",CONCATENATE(LEFT(Tabela17[[#This Row],[Código]],6),".SA")))</f>
        <v>CIQU3.SA</v>
      </c>
      <c r="C24" s="3" t="s">
        <v>523</v>
      </c>
      <c r="D24" s="3" t="s">
        <v>338</v>
      </c>
      <c r="E24" s="3" t="s">
        <v>338</v>
      </c>
      <c r="F24" s="3" t="s">
        <v>338</v>
      </c>
      <c r="G24" s="3" t="s">
        <v>338</v>
      </c>
      <c r="H24" s="57">
        <v>41645</v>
      </c>
      <c r="J24" s="3">
        <f t="shared" si="4"/>
        <v>7.08</v>
      </c>
      <c r="K24" s="3">
        <f t="shared" si="4"/>
        <v>7.08</v>
      </c>
      <c r="L24" s="3">
        <f t="shared" si="4"/>
        <v>7.08</v>
      </c>
      <c r="M24" s="3">
        <f t="shared" si="4"/>
        <v>7.08</v>
      </c>
      <c r="P24" s="10" t="s">
        <v>336</v>
      </c>
      <c r="Q24" s="10" t="str">
        <f t="shared" si="1"/>
        <v xml:space="preserve">CACIQUE     -ON  </v>
      </c>
      <c r="R24" s="57">
        <f t="shared" si="2"/>
        <v>41645</v>
      </c>
      <c r="S24" s="5">
        <f t="shared" si="3"/>
        <v>7.08</v>
      </c>
      <c r="T24" s="5">
        <f t="shared" si="3"/>
        <v>7.08</v>
      </c>
      <c r="U24" s="5">
        <f t="shared" si="3"/>
        <v>7.08</v>
      </c>
      <c r="V24" s="5">
        <f t="shared" si="3"/>
        <v>7.08</v>
      </c>
    </row>
    <row r="25" spans="1:22">
      <c r="A25" s="36" t="str">
        <f>IF(Tabela17[[#This Row],[Código]]="IBOV","^BVSP",IF(Tabela17[[#This Row],[Código]]="","",CONCATENATE(LEFT(Tabela17[[#This Row],[Código]],6),".SA")))</f>
        <v>CIQU4.SA</v>
      </c>
      <c r="C25" s="3" t="s">
        <v>524</v>
      </c>
      <c r="D25" s="3" t="s">
        <v>339</v>
      </c>
      <c r="E25" s="3" t="s">
        <v>339</v>
      </c>
      <c r="F25" s="3" t="s">
        <v>339</v>
      </c>
      <c r="G25" s="3" t="s">
        <v>339</v>
      </c>
      <c r="H25" s="57">
        <v>41645</v>
      </c>
      <c r="J25" s="3">
        <f t="shared" si="4"/>
        <v>15.09</v>
      </c>
      <c r="K25" s="3">
        <f t="shared" si="4"/>
        <v>15.09</v>
      </c>
      <c r="L25" s="3">
        <f t="shared" si="4"/>
        <v>15.09</v>
      </c>
      <c r="M25" s="3">
        <f t="shared" si="4"/>
        <v>15.09</v>
      </c>
      <c r="P25" s="15" t="s">
        <v>337</v>
      </c>
      <c r="Q25" s="10" t="str">
        <f t="shared" si="1"/>
        <v xml:space="preserve">CACIQUE     -PN  </v>
      </c>
      <c r="R25" s="57">
        <f t="shared" si="2"/>
        <v>41645</v>
      </c>
      <c r="S25" s="5">
        <f t="shared" si="3"/>
        <v>15.09</v>
      </c>
      <c r="T25" s="5">
        <f t="shared" si="3"/>
        <v>15.09</v>
      </c>
      <c r="U25" s="5">
        <f t="shared" si="3"/>
        <v>15.09</v>
      </c>
      <c r="V25" s="5">
        <f t="shared" si="3"/>
        <v>15.09</v>
      </c>
    </row>
    <row r="26" spans="1:22">
      <c r="A26" s="36" t="str">
        <f>IF(Tabela17[[#This Row],[Código]]="IBOV","^BVSP",IF(Tabela17[[#This Row],[Código]]="","",CONCATENATE(LEFT(Tabela17[[#This Row],[Código]],6),".SA")))</f>
        <v>BRFS3.SA</v>
      </c>
      <c r="C26" s="3" t="s">
        <v>343</v>
      </c>
      <c r="D26" s="3" t="s">
        <v>525</v>
      </c>
      <c r="E26" s="3" t="s">
        <v>793</v>
      </c>
      <c r="F26" s="3" t="s">
        <v>630</v>
      </c>
      <c r="G26" s="3" t="s">
        <v>525</v>
      </c>
      <c r="H26" s="57">
        <v>41645</v>
      </c>
      <c r="J26" s="3">
        <f t="shared" si="4"/>
        <v>47.2</v>
      </c>
      <c r="K26" s="3">
        <f t="shared" si="4"/>
        <v>47.28</v>
      </c>
      <c r="L26" s="3">
        <f t="shared" si="4"/>
        <v>48.03</v>
      </c>
      <c r="M26" s="3">
        <f t="shared" si="4"/>
        <v>47.2</v>
      </c>
      <c r="P26" s="10" t="s">
        <v>341</v>
      </c>
      <c r="Q26" s="10" t="str">
        <f t="shared" si="1"/>
        <v xml:space="preserve">BRF SA      -ON  </v>
      </c>
      <c r="R26" s="57">
        <f t="shared" si="2"/>
        <v>41645</v>
      </c>
      <c r="S26" s="5">
        <f t="shared" si="3"/>
        <v>47.2</v>
      </c>
      <c r="T26" s="5">
        <f t="shared" si="3"/>
        <v>47.28</v>
      </c>
      <c r="U26" s="5">
        <f t="shared" si="3"/>
        <v>48.03</v>
      </c>
      <c r="V26" s="5">
        <f t="shared" si="3"/>
        <v>47.2</v>
      </c>
    </row>
    <row r="27" spans="1:22">
      <c r="A27" s="36" t="str">
        <f>IF(Tabela17[[#This Row],[Código]]="IBOV","^BVSP",IF(Tabela17[[#This Row],[Código]]="","",CONCATENATE(LEFT(Tabela17[[#This Row],[Código]],6),".SA")))</f>
        <v>JBSS3.SA</v>
      </c>
      <c r="C27" s="3" t="s">
        <v>345</v>
      </c>
      <c r="D27" s="3" t="s">
        <v>526</v>
      </c>
      <c r="E27" s="3" t="s">
        <v>656</v>
      </c>
      <c r="F27" s="3" t="s">
        <v>425</v>
      </c>
      <c r="G27" s="3" t="s">
        <v>527</v>
      </c>
      <c r="H27" s="57">
        <v>41645</v>
      </c>
      <c r="J27" s="3">
        <f t="shared" si="4"/>
        <v>8.3800000000000008</v>
      </c>
      <c r="K27" s="3">
        <f t="shared" si="4"/>
        <v>8.39</v>
      </c>
      <c r="L27" s="3">
        <f t="shared" si="4"/>
        <v>8.51</v>
      </c>
      <c r="M27" s="3">
        <f t="shared" si="4"/>
        <v>8.17</v>
      </c>
      <c r="P27" s="47" t="s">
        <v>344</v>
      </c>
      <c r="Q27" s="10" t="str">
        <f t="shared" si="1"/>
        <v xml:space="preserve">JBS         -ON  </v>
      </c>
      <c r="R27" s="57">
        <f t="shared" si="2"/>
        <v>41645</v>
      </c>
      <c r="S27" s="5">
        <f t="shared" si="3"/>
        <v>8.3800000000000008</v>
      </c>
      <c r="T27" s="5">
        <f t="shared" si="3"/>
        <v>8.39</v>
      </c>
      <c r="U27" s="5">
        <f t="shared" si="3"/>
        <v>8.51</v>
      </c>
      <c r="V27" s="5">
        <f t="shared" si="3"/>
        <v>8.17</v>
      </c>
    </row>
    <row r="28" spans="1:22">
      <c r="A28" s="36" t="str">
        <f>IF(Tabela17[[#This Row],[Código]]="IBOV","^BVSP",IF(Tabela17[[#This Row],[Código]]="","",CONCATENATE(LEFT(Tabela17[[#This Row],[Código]],6),".SA")))</f>
        <v>VIGR3.SA</v>
      </c>
      <c r="C28" s="3" t="s">
        <v>347</v>
      </c>
      <c r="D28" s="3" t="s">
        <v>528</v>
      </c>
      <c r="E28" s="3" t="s">
        <v>656</v>
      </c>
      <c r="F28" s="3" t="s">
        <v>528</v>
      </c>
      <c r="G28" s="3" t="s">
        <v>526</v>
      </c>
      <c r="H28" s="57">
        <v>41645</v>
      </c>
      <c r="J28" s="3">
        <f t="shared" si="4"/>
        <v>8.52</v>
      </c>
      <c r="K28" s="3">
        <f t="shared" si="4"/>
        <v>8.39</v>
      </c>
      <c r="L28" s="3">
        <f t="shared" si="4"/>
        <v>8.52</v>
      </c>
      <c r="M28" s="3">
        <f t="shared" si="4"/>
        <v>8.3800000000000008</v>
      </c>
      <c r="P28" s="47" t="s">
        <v>346</v>
      </c>
      <c r="Q28" s="10" t="str">
        <f t="shared" si="1"/>
        <v xml:space="preserve">VIGOR FOOD  -ON  </v>
      </c>
      <c r="R28" s="57">
        <f t="shared" si="2"/>
        <v>41645</v>
      </c>
      <c r="S28" s="5">
        <f t="shared" si="3"/>
        <v>8.52</v>
      </c>
      <c r="T28" s="5">
        <f t="shared" si="3"/>
        <v>8.39</v>
      </c>
      <c r="U28" s="5">
        <f t="shared" si="3"/>
        <v>8.52</v>
      </c>
      <c r="V28" s="5">
        <f t="shared" si="3"/>
        <v>8.3800000000000008</v>
      </c>
    </row>
    <row r="29" spans="1:22">
      <c r="A29" s="36" t="str">
        <f>IF(Tabela17[[#This Row],[Código]]="IBOV","^BVSP",IF(Tabela17[[#This Row],[Código]]="","",CONCATENATE(LEFT(Tabela17[[#This Row],[Código]],6),".SA")))</f>
        <v>TIMP3.SA</v>
      </c>
      <c r="C29" s="3" t="s">
        <v>351</v>
      </c>
      <c r="D29" s="3" t="s">
        <v>529</v>
      </c>
      <c r="E29" s="3" t="s">
        <v>723</v>
      </c>
      <c r="F29" s="3" t="s">
        <v>657</v>
      </c>
      <c r="G29" s="3" t="s">
        <v>530</v>
      </c>
      <c r="H29" s="57">
        <v>41645</v>
      </c>
      <c r="J29" s="3">
        <f>IF($A29="",0,VALUE(CONCATENATE(LEFT(D29,LEN(D29)-3),",",RIGHT(D29,2))))</f>
        <v>13.06</v>
      </c>
      <c r="K29" s="3">
        <f t="shared" si="4"/>
        <v>13.29</v>
      </c>
      <c r="L29" s="3">
        <f t="shared" si="4"/>
        <v>13.4</v>
      </c>
      <c r="M29" s="3">
        <f t="shared" si="4"/>
        <v>12.91</v>
      </c>
      <c r="P29" s="15" t="s">
        <v>349</v>
      </c>
      <c r="Q29" s="10" t="str">
        <f t="shared" si="1"/>
        <v xml:space="preserve">TIM PART S/A-ON  </v>
      </c>
      <c r="R29" s="57">
        <f t="shared" si="2"/>
        <v>41645</v>
      </c>
      <c r="S29" s="5">
        <f t="shared" si="3"/>
        <v>13.06</v>
      </c>
      <c r="T29" s="5">
        <f t="shared" si="3"/>
        <v>13.29</v>
      </c>
      <c r="U29" s="5">
        <f t="shared" si="3"/>
        <v>13.4</v>
      </c>
      <c r="V29" s="5">
        <f t="shared" si="3"/>
        <v>12.91</v>
      </c>
    </row>
    <row r="30" spans="1:22">
      <c r="A30" s="36" t="str">
        <f>IF(Tabela17[[#This Row],[Código]]="IBOV","^BVSP",IF(Tabela17[[#This Row],[Código]]="","",CONCATENATE(LEFT(Tabela17[[#This Row],[Código]],6),".SA")))</f>
        <v>OIBR3.SA</v>
      </c>
      <c r="C30" s="3" t="s">
        <v>354</v>
      </c>
      <c r="D30" s="3" t="s">
        <v>260</v>
      </c>
      <c r="E30" s="3" t="s">
        <v>680</v>
      </c>
      <c r="F30" s="3" t="s">
        <v>531</v>
      </c>
      <c r="G30" s="3" t="s">
        <v>649</v>
      </c>
      <c r="H30" s="57">
        <v>41645</v>
      </c>
      <c r="J30" s="3">
        <f t="shared" si="4"/>
        <v>4.2</v>
      </c>
      <c r="K30" s="3">
        <f t="shared" si="4"/>
        <v>4.21</v>
      </c>
      <c r="L30" s="3">
        <f t="shared" si="4"/>
        <v>4.32</v>
      </c>
      <c r="M30" s="3">
        <f t="shared" si="4"/>
        <v>4.05</v>
      </c>
      <c r="P30" s="14" t="s">
        <v>352</v>
      </c>
      <c r="Q30" s="10" t="str">
        <f t="shared" si="1"/>
        <v xml:space="preserve">OI          -ON  </v>
      </c>
      <c r="R30" s="57">
        <f t="shared" si="2"/>
        <v>41645</v>
      </c>
      <c r="S30" s="5">
        <f t="shared" si="3"/>
        <v>4.2</v>
      </c>
      <c r="T30" s="5">
        <f t="shared" si="3"/>
        <v>4.21</v>
      </c>
      <c r="U30" s="5">
        <f t="shared" si="3"/>
        <v>4.32</v>
      </c>
      <c r="V30" s="5">
        <f t="shared" si="3"/>
        <v>4.05</v>
      </c>
    </row>
    <row r="31" spans="1:22">
      <c r="A31" s="36" t="str">
        <f>IF(Tabela17[[#This Row],[Código]]="IBOV","^BVSP",IF(Tabela17[[#This Row],[Código]]="","",CONCATENATE(LEFT(Tabela17[[#This Row],[Código]],6),".SA")))</f>
        <v>OIBR4.SA</v>
      </c>
      <c r="C31" s="3" t="s">
        <v>355</v>
      </c>
      <c r="D31" s="3" t="s">
        <v>454</v>
      </c>
      <c r="E31" s="3" t="s">
        <v>496</v>
      </c>
      <c r="F31" s="3" t="s">
        <v>532</v>
      </c>
      <c r="G31" s="3" t="s">
        <v>438</v>
      </c>
      <c r="H31" s="57">
        <v>41645</v>
      </c>
      <c r="J31" s="3">
        <f t="shared" si="4"/>
        <v>3.92</v>
      </c>
      <c r="K31" s="3">
        <f t="shared" si="4"/>
        <v>4.03</v>
      </c>
      <c r="L31" s="3">
        <f t="shared" si="4"/>
        <v>4.08</v>
      </c>
      <c r="M31" s="3">
        <f t="shared" si="4"/>
        <v>3.91</v>
      </c>
      <c r="P31" s="10" t="s">
        <v>353</v>
      </c>
      <c r="Q31" s="10" t="str">
        <f t="shared" si="1"/>
        <v xml:space="preserve">OI          -PN  </v>
      </c>
      <c r="R31" s="57">
        <f t="shared" si="2"/>
        <v>41645</v>
      </c>
      <c r="S31" s="5">
        <f t="shared" si="3"/>
        <v>3.92</v>
      </c>
      <c r="T31" s="5">
        <f t="shared" si="3"/>
        <v>4.03</v>
      </c>
      <c r="U31" s="5">
        <f t="shared" si="3"/>
        <v>4.08</v>
      </c>
      <c r="V31" s="5">
        <f t="shared" si="3"/>
        <v>3.91</v>
      </c>
    </row>
    <row r="32" spans="1:22">
      <c r="A32" s="36" t="str">
        <f>IF(Tabela17[[#This Row],[Código]]="IBOV","^BVSP",IF(Tabela17[[#This Row],[Código]]="","",CONCATENATE(LEFT(Tabela17[[#This Row],[Código]],6),".SA")))</f>
        <v>VIVT3.SA</v>
      </c>
      <c r="C32" s="3" t="s">
        <v>533</v>
      </c>
      <c r="D32" s="3" t="s">
        <v>534</v>
      </c>
      <c r="E32" s="3" t="s">
        <v>650</v>
      </c>
      <c r="F32" s="3" t="s">
        <v>534</v>
      </c>
      <c r="G32" s="3" t="s">
        <v>631</v>
      </c>
      <c r="H32" s="57">
        <v>41645</v>
      </c>
      <c r="J32" s="3">
        <f t="shared" si="4"/>
        <v>41.04</v>
      </c>
      <c r="K32" s="3">
        <f t="shared" si="4"/>
        <v>40.200000000000003</v>
      </c>
      <c r="L32" s="3">
        <f t="shared" si="4"/>
        <v>41.04</v>
      </c>
      <c r="M32" s="3">
        <f t="shared" si="4"/>
        <v>39.49</v>
      </c>
      <c r="P32" s="15" t="s">
        <v>357</v>
      </c>
      <c r="Q32" s="10" t="str">
        <f t="shared" si="1"/>
        <v xml:space="preserve">TELEF BRASIL-ON  </v>
      </c>
      <c r="R32" s="57">
        <f t="shared" si="2"/>
        <v>41645</v>
      </c>
      <c r="S32" s="5">
        <f t="shared" si="3"/>
        <v>41.04</v>
      </c>
      <c r="T32" s="5">
        <f t="shared" si="3"/>
        <v>40.200000000000003</v>
      </c>
      <c r="U32" s="5">
        <f t="shared" si="3"/>
        <v>41.04</v>
      </c>
      <c r="V32" s="5">
        <f t="shared" si="3"/>
        <v>39.49</v>
      </c>
    </row>
    <row r="33" spans="1:22">
      <c r="A33" s="36" t="str">
        <f>IF(Tabela17[[#This Row],[Código]]="IBOV","^BVSP",IF(Tabela17[[#This Row],[Código]]="","",CONCATENATE(LEFT(Tabela17[[#This Row],[Código]],6),".SA")))</f>
        <v>VIVT4.SA</v>
      </c>
      <c r="C33" s="3" t="s">
        <v>535</v>
      </c>
      <c r="D33" s="3" t="s">
        <v>536</v>
      </c>
      <c r="E33" s="3" t="s">
        <v>794</v>
      </c>
      <c r="F33" s="3" t="s">
        <v>536</v>
      </c>
      <c r="G33" s="3" t="s">
        <v>537</v>
      </c>
      <c r="H33" s="57">
        <v>41645</v>
      </c>
      <c r="J33" s="3">
        <f t="shared" si="4"/>
        <v>45.55</v>
      </c>
      <c r="K33" s="3">
        <f t="shared" si="4"/>
        <v>45.11</v>
      </c>
      <c r="L33" s="3">
        <f t="shared" si="4"/>
        <v>45.55</v>
      </c>
      <c r="M33" s="3">
        <f t="shared" si="4"/>
        <v>44.53</v>
      </c>
      <c r="P33" s="15" t="s">
        <v>358</v>
      </c>
      <c r="Q33" s="10" t="str">
        <f t="shared" si="1"/>
        <v xml:space="preserve">TELEF BRASIL-PN  </v>
      </c>
      <c r="R33" s="57">
        <f t="shared" si="2"/>
        <v>41645</v>
      </c>
      <c r="S33" s="5">
        <f t="shared" si="3"/>
        <v>45.55</v>
      </c>
      <c r="T33" s="5">
        <f t="shared" si="3"/>
        <v>45.11</v>
      </c>
      <c r="U33" s="5">
        <f t="shared" si="3"/>
        <v>45.55</v>
      </c>
      <c r="V33" s="5">
        <f t="shared" si="3"/>
        <v>44.53</v>
      </c>
    </row>
    <row r="34" spans="1:22">
      <c r="A34" s="36" t="str">
        <f>IF(Tabela17[[#This Row],[Código]]="IBOV","^BVSP",IF(Tabela17[[#This Row],[Código]]="","",CONCATENATE(LEFT(Tabela17[[#This Row],[Código]],6),".SA")))</f>
        <v>BRAP3.SA</v>
      </c>
      <c r="C34" s="3" t="s">
        <v>362</v>
      </c>
      <c r="D34" s="3" t="s">
        <v>632</v>
      </c>
      <c r="E34" s="3" t="s">
        <v>633</v>
      </c>
      <c r="F34" s="3" t="s">
        <v>632</v>
      </c>
      <c r="G34" s="3" t="s">
        <v>413</v>
      </c>
      <c r="H34" s="57">
        <v>41645</v>
      </c>
      <c r="J34" s="3">
        <f t="shared" si="4"/>
        <v>19.690000000000001</v>
      </c>
      <c r="K34" s="3">
        <f t="shared" si="4"/>
        <v>19.510000000000002</v>
      </c>
      <c r="L34" s="3">
        <f t="shared" si="4"/>
        <v>19.690000000000001</v>
      </c>
      <c r="M34" s="3">
        <f t="shared" si="4"/>
        <v>19.5</v>
      </c>
      <c r="P34" s="10" t="s">
        <v>359</v>
      </c>
      <c r="Q34" s="10" t="str">
        <f t="shared" si="1"/>
        <v xml:space="preserve">BRADESPAR   -ON  </v>
      </c>
      <c r="R34" s="57">
        <f t="shared" si="2"/>
        <v>41645</v>
      </c>
      <c r="S34" s="5">
        <f t="shared" si="3"/>
        <v>19.690000000000001</v>
      </c>
      <c r="T34" s="5">
        <f t="shared" si="3"/>
        <v>19.510000000000002</v>
      </c>
      <c r="U34" s="5">
        <f t="shared" si="3"/>
        <v>19.690000000000001</v>
      </c>
      <c r="V34" s="5">
        <f t="shared" si="3"/>
        <v>19.5</v>
      </c>
    </row>
    <row r="35" spans="1:22">
      <c r="A35" s="36" t="str">
        <f>IF(Tabela17[[#This Row],[Código]]="IBOV","^BVSP",IF(Tabela17[[#This Row],[Código]]="","",CONCATENATE(LEFT(Tabela17[[#This Row],[Código]],6),".SA")))</f>
        <v>BRAP4.SA</v>
      </c>
      <c r="C35" s="3" t="s">
        <v>363</v>
      </c>
      <c r="D35" s="3" t="s">
        <v>538</v>
      </c>
      <c r="E35" s="3" t="s">
        <v>795</v>
      </c>
      <c r="F35" s="3" t="s">
        <v>539</v>
      </c>
      <c r="G35" s="3" t="s">
        <v>540</v>
      </c>
      <c r="H35" s="57">
        <v>41645</v>
      </c>
      <c r="J35" s="3">
        <f t="shared" si="4"/>
        <v>23.8</v>
      </c>
      <c r="K35" s="3">
        <f t="shared" si="4"/>
        <v>23.57</v>
      </c>
      <c r="L35" s="3">
        <f t="shared" si="4"/>
        <v>23.82</v>
      </c>
      <c r="M35" s="3">
        <f t="shared" si="4"/>
        <v>23.45</v>
      </c>
      <c r="P35" s="10" t="s">
        <v>360</v>
      </c>
      <c r="Q35" s="10" t="str">
        <f t="shared" si="1"/>
        <v xml:space="preserve">BRADESPAR   -PN  </v>
      </c>
      <c r="R35" s="57">
        <f t="shared" si="2"/>
        <v>41645</v>
      </c>
      <c r="S35" s="5">
        <f t="shared" si="3"/>
        <v>23.8</v>
      </c>
      <c r="T35" s="5">
        <f t="shared" si="3"/>
        <v>23.57</v>
      </c>
      <c r="U35" s="5">
        <f t="shared" si="3"/>
        <v>23.82</v>
      </c>
      <c r="V35" s="5">
        <f t="shared" si="3"/>
        <v>23.45</v>
      </c>
    </row>
    <row r="36" spans="1:22">
      <c r="A36" s="36" t="str">
        <f>IF(Tabela17[[#This Row],[Código]]="IBOV","^BVSP",IF(Tabela17[[#This Row],[Código]]="","",CONCATENATE(LEFT(Tabela17[[#This Row],[Código]],6),".SA")))</f>
        <v>HBTS5.SA</v>
      </c>
      <c r="C36" s="3" t="s">
        <v>369</v>
      </c>
      <c r="D36" s="3" t="s">
        <v>370</v>
      </c>
      <c r="E36" s="3" t="s">
        <v>371</v>
      </c>
      <c r="F36" s="3" t="s">
        <v>371</v>
      </c>
      <c r="G36" s="3" t="s">
        <v>370</v>
      </c>
      <c r="H36" s="57">
        <v>41645</v>
      </c>
      <c r="J36" s="3">
        <f t="shared" si="4"/>
        <v>14.99</v>
      </c>
      <c r="K36" s="3">
        <f t="shared" si="4"/>
        <v>15.8</v>
      </c>
      <c r="L36" s="3">
        <f t="shared" si="4"/>
        <v>15.8</v>
      </c>
      <c r="M36" s="3">
        <f t="shared" si="4"/>
        <v>14.99</v>
      </c>
      <c r="P36" s="14" t="s">
        <v>368</v>
      </c>
      <c r="Q36" s="10" t="str">
        <f t="shared" si="1"/>
        <v>HABITASUL   -PNA</v>
      </c>
      <c r="R36" s="57">
        <f t="shared" si="2"/>
        <v>41645</v>
      </c>
      <c r="S36" s="5">
        <f t="shared" si="3"/>
        <v>14.99</v>
      </c>
      <c r="T36" s="5">
        <f t="shared" si="3"/>
        <v>15.8</v>
      </c>
      <c r="U36" s="5">
        <f t="shared" si="3"/>
        <v>15.8</v>
      </c>
      <c r="V36" s="5">
        <f t="shared" si="3"/>
        <v>14.99</v>
      </c>
    </row>
    <row r="37" spans="1:22">
      <c r="A37" s="36" t="str">
        <f>IF(Tabela17[[#This Row],[Código]]="IBOV","^BVSP",IF(Tabela17[[#This Row],[Código]]="","",CONCATENATE(LEFT(Tabela17[[#This Row],[Código]],6),".SA")))</f>
        <v>MOAR3.SA</v>
      </c>
      <c r="C37" s="3" t="s">
        <v>373</v>
      </c>
      <c r="D37" s="3" t="s">
        <v>374</v>
      </c>
      <c r="E37" s="3" t="s">
        <v>375</v>
      </c>
      <c r="F37" s="3" t="s">
        <v>374</v>
      </c>
      <c r="G37" s="3" t="s">
        <v>375</v>
      </c>
      <c r="H37" s="57">
        <v>41645</v>
      </c>
      <c r="J37" s="3">
        <f t="shared" si="4"/>
        <v>159</v>
      </c>
      <c r="K37" s="3">
        <f t="shared" si="4"/>
        <v>158.99</v>
      </c>
      <c r="L37" s="3">
        <f t="shared" si="4"/>
        <v>159</v>
      </c>
      <c r="M37" s="3">
        <f t="shared" si="4"/>
        <v>158.99</v>
      </c>
      <c r="P37" s="14" t="s">
        <v>372</v>
      </c>
      <c r="Q37" s="10" t="str">
        <f t="shared" si="1"/>
        <v xml:space="preserve">MONT ARANHA -ON  </v>
      </c>
      <c r="R37" s="57">
        <f t="shared" si="2"/>
        <v>41645</v>
      </c>
      <c r="S37" s="5">
        <f t="shared" si="3"/>
        <v>159</v>
      </c>
      <c r="T37" s="5">
        <f t="shared" si="3"/>
        <v>158.99</v>
      </c>
      <c r="U37" s="5">
        <f t="shared" si="3"/>
        <v>159</v>
      </c>
      <c r="V37" s="5">
        <f t="shared" si="3"/>
        <v>158.99</v>
      </c>
    </row>
    <row r="38" spans="1:22">
      <c r="A38" s="36" t="str">
        <f>IF(Tabela17[[#This Row],[Código]]="IBOV","^BVSP",IF(Tabela17[[#This Row],[Código]]="","",CONCATENATE(LEFT(Tabela17[[#This Row],[Código]],6),".SA")))</f>
        <v>UGPA3.SA</v>
      </c>
      <c r="C38" s="3" t="s">
        <v>377</v>
      </c>
      <c r="D38" s="3" t="s">
        <v>541</v>
      </c>
      <c r="E38" s="3" t="s">
        <v>796</v>
      </c>
      <c r="F38" s="3" t="s">
        <v>542</v>
      </c>
      <c r="G38" s="3" t="s">
        <v>658</v>
      </c>
      <c r="H38" s="57">
        <v>41645</v>
      </c>
      <c r="J38" s="3">
        <f t="shared" si="4"/>
        <v>53.83</v>
      </c>
      <c r="K38" s="3">
        <f t="shared" si="4"/>
        <v>53.4</v>
      </c>
      <c r="L38" s="3">
        <f t="shared" si="4"/>
        <v>53.99</v>
      </c>
      <c r="M38" s="3">
        <f t="shared" si="4"/>
        <v>53.15</v>
      </c>
      <c r="P38" s="14" t="s">
        <v>376</v>
      </c>
      <c r="Q38" s="10" t="str">
        <f t="shared" si="1"/>
        <v xml:space="preserve">ULTRAPAR    -ON  </v>
      </c>
      <c r="R38" s="57">
        <f t="shared" si="2"/>
        <v>41645</v>
      </c>
      <c r="S38" s="5">
        <f t="shared" si="3"/>
        <v>53.83</v>
      </c>
      <c r="T38" s="5">
        <f t="shared" si="3"/>
        <v>53.4</v>
      </c>
      <c r="U38" s="5">
        <f t="shared" si="3"/>
        <v>53.99</v>
      </c>
      <c r="V38" s="5">
        <f t="shared" si="3"/>
        <v>53.15</v>
      </c>
    </row>
    <row r="39" spans="1:22">
      <c r="A39" s="36" t="str">
        <f>IF(Tabela17[[#This Row],[Código]]="IBOV","^BVSP",IF(Tabela17[[#This Row],[Código]]="","",CONCATENATE(LEFT(Tabela17[[#This Row],[Código]],6),".SA")))</f>
        <v>BAHI3.SA</v>
      </c>
      <c r="C39" s="3" t="s">
        <v>379</v>
      </c>
      <c r="D39" s="3" t="s">
        <v>399</v>
      </c>
      <c r="E39" s="3" t="s">
        <v>409</v>
      </c>
      <c r="F39" s="3" t="s">
        <v>409</v>
      </c>
      <c r="G39" s="3" t="s">
        <v>400</v>
      </c>
      <c r="H39" s="57">
        <v>41645</v>
      </c>
      <c r="J39" s="3">
        <f t="shared" si="4"/>
        <v>5.08</v>
      </c>
      <c r="K39" s="3">
        <f t="shared" si="4"/>
        <v>5.18</v>
      </c>
      <c r="L39" s="3">
        <f t="shared" si="4"/>
        <v>5.18</v>
      </c>
      <c r="M39" s="3">
        <f t="shared" si="4"/>
        <v>5</v>
      </c>
      <c r="P39" s="14" t="s">
        <v>378</v>
      </c>
      <c r="Q39" s="10" t="str">
        <f t="shared" si="1"/>
        <v>BAHEMA      -ON</v>
      </c>
      <c r="R39" s="57">
        <f t="shared" si="2"/>
        <v>41645</v>
      </c>
      <c r="S39" s="5">
        <f t="shared" ref="S39:V70" si="5">J39</f>
        <v>5.08</v>
      </c>
      <c r="T39" s="5">
        <f t="shared" si="5"/>
        <v>5.18</v>
      </c>
      <c r="U39" s="5">
        <f t="shared" si="5"/>
        <v>5.18</v>
      </c>
      <c r="V39" s="5">
        <f t="shared" si="5"/>
        <v>5</v>
      </c>
    </row>
    <row r="40" spans="1:22">
      <c r="A40" s="36" t="str">
        <f>IF(Tabela17[[#This Row],[Código]]="IBOV","^BVSP",IF(Tabela17[[#This Row],[Código]]="","",CONCATENATE(LEFT(Tabela17[[#This Row],[Código]],6),".SA")))</f>
        <v>LCAM3.SA</v>
      </c>
      <c r="C40" s="3" t="s">
        <v>388</v>
      </c>
      <c r="D40" s="3" t="s">
        <v>441</v>
      </c>
      <c r="E40" s="3" t="s">
        <v>607</v>
      </c>
      <c r="F40" s="3" t="s">
        <v>410</v>
      </c>
      <c r="G40" s="3" t="s">
        <v>607</v>
      </c>
      <c r="H40" s="57">
        <v>41645</v>
      </c>
      <c r="J40" s="3">
        <f t="shared" si="4"/>
        <v>6.87</v>
      </c>
      <c r="K40" s="3">
        <f t="shared" si="4"/>
        <v>6.71</v>
      </c>
      <c r="L40" s="3">
        <f t="shared" si="4"/>
        <v>7</v>
      </c>
      <c r="M40" s="3">
        <f t="shared" si="4"/>
        <v>6.71</v>
      </c>
      <c r="P40" s="14" t="s">
        <v>387</v>
      </c>
      <c r="Q40" s="10" t="str">
        <f t="shared" si="1"/>
        <v xml:space="preserve">LOCAMERICA  -ON  </v>
      </c>
      <c r="R40" s="57">
        <f t="shared" si="2"/>
        <v>41645</v>
      </c>
      <c r="S40" s="5">
        <f t="shared" si="5"/>
        <v>6.87</v>
      </c>
      <c r="T40" s="5">
        <f t="shared" si="5"/>
        <v>6.71</v>
      </c>
      <c r="U40" s="5">
        <f t="shared" si="5"/>
        <v>7</v>
      </c>
      <c r="V40" s="5">
        <f t="shared" si="5"/>
        <v>6.71</v>
      </c>
    </row>
    <row r="41" spans="1:22">
      <c r="A41" s="36" t="str">
        <f>IF(Tabela17[[#This Row],[Código]]="IBOV","^BVSP",IF(Tabela17[[#This Row],[Código]]="","",CONCATENATE(LEFT(Tabela17[[#This Row],[Código]],6),".SA")))</f>
        <v>PTPA4.SA</v>
      </c>
      <c r="C41" s="3" t="s">
        <v>456</v>
      </c>
      <c r="D41" s="3" t="s">
        <v>457</v>
      </c>
      <c r="E41" s="3" t="s">
        <v>457</v>
      </c>
      <c r="F41" s="3" t="s">
        <v>457</v>
      </c>
      <c r="G41" s="3" t="s">
        <v>457</v>
      </c>
      <c r="H41" s="57">
        <v>41645</v>
      </c>
      <c r="J41" s="3">
        <f t="shared" si="4"/>
        <v>56.6</v>
      </c>
      <c r="K41" s="3">
        <f t="shared" si="4"/>
        <v>56.6</v>
      </c>
      <c r="L41" s="3">
        <f t="shared" si="4"/>
        <v>56.6</v>
      </c>
      <c r="M41" s="3">
        <f t="shared" si="4"/>
        <v>56.6</v>
      </c>
      <c r="P41" s="14" t="s">
        <v>455</v>
      </c>
      <c r="Q41" s="10" t="str">
        <f t="shared" si="1"/>
        <v xml:space="preserve">EVORA       -PN  </v>
      </c>
      <c r="R41" s="50">
        <f t="shared" si="2"/>
        <v>41645</v>
      </c>
      <c r="S41" s="6">
        <f t="shared" si="5"/>
        <v>56.6</v>
      </c>
      <c r="T41" s="6">
        <f t="shared" si="5"/>
        <v>56.6</v>
      </c>
      <c r="U41" s="6">
        <f t="shared" si="5"/>
        <v>56.6</v>
      </c>
      <c r="V41" s="6">
        <f t="shared" si="5"/>
        <v>56.6</v>
      </c>
    </row>
    <row r="42" spans="1:22">
      <c r="A42" s="36" t="str">
        <f>IF(Tabela17[[#This Row],[Código]]="IBOV","^BVSP",IF(Tabela17[[#This Row],[Código]]="","",CONCATENATE(LEFT(Tabela17[[#This Row],[Código]],6),".SA")))</f>
        <v>DTEX3.SA</v>
      </c>
      <c r="C42" s="3" t="s">
        <v>465</v>
      </c>
      <c r="D42" s="3" t="s">
        <v>429</v>
      </c>
      <c r="E42" s="3" t="s">
        <v>729</v>
      </c>
      <c r="F42" s="3" t="s">
        <v>543</v>
      </c>
      <c r="G42" s="3" t="s">
        <v>724</v>
      </c>
      <c r="H42" s="57">
        <v>41645</v>
      </c>
      <c r="J42" s="3">
        <f t="shared" si="4"/>
        <v>12.72</v>
      </c>
      <c r="K42" s="3">
        <f t="shared" si="4"/>
        <v>12.44</v>
      </c>
      <c r="L42" s="3">
        <f t="shared" si="4"/>
        <v>12.79</v>
      </c>
      <c r="M42" s="3">
        <f t="shared" si="4"/>
        <v>12.38</v>
      </c>
      <c r="P42" s="14" t="s">
        <v>461</v>
      </c>
      <c r="Q42" s="10" t="str">
        <f t="shared" si="1"/>
        <v xml:space="preserve">DURATEX     -ON  </v>
      </c>
      <c r="R42" s="57">
        <f t="shared" si="2"/>
        <v>41645</v>
      </c>
      <c r="S42" s="5">
        <f t="shared" si="5"/>
        <v>12.72</v>
      </c>
      <c r="T42" s="5">
        <f t="shared" si="5"/>
        <v>12.44</v>
      </c>
      <c r="U42" s="5">
        <f t="shared" si="5"/>
        <v>12.79</v>
      </c>
      <c r="V42" s="5">
        <f t="shared" si="5"/>
        <v>12.38</v>
      </c>
    </row>
    <row r="43" spans="1:22">
      <c r="A43" s="36" t="str">
        <f>IF(Tabela17[[#This Row],[Código]]="IBOV","^BVSP",IF(Tabela17[[#This Row],[Código]]="","",CONCATENATE(LEFT(Tabela17[[#This Row],[Código]],6),".SA")))</f>
        <v>EUCA4.SA</v>
      </c>
      <c r="C43" s="3" t="s">
        <v>467</v>
      </c>
      <c r="D43" s="3" t="s">
        <v>634</v>
      </c>
      <c r="E43" s="3" t="s">
        <v>659</v>
      </c>
      <c r="F43" s="3" t="s">
        <v>659</v>
      </c>
      <c r="G43" s="3" t="s">
        <v>635</v>
      </c>
      <c r="H43" s="57">
        <v>41645</v>
      </c>
      <c r="J43" s="3">
        <f t="shared" si="4"/>
        <v>6.67</v>
      </c>
      <c r="K43" s="3">
        <f t="shared" si="4"/>
        <v>6.78</v>
      </c>
      <c r="L43" s="3">
        <f t="shared" si="4"/>
        <v>6.78</v>
      </c>
      <c r="M43" s="3">
        <f t="shared" si="4"/>
        <v>6.56</v>
      </c>
      <c r="P43" s="14" t="s">
        <v>466</v>
      </c>
      <c r="Q43" s="10" t="str">
        <f t="shared" si="1"/>
        <v xml:space="preserve">EUCATEX     -PN  </v>
      </c>
      <c r="R43" s="57">
        <f t="shared" si="2"/>
        <v>41645</v>
      </c>
      <c r="S43" s="5">
        <f t="shared" si="5"/>
        <v>6.67</v>
      </c>
      <c r="T43" s="5">
        <f t="shared" si="5"/>
        <v>6.78</v>
      </c>
      <c r="U43" s="5">
        <f t="shared" si="5"/>
        <v>6.78</v>
      </c>
      <c r="V43" s="5">
        <f t="shared" si="5"/>
        <v>6.56</v>
      </c>
    </row>
    <row r="44" spans="1:22">
      <c r="A44" s="36" t="str">
        <f>IF(Tabela17[[#This Row],[Código]]="IBOV","^BVSP",IF(Tabela17[[#This Row],[Código]]="","",CONCATENATE(LEFT(Tabela17[[#This Row],[Código]],6),".SA")))</f>
        <v>PRVI3.SA</v>
      </c>
      <c r="C44" s="3" t="s">
        <v>471</v>
      </c>
      <c r="D44" s="3" t="s">
        <v>472</v>
      </c>
      <c r="E44" s="3" t="s">
        <v>797</v>
      </c>
      <c r="F44" s="3" t="s">
        <v>669</v>
      </c>
      <c r="G44" s="3" t="s">
        <v>797</v>
      </c>
      <c r="H44" s="57">
        <v>41645</v>
      </c>
      <c r="J44" s="3">
        <f t="shared" si="4"/>
        <v>7.8</v>
      </c>
      <c r="K44" s="3">
        <f t="shared" si="4"/>
        <v>7.69</v>
      </c>
      <c r="L44" s="3">
        <f t="shared" si="4"/>
        <v>7.85</v>
      </c>
      <c r="M44" s="3">
        <f t="shared" si="4"/>
        <v>7.69</v>
      </c>
      <c r="P44" s="14" t="s">
        <v>469</v>
      </c>
      <c r="Q44" s="10" t="str">
        <f t="shared" si="1"/>
        <v xml:space="preserve">PROVIDENCIA -ON  </v>
      </c>
      <c r="R44" s="57">
        <f t="shared" si="2"/>
        <v>41645</v>
      </c>
      <c r="S44" s="5">
        <f t="shared" si="5"/>
        <v>7.8</v>
      </c>
      <c r="T44" s="5">
        <f t="shared" si="5"/>
        <v>7.69</v>
      </c>
      <c r="U44" s="5">
        <f t="shared" si="5"/>
        <v>7.85</v>
      </c>
      <c r="V44" s="5">
        <f t="shared" si="5"/>
        <v>7.69</v>
      </c>
    </row>
    <row r="45" spans="1:22">
      <c r="A45" s="36" t="str">
        <f>IF(Tabela17[[#This Row],[Código]]="IBOV","^BVSP",IF(Tabela17[[#This Row],[Código]]="","",CONCATENATE(LEFT(Tabela17[[#This Row],[Código]],6),".SA")))</f>
        <v>MAGG3.SA</v>
      </c>
      <c r="C45" s="3" t="s">
        <v>475</v>
      </c>
      <c r="D45" s="3" t="s">
        <v>476</v>
      </c>
      <c r="E45" s="3" t="s">
        <v>476</v>
      </c>
      <c r="F45" s="3" t="s">
        <v>477</v>
      </c>
      <c r="G45" s="3" t="s">
        <v>660</v>
      </c>
      <c r="H45" s="57">
        <v>41645</v>
      </c>
      <c r="J45" s="3">
        <f t="shared" si="4"/>
        <v>5.85</v>
      </c>
      <c r="K45" s="3">
        <f t="shared" si="4"/>
        <v>5.85</v>
      </c>
      <c r="L45" s="3">
        <f t="shared" si="4"/>
        <v>5.9</v>
      </c>
      <c r="M45" s="3">
        <f t="shared" si="4"/>
        <v>5.84</v>
      </c>
      <c r="P45" s="14" t="s">
        <v>473</v>
      </c>
      <c r="Q45" s="10" t="str">
        <f t="shared" si="1"/>
        <v xml:space="preserve">MAGNESITA SA-ON  </v>
      </c>
      <c r="R45" s="50">
        <f t="shared" si="2"/>
        <v>41645</v>
      </c>
      <c r="S45" s="6">
        <f t="shared" si="5"/>
        <v>5.85</v>
      </c>
      <c r="T45" s="6">
        <f t="shared" si="5"/>
        <v>5.85</v>
      </c>
      <c r="U45" s="6">
        <f t="shared" si="5"/>
        <v>5.9</v>
      </c>
      <c r="V45" s="6">
        <f t="shared" si="5"/>
        <v>5.84</v>
      </c>
    </row>
    <row r="46" spans="1:22">
      <c r="A46" s="36" t="str">
        <f>IF(Tabela17[[#This Row],[Código]]="IBOV","^BVSP",IF(Tabela17[[#This Row],[Código]]="","",CONCATENATE(LEFT(Tabela17[[#This Row],[Código]],6),".SA")))</f>
        <v>VALE5.SA</v>
      </c>
      <c r="C46" s="3" t="s">
        <v>481</v>
      </c>
      <c r="D46" s="3" t="s">
        <v>488</v>
      </c>
      <c r="E46" s="3" t="s">
        <v>675</v>
      </c>
      <c r="F46" s="3" t="s">
        <v>544</v>
      </c>
      <c r="G46" s="3" t="s">
        <v>545</v>
      </c>
      <c r="H46" s="57">
        <v>41645</v>
      </c>
      <c r="J46" s="3">
        <f t="shared" si="4"/>
        <v>31.4</v>
      </c>
      <c r="K46" s="3">
        <f t="shared" si="4"/>
        <v>31.13</v>
      </c>
      <c r="L46" s="3">
        <f t="shared" si="4"/>
        <v>31.42</v>
      </c>
      <c r="M46" s="3">
        <f t="shared" si="4"/>
        <v>31</v>
      </c>
      <c r="P46" s="14" t="s">
        <v>479</v>
      </c>
      <c r="Q46" s="10" t="str">
        <f t="shared" si="1"/>
        <v xml:space="preserve">VALE        -PNA </v>
      </c>
      <c r="R46" s="50">
        <f t="shared" si="2"/>
        <v>41645</v>
      </c>
      <c r="S46" s="6">
        <f t="shared" si="5"/>
        <v>31.4</v>
      </c>
      <c r="T46" s="6">
        <f t="shared" si="5"/>
        <v>31.13</v>
      </c>
      <c r="U46" s="6">
        <f t="shared" si="5"/>
        <v>31.42</v>
      </c>
      <c r="V46" s="6">
        <f t="shared" si="5"/>
        <v>31</v>
      </c>
    </row>
    <row r="47" spans="1:22">
      <c r="A47" s="36" t="str">
        <f>IF(Tabela17[[#This Row],[Código]]="IBOV","^BVSP",IF(Tabela17[[#This Row],[Código]]="","",CONCATENATE(LEFT(Tabela17[[#This Row],[Código]],6),".SA")))</f>
        <v>NUTR3M.SA</v>
      </c>
      <c r="C47" s="3" t="s">
        <v>483</v>
      </c>
      <c r="D47" s="3" t="s">
        <v>661</v>
      </c>
      <c r="E47" s="3" t="s">
        <v>661</v>
      </c>
      <c r="F47" s="3" t="s">
        <v>661</v>
      </c>
      <c r="G47" s="3" t="s">
        <v>661</v>
      </c>
      <c r="H47" s="57">
        <v>41645</v>
      </c>
      <c r="J47" s="3">
        <f t="shared" si="4"/>
        <v>1.62</v>
      </c>
      <c r="K47" s="3">
        <f t="shared" si="4"/>
        <v>1.62</v>
      </c>
      <c r="L47" s="3">
        <f t="shared" si="4"/>
        <v>1.62</v>
      </c>
      <c r="M47" s="3">
        <f t="shared" si="4"/>
        <v>1.62</v>
      </c>
      <c r="P47" s="14" t="s">
        <v>482</v>
      </c>
      <c r="Q47" s="10" t="str">
        <f t="shared" si="1"/>
        <v xml:space="preserve">NUTRIPLANT  -ON  </v>
      </c>
      <c r="R47" s="57">
        <f t="shared" si="2"/>
        <v>41645</v>
      </c>
      <c r="S47" s="5">
        <f t="shared" si="5"/>
        <v>1.62</v>
      </c>
      <c r="T47" s="5">
        <f t="shared" si="5"/>
        <v>1.62</v>
      </c>
      <c r="U47" s="5">
        <f t="shared" si="5"/>
        <v>1.62</v>
      </c>
      <c r="V47" s="5">
        <f t="shared" si="5"/>
        <v>1.62</v>
      </c>
    </row>
    <row r="48" spans="1:22">
      <c r="A48" s="36" t="str">
        <f>IF(Tabela17[[#This Row],[Código]]="IBOV","^BVSP",IF(Tabela17[[#This Row],[Código]]="","",CONCATENATE(LEFT(Tabela17[[#This Row],[Código]],6),".SA")))</f>
        <v>PATI4.SA</v>
      </c>
      <c r="C48" s="3" t="s">
        <v>489</v>
      </c>
      <c r="D48" s="3" t="s">
        <v>490</v>
      </c>
      <c r="E48" s="3" t="s">
        <v>490</v>
      </c>
      <c r="F48" s="3" t="s">
        <v>490</v>
      </c>
      <c r="G48" s="3" t="s">
        <v>490</v>
      </c>
      <c r="H48" s="57">
        <v>41645</v>
      </c>
      <c r="J48" s="3">
        <f t="shared" si="4"/>
        <v>18.75</v>
      </c>
      <c r="K48" s="3">
        <f t="shared" si="4"/>
        <v>18.75</v>
      </c>
      <c r="L48" s="3">
        <f t="shared" si="4"/>
        <v>18.75</v>
      </c>
      <c r="M48" s="3">
        <f t="shared" si="4"/>
        <v>18.75</v>
      </c>
      <c r="P48" s="14" t="s">
        <v>484</v>
      </c>
      <c r="Q48" s="10" t="str">
        <f t="shared" si="1"/>
        <v>PANATLANTICA-PN</v>
      </c>
      <c r="R48" s="57">
        <f t="shared" si="2"/>
        <v>41645</v>
      </c>
      <c r="S48" s="5">
        <f t="shared" si="5"/>
        <v>18.75</v>
      </c>
      <c r="T48" s="5">
        <f t="shared" si="5"/>
        <v>18.75</v>
      </c>
      <c r="U48" s="5">
        <f t="shared" si="5"/>
        <v>18.75</v>
      </c>
      <c r="V48" s="5">
        <f t="shared" si="5"/>
        <v>18.75</v>
      </c>
    </row>
    <row r="49" spans="1:22">
      <c r="A49" s="36" t="str">
        <f>IF(Tabela17[[#This Row],[Código]]="IBOV","^BVSP",IF(Tabela17[[#This Row],[Código]]="","",CONCATENATE(LEFT(Tabela17[[#This Row],[Código]],6),".SA")))</f>
        <v>TKNO4.SA</v>
      </c>
      <c r="C49" s="3" t="s">
        <v>492</v>
      </c>
      <c r="D49" s="3" t="s">
        <v>493</v>
      </c>
      <c r="E49" s="3" t="s">
        <v>493</v>
      </c>
      <c r="F49" s="3" t="s">
        <v>493</v>
      </c>
      <c r="G49" s="3" t="s">
        <v>493</v>
      </c>
      <c r="H49" s="57">
        <v>41645</v>
      </c>
      <c r="J49" s="3">
        <f t="shared" si="4"/>
        <v>88</v>
      </c>
      <c r="K49" s="3">
        <f t="shared" si="4"/>
        <v>88</v>
      </c>
      <c r="L49" s="3">
        <f t="shared" si="4"/>
        <v>88</v>
      </c>
      <c r="M49" s="3">
        <f t="shared" si="4"/>
        <v>88</v>
      </c>
      <c r="P49" s="15" t="s">
        <v>491</v>
      </c>
      <c r="Q49" s="10" t="str">
        <f t="shared" si="1"/>
        <v>TEKNO       -PN</v>
      </c>
      <c r="R49" s="57">
        <f t="shared" si="2"/>
        <v>41645</v>
      </c>
      <c r="S49" s="5">
        <f t="shared" si="5"/>
        <v>88</v>
      </c>
      <c r="T49" s="5">
        <f t="shared" si="5"/>
        <v>88</v>
      </c>
      <c r="U49" s="5">
        <f t="shared" si="5"/>
        <v>88</v>
      </c>
      <c r="V49" s="5">
        <f t="shared" si="5"/>
        <v>88</v>
      </c>
    </row>
    <row r="50" spans="1:22">
      <c r="A50" s="36" t="str">
        <f>IF(Tabela17[[#This Row],[Código]]="IBOV","^BVSP",IF(Tabela17[[#This Row],[Código]]="","",CONCATENATE(LEFT(Tabela17[[#This Row],[Código]],6),".SA")))</f>
        <v>ETER3.SA</v>
      </c>
      <c r="C50" s="3" t="s">
        <v>498</v>
      </c>
      <c r="D50" s="3" t="s">
        <v>546</v>
      </c>
      <c r="E50" s="3" t="s">
        <v>499</v>
      </c>
      <c r="F50" s="3" t="s">
        <v>433</v>
      </c>
      <c r="G50" s="3" t="s">
        <v>547</v>
      </c>
      <c r="H50" s="57">
        <v>41645</v>
      </c>
      <c r="J50" s="3">
        <f t="shared" si="4"/>
        <v>8.6199999999999992</v>
      </c>
      <c r="K50" s="3">
        <f t="shared" si="4"/>
        <v>8.65</v>
      </c>
      <c r="L50" s="3">
        <f t="shared" si="4"/>
        <v>8.74</v>
      </c>
      <c r="M50" s="3">
        <f t="shared" si="4"/>
        <v>8.6</v>
      </c>
      <c r="P50" s="15" t="s">
        <v>494</v>
      </c>
      <c r="Q50" s="10" t="str">
        <f t="shared" si="1"/>
        <v xml:space="preserve">ETERNIT     -ON  </v>
      </c>
      <c r="R50" s="50">
        <f t="shared" si="2"/>
        <v>41645</v>
      </c>
      <c r="S50" s="6">
        <f t="shared" si="5"/>
        <v>8.6199999999999992</v>
      </c>
      <c r="T50" s="6">
        <f t="shared" si="5"/>
        <v>8.65</v>
      </c>
      <c r="U50" s="6">
        <f t="shared" si="5"/>
        <v>8.74</v>
      </c>
      <c r="V50" s="6">
        <f t="shared" si="5"/>
        <v>8.6</v>
      </c>
    </row>
    <row r="51" spans="1:22">
      <c r="A51" s="36" t="str">
        <f>IF(Tabela17[[#This Row],[Código]]="IBOV","^BVSP",IF(Tabela17[[#This Row],[Código]]="","",CONCATENATE(LEFT(Tabela17[[#This Row],[Código]],6),".SA")))</f>
        <v>ALSC3.SA</v>
      </c>
      <c r="C51" s="3" t="s">
        <v>662</v>
      </c>
      <c r="D51" s="3" t="s">
        <v>663</v>
      </c>
      <c r="E51" s="3" t="s">
        <v>740</v>
      </c>
      <c r="F51" s="3" t="s">
        <v>664</v>
      </c>
      <c r="G51" s="3" t="s">
        <v>665</v>
      </c>
      <c r="H51" s="57">
        <v>41645</v>
      </c>
      <c r="J51" s="3">
        <f t="shared" si="4"/>
        <v>18.14</v>
      </c>
      <c r="K51" s="3">
        <f t="shared" si="4"/>
        <v>18.2</v>
      </c>
      <c r="L51" s="3">
        <f t="shared" si="4"/>
        <v>18.37</v>
      </c>
      <c r="M51" s="3">
        <f t="shared" si="4"/>
        <v>18.07</v>
      </c>
      <c r="P51" s="14" t="s">
        <v>652</v>
      </c>
      <c r="Q51" s="10" t="str">
        <f t="shared" si="1"/>
        <v xml:space="preserve">ALIANSCE    -ON  </v>
      </c>
      <c r="R51" s="50">
        <f t="shared" si="2"/>
        <v>41645</v>
      </c>
      <c r="S51" s="6">
        <f t="shared" si="5"/>
        <v>18.14</v>
      </c>
      <c r="T51" s="6">
        <f t="shared" si="5"/>
        <v>18.2</v>
      </c>
      <c r="U51" s="6">
        <f t="shared" si="5"/>
        <v>18.37</v>
      </c>
      <c r="V51" s="6">
        <f t="shared" si="5"/>
        <v>18.07</v>
      </c>
    </row>
    <row r="52" spans="1:22">
      <c r="A52" s="36" t="str">
        <f>IF(Tabela17[[#This Row],[Código]]="IBOV","^BVSP",IF(Tabela17[[#This Row],[Código]]="","",CONCATENATE(LEFT(Tabela17[[#This Row],[Código]],6),".SA")))</f>
        <v>BRML3.SA</v>
      </c>
      <c r="C52" s="3" t="s">
        <v>670</v>
      </c>
      <c r="D52" s="3" t="s">
        <v>671</v>
      </c>
      <c r="E52" s="3" t="s">
        <v>798</v>
      </c>
      <c r="F52" s="3" t="s">
        <v>672</v>
      </c>
      <c r="G52" s="3" t="s">
        <v>716</v>
      </c>
      <c r="H52" s="57">
        <v>41645</v>
      </c>
      <c r="J52" s="3">
        <f t="shared" si="4"/>
        <v>17.3</v>
      </c>
      <c r="K52" s="3">
        <f t="shared" si="4"/>
        <v>16.96</v>
      </c>
      <c r="L52" s="3">
        <f t="shared" si="4"/>
        <v>17.329999999999998</v>
      </c>
      <c r="M52" s="3">
        <f t="shared" si="4"/>
        <v>16.8</v>
      </c>
      <c r="P52" s="10" t="s">
        <v>666</v>
      </c>
      <c r="Q52" s="10" t="str">
        <f t="shared" si="1"/>
        <v xml:space="preserve">BR MALLS PAR-ON  </v>
      </c>
      <c r="R52" s="57">
        <f t="shared" si="2"/>
        <v>41645</v>
      </c>
      <c r="S52" s="5">
        <f t="shared" si="5"/>
        <v>17.3</v>
      </c>
      <c r="T52" s="5">
        <f t="shared" si="5"/>
        <v>16.96</v>
      </c>
      <c r="U52" s="5">
        <f t="shared" si="5"/>
        <v>17.329999999999998</v>
      </c>
      <c r="V52" s="5">
        <f t="shared" si="5"/>
        <v>16.8</v>
      </c>
    </row>
    <row r="53" spans="1:22">
      <c r="A53" s="36" t="str">
        <f>IF(Tabela17[[#This Row],[Código]]="IBOV","^BVSP",IF(Tabela17[[#This Row],[Código]]="","",CONCATENATE(LEFT(Tabela17[[#This Row],[Código]],6),".SA")))</f>
        <v>BRPR3.SA</v>
      </c>
      <c r="C53" s="3" t="s">
        <v>676</v>
      </c>
      <c r="D53" s="3" t="s">
        <v>677</v>
      </c>
      <c r="E53" s="3" t="s">
        <v>799</v>
      </c>
      <c r="F53" s="3" t="s">
        <v>407</v>
      </c>
      <c r="G53" s="3" t="s">
        <v>678</v>
      </c>
      <c r="H53" s="57">
        <v>41645</v>
      </c>
      <c r="J53" s="3">
        <f t="shared" si="4"/>
        <v>18.010000000000002</v>
      </c>
      <c r="K53" s="3">
        <f t="shared" si="4"/>
        <v>17.95</v>
      </c>
      <c r="L53" s="3">
        <f t="shared" si="4"/>
        <v>18.149999999999999</v>
      </c>
      <c r="M53" s="3">
        <f t="shared" si="4"/>
        <v>17.78</v>
      </c>
      <c r="P53" s="15" t="s">
        <v>673</v>
      </c>
      <c r="Q53" s="10" t="str">
        <f t="shared" si="1"/>
        <v xml:space="preserve">BR PROPERT  -ON  </v>
      </c>
      <c r="R53" s="57">
        <f t="shared" si="2"/>
        <v>41645</v>
      </c>
      <c r="S53" s="5">
        <f t="shared" si="5"/>
        <v>18.010000000000002</v>
      </c>
      <c r="T53" s="5">
        <f t="shared" si="5"/>
        <v>17.95</v>
      </c>
      <c r="U53" s="5">
        <f t="shared" si="5"/>
        <v>18.149999999999999</v>
      </c>
      <c r="V53" s="5">
        <f t="shared" si="5"/>
        <v>17.78</v>
      </c>
    </row>
    <row r="54" spans="1:22">
      <c r="A54" s="36" t="str">
        <f>IF(Tabela17[[#This Row],[Código]]="IBOV","^BVSP",IF(Tabela17[[#This Row],[Código]]="","",CONCATENATE(LEFT(Tabela17[[#This Row],[Código]],6),".SA")))</f>
        <v>CCPR3.SA</v>
      </c>
      <c r="C54" s="3" t="s">
        <v>681</v>
      </c>
      <c r="D54" s="3" t="s">
        <v>402</v>
      </c>
      <c r="E54" s="3" t="s">
        <v>402</v>
      </c>
      <c r="F54" s="3" t="s">
        <v>402</v>
      </c>
      <c r="G54" s="3" t="s">
        <v>402</v>
      </c>
      <c r="H54" s="57">
        <v>41645</v>
      </c>
      <c r="J54" s="3">
        <f t="shared" si="4"/>
        <v>21</v>
      </c>
      <c r="K54" s="3">
        <f t="shared" si="4"/>
        <v>21</v>
      </c>
      <c r="L54" s="3">
        <f t="shared" si="4"/>
        <v>21</v>
      </c>
      <c r="M54" s="3">
        <f t="shared" si="4"/>
        <v>21</v>
      </c>
      <c r="P54" s="15" t="s">
        <v>679</v>
      </c>
      <c r="Q54" s="10" t="str">
        <f t="shared" si="1"/>
        <v xml:space="preserve">CYRE COM-CCP-ON  </v>
      </c>
      <c r="R54" s="57">
        <f t="shared" si="2"/>
        <v>41645</v>
      </c>
      <c r="S54" s="5">
        <f t="shared" si="5"/>
        <v>21</v>
      </c>
      <c r="T54" s="5">
        <f t="shared" si="5"/>
        <v>21</v>
      </c>
      <c r="U54" s="5">
        <f t="shared" si="5"/>
        <v>21</v>
      </c>
      <c r="V54" s="5">
        <f t="shared" si="5"/>
        <v>21</v>
      </c>
    </row>
    <row r="55" spans="1:22">
      <c r="A55" s="36" t="str">
        <f>IF(Tabela17[[#This Row],[Código]]="IBOV","^BVSP",IF(Tabela17[[#This Row],[Código]]="","",CONCATENATE(LEFT(Tabela17[[#This Row],[Código]],6),".SA")))</f>
        <v>IGTA3.SA</v>
      </c>
      <c r="C55" s="3" t="s">
        <v>686</v>
      </c>
      <c r="D55" s="3" t="s">
        <v>687</v>
      </c>
      <c r="E55" s="3" t="s">
        <v>694</v>
      </c>
      <c r="F55" s="3" t="s">
        <v>687</v>
      </c>
      <c r="G55" s="3" t="s">
        <v>688</v>
      </c>
      <c r="H55" s="57">
        <v>41645</v>
      </c>
      <c r="J55" s="3">
        <f t="shared" si="4"/>
        <v>22.34</v>
      </c>
      <c r="K55" s="3">
        <f t="shared" si="4"/>
        <v>21.7</v>
      </c>
      <c r="L55" s="3">
        <f t="shared" si="4"/>
        <v>22.34</v>
      </c>
      <c r="M55" s="3">
        <f t="shared" si="4"/>
        <v>21.65</v>
      </c>
      <c r="P55" s="14" t="s">
        <v>682</v>
      </c>
      <c r="Q55" s="10" t="str">
        <f t="shared" si="1"/>
        <v xml:space="preserve">IGUATEMI    -ON  </v>
      </c>
      <c r="R55" s="57">
        <f t="shared" si="2"/>
        <v>41645</v>
      </c>
      <c r="S55" s="5">
        <f t="shared" si="5"/>
        <v>22.34</v>
      </c>
      <c r="T55" s="5">
        <f t="shared" si="5"/>
        <v>21.7</v>
      </c>
      <c r="U55" s="5">
        <f t="shared" si="5"/>
        <v>22.34</v>
      </c>
      <c r="V55" s="5">
        <f t="shared" si="5"/>
        <v>21.65</v>
      </c>
    </row>
    <row r="56" spans="1:22">
      <c r="A56" s="36" t="str">
        <f>IF(Tabela17[[#This Row],[Código]]="IBOV","^BVSP",IF(Tabela17[[#This Row],[Código]]="","",CONCATENATE(LEFT(Tabela17[[#This Row],[Código]],6),".SA")))</f>
        <v>MULT3.SA</v>
      </c>
      <c r="C56" s="3" t="s">
        <v>691</v>
      </c>
      <c r="D56" s="3" t="s">
        <v>692</v>
      </c>
      <c r="E56" s="3" t="s">
        <v>474</v>
      </c>
      <c r="F56" s="3" t="s">
        <v>692</v>
      </c>
      <c r="G56" s="3" t="s">
        <v>693</v>
      </c>
      <c r="H56" s="57">
        <v>41645</v>
      </c>
      <c r="J56" s="3">
        <f t="shared" si="4"/>
        <v>49.8</v>
      </c>
      <c r="K56" s="3">
        <f t="shared" si="4"/>
        <v>48.12</v>
      </c>
      <c r="L56" s="3">
        <f t="shared" si="4"/>
        <v>49.8</v>
      </c>
      <c r="M56" s="3">
        <f t="shared" si="4"/>
        <v>48.08</v>
      </c>
      <c r="P56" s="14" t="s">
        <v>689</v>
      </c>
      <c r="Q56" s="10" t="str">
        <f t="shared" si="1"/>
        <v xml:space="preserve">MULTIPLAN   -ON  </v>
      </c>
      <c r="R56" s="57">
        <f t="shared" si="2"/>
        <v>41645</v>
      </c>
      <c r="S56" s="5">
        <f t="shared" si="5"/>
        <v>49.8</v>
      </c>
      <c r="T56" s="5">
        <f t="shared" si="5"/>
        <v>48.12</v>
      </c>
      <c r="U56" s="5">
        <f t="shared" si="5"/>
        <v>49.8</v>
      </c>
      <c r="V56" s="5">
        <f t="shared" si="5"/>
        <v>48.08</v>
      </c>
    </row>
    <row r="57" spans="1:22">
      <c r="A57" s="36" t="str">
        <f>IF(Tabela17[[#This Row],[Código]]="IBOV","^BVSP",IF(Tabela17[[#This Row],[Código]]="","",CONCATENATE(LEFT(Tabela17[[#This Row],[Código]],6),".SA")))</f>
        <v>SSBR3.SA</v>
      </c>
      <c r="C57" s="3" t="s">
        <v>698</v>
      </c>
      <c r="D57" s="3" t="s">
        <v>621</v>
      </c>
      <c r="E57" s="3" t="s">
        <v>741</v>
      </c>
      <c r="F57" s="3" t="s">
        <v>700</v>
      </c>
      <c r="G57" s="3" t="s">
        <v>701</v>
      </c>
      <c r="H57" s="57">
        <v>41645</v>
      </c>
      <c r="J57" s="3">
        <f t="shared" si="4"/>
        <v>18.22</v>
      </c>
      <c r="K57" s="3">
        <f t="shared" si="4"/>
        <v>17.93</v>
      </c>
      <c r="L57" s="3">
        <f t="shared" si="4"/>
        <v>18.29</v>
      </c>
      <c r="M57" s="3">
        <f t="shared" si="4"/>
        <v>17.920000000000002</v>
      </c>
      <c r="P57" s="14" t="s">
        <v>695</v>
      </c>
      <c r="Q57" s="10" t="str">
        <f t="shared" si="1"/>
        <v xml:space="preserve">SIERRABRASIL-ON  </v>
      </c>
      <c r="R57" s="57">
        <f t="shared" si="2"/>
        <v>41645</v>
      </c>
      <c r="S57" s="5">
        <f t="shared" si="5"/>
        <v>18.22</v>
      </c>
      <c r="T57" s="5">
        <f t="shared" si="5"/>
        <v>17.93</v>
      </c>
      <c r="U57" s="5">
        <f t="shared" si="5"/>
        <v>18.29</v>
      </c>
      <c r="V57" s="5">
        <f t="shared" si="5"/>
        <v>17.920000000000002</v>
      </c>
    </row>
    <row r="58" spans="1:22">
      <c r="A58" s="36" t="str">
        <f>IF(Tabela17[[#This Row],[Código]]="IBOV","^BVSP",IF(Tabela17[[#This Row],[Código]]="","",CONCATENATE(LEFT(Tabela17[[#This Row],[Código]],6),".SA")))</f>
        <v>SCAR3.SA</v>
      </c>
      <c r="C58" s="3" t="s">
        <v>702</v>
      </c>
      <c r="D58" s="3" t="s">
        <v>703</v>
      </c>
      <c r="E58" s="3" t="s">
        <v>800</v>
      </c>
      <c r="F58" s="3" t="s">
        <v>704</v>
      </c>
      <c r="G58" s="3" t="s">
        <v>705</v>
      </c>
      <c r="H58" s="57">
        <v>41645</v>
      </c>
      <c r="J58" s="3">
        <f t="shared" si="4"/>
        <v>37.46</v>
      </c>
      <c r="K58" s="3">
        <f t="shared" si="4"/>
        <v>36.799999999999997</v>
      </c>
      <c r="L58" s="3">
        <f t="shared" si="4"/>
        <v>37.47</v>
      </c>
      <c r="M58" s="3">
        <f t="shared" si="4"/>
        <v>36.549999999999997</v>
      </c>
      <c r="P58" s="14" t="s">
        <v>696</v>
      </c>
      <c r="Q58" s="10" t="str">
        <f t="shared" si="1"/>
        <v xml:space="preserve">SAO CARLOS  -ON  </v>
      </c>
      <c r="R58" s="57">
        <f t="shared" si="2"/>
        <v>41645</v>
      </c>
      <c r="S58" s="5">
        <f t="shared" si="5"/>
        <v>37.46</v>
      </c>
      <c r="T58" s="5">
        <f t="shared" si="5"/>
        <v>36.799999999999997</v>
      </c>
      <c r="U58" s="5">
        <f t="shared" si="5"/>
        <v>37.47</v>
      </c>
      <c r="V58" s="5">
        <f t="shared" si="5"/>
        <v>36.549999999999997</v>
      </c>
    </row>
    <row r="59" spans="1:22">
      <c r="A59" s="36" t="str">
        <f>IF(Tabela17[[#This Row],[Código]]="IBOV","^BVSP",IF(Tabela17[[#This Row],[Código]]="","",CONCATENATE(LEFT(Tabela17[[#This Row],[Código]],6),".SA")))</f>
        <v>MERC3.SA</v>
      </c>
      <c r="C59" s="3" t="s">
        <v>711</v>
      </c>
      <c r="D59" s="3" t="s">
        <v>712</v>
      </c>
      <c r="E59" s="93">
        <v>83591</v>
      </c>
      <c r="F59" s="93">
        <v>83591</v>
      </c>
      <c r="G59" s="93">
        <v>83591</v>
      </c>
      <c r="H59" s="57">
        <v>41645</v>
      </c>
      <c r="J59" s="3">
        <f t="shared" si="4"/>
        <v>8.5500000000000007</v>
      </c>
      <c r="K59" s="3">
        <f t="shared" si="4"/>
        <v>83.91</v>
      </c>
      <c r="L59" s="3">
        <f t="shared" si="4"/>
        <v>83.91</v>
      </c>
      <c r="M59" s="3">
        <f t="shared" si="4"/>
        <v>83.91</v>
      </c>
      <c r="P59" s="14" t="s">
        <v>706</v>
      </c>
      <c r="Q59" s="10" t="str">
        <f t="shared" si="1"/>
        <v>MERC FINANC -ON</v>
      </c>
      <c r="R59" s="57">
        <f t="shared" si="2"/>
        <v>41645</v>
      </c>
      <c r="S59" s="5">
        <f t="shared" si="5"/>
        <v>8.5500000000000007</v>
      </c>
      <c r="T59" s="5">
        <f t="shared" si="5"/>
        <v>83.91</v>
      </c>
      <c r="U59" s="5">
        <f t="shared" si="5"/>
        <v>83.91</v>
      </c>
      <c r="V59" s="5">
        <f t="shared" si="5"/>
        <v>83.91</v>
      </c>
    </row>
    <row r="60" spans="1:22">
      <c r="A60" s="36" t="str">
        <f>IF(Tabela17[[#This Row],[Código]]="IBOV","^BVSP",IF(Tabela17[[#This Row],[Código]]="","",CONCATENATE(LEFT(Tabela17[[#This Row],[Código]],6),".SA")))</f>
        <v>MERC4.SA</v>
      </c>
      <c r="C60" s="3" t="s">
        <v>713</v>
      </c>
      <c r="D60" s="3" t="s">
        <v>403</v>
      </c>
      <c r="E60" s="3" t="s">
        <v>403</v>
      </c>
      <c r="F60" s="3" t="s">
        <v>403</v>
      </c>
      <c r="G60" s="3" t="s">
        <v>432</v>
      </c>
      <c r="H60" s="57">
        <v>41645</v>
      </c>
      <c r="J60" s="3">
        <f t="shared" si="4"/>
        <v>8.5</v>
      </c>
      <c r="K60" s="3">
        <f t="shared" si="4"/>
        <v>8.5</v>
      </c>
      <c r="L60" s="3">
        <f t="shared" si="4"/>
        <v>8.5</v>
      </c>
      <c r="M60" s="3">
        <f t="shared" si="4"/>
        <v>7.71</v>
      </c>
      <c r="P60" s="14" t="s">
        <v>707</v>
      </c>
      <c r="Q60" s="10" t="str">
        <f t="shared" si="1"/>
        <v>MERC FINANC -PN</v>
      </c>
      <c r="R60" s="57">
        <f t="shared" si="2"/>
        <v>41645</v>
      </c>
      <c r="S60" s="5">
        <f t="shared" si="5"/>
        <v>8.5</v>
      </c>
      <c r="T60" s="5">
        <f t="shared" si="5"/>
        <v>8.5</v>
      </c>
      <c r="U60" s="5">
        <f t="shared" si="5"/>
        <v>8.5</v>
      </c>
      <c r="V60" s="5">
        <f t="shared" si="5"/>
        <v>7.71</v>
      </c>
    </row>
    <row r="61" spans="1:22">
      <c r="A61" s="36" t="str">
        <f>IF(Tabela17[[#This Row],[Código]]="IBOV","^BVSP",IF(Tabela17[[#This Row],[Código]]="","",CONCATENATE(LEFT(Tabela17[[#This Row],[Código]],6),".SA")))</f>
        <v>CRIV3.SA</v>
      </c>
      <c r="C61" s="3" t="s">
        <v>717</v>
      </c>
      <c r="D61" s="3" t="s">
        <v>497</v>
      </c>
      <c r="E61" s="3" t="s">
        <v>497</v>
      </c>
      <c r="F61" s="3" t="s">
        <v>497</v>
      </c>
      <c r="G61" s="3" t="s">
        <v>497</v>
      </c>
      <c r="H61" s="57">
        <v>41645</v>
      </c>
      <c r="J61" s="3">
        <f t="shared" si="4"/>
        <v>3.99</v>
      </c>
      <c r="K61" s="3">
        <f t="shared" si="4"/>
        <v>3.99</v>
      </c>
      <c r="L61" s="3">
        <f t="shared" si="4"/>
        <v>3.99</v>
      </c>
      <c r="M61" s="3">
        <f t="shared" si="4"/>
        <v>3.99</v>
      </c>
      <c r="P61" s="10" t="s">
        <v>714</v>
      </c>
      <c r="Q61" s="10" t="str">
        <f t="shared" si="1"/>
        <v>ALFA FINANC -ON</v>
      </c>
      <c r="R61" s="57">
        <f t="shared" si="2"/>
        <v>41645</v>
      </c>
      <c r="S61" s="5">
        <f t="shared" si="5"/>
        <v>3.99</v>
      </c>
      <c r="T61" s="5">
        <f t="shared" si="5"/>
        <v>3.99</v>
      </c>
      <c r="U61" s="5">
        <f t="shared" si="5"/>
        <v>3.99</v>
      </c>
      <c r="V61" s="5">
        <f t="shared" si="5"/>
        <v>3.99</v>
      </c>
    </row>
    <row r="62" spans="1:22">
      <c r="A62" s="36" t="str">
        <f>IF(Tabela17[[#This Row],[Código]]="IBOV","^BVSP",IF(Tabela17[[#This Row],[Código]]="","",CONCATENATE(LEFT(Tabela17[[#This Row],[Código]],6),".SA")))</f>
        <v>CRIV4.SA</v>
      </c>
      <c r="C62" s="3" t="s">
        <v>718</v>
      </c>
      <c r="D62" s="3" t="s">
        <v>439</v>
      </c>
      <c r="E62" s="3" t="s">
        <v>437</v>
      </c>
      <c r="F62" s="3" t="s">
        <v>463</v>
      </c>
      <c r="G62" s="3" t="s">
        <v>719</v>
      </c>
      <c r="H62" s="57">
        <v>41645</v>
      </c>
      <c r="J62" s="3">
        <f t="shared" si="4"/>
        <v>3.87</v>
      </c>
      <c r="K62" s="3">
        <f t="shared" si="4"/>
        <v>3.9</v>
      </c>
      <c r="L62" s="3">
        <f t="shared" si="4"/>
        <v>3.97</v>
      </c>
      <c r="M62" s="3">
        <f t="shared" si="4"/>
        <v>3.55</v>
      </c>
      <c r="P62" s="14" t="s">
        <v>715</v>
      </c>
      <c r="Q62" s="10" t="str">
        <f t="shared" si="1"/>
        <v>ALFA FINANC -PN</v>
      </c>
      <c r="R62" s="57">
        <f t="shared" si="2"/>
        <v>41645</v>
      </c>
      <c r="S62" s="5">
        <f t="shared" si="5"/>
        <v>3.87</v>
      </c>
      <c r="T62" s="5">
        <f t="shared" si="5"/>
        <v>3.9</v>
      </c>
      <c r="U62" s="5">
        <f t="shared" si="5"/>
        <v>3.97</v>
      </c>
      <c r="V62" s="5">
        <f t="shared" si="5"/>
        <v>3.55</v>
      </c>
    </row>
    <row r="63" spans="1:22">
      <c r="A63" s="36" t="str">
        <f>IF(Tabela17[[#This Row],[Código]]="IBOV","^BVSP",IF(Tabela17[[#This Row],[Código]]="","",CONCATENATE(LEFT(Tabela17[[#This Row],[Código]],6),".SA")))</f>
        <v>BRIN3.SA</v>
      </c>
      <c r="C63" s="3" t="s">
        <v>725</v>
      </c>
      <c r="D63" s="3" t="s">
        <v>665</v>
      </c>
      <c r="E63" s="3" t="s">
        <v>699</v>
      </c>
      <c r="F63" s="3" t="s">
        <v>665</v>
      </c>
      <c r="G63" s="3" t="s">
        <v>726</v>
      </c>
      <c r="H63" s="57">
        <v>41645</v>
      </c>
      <c r="J63" s="3">
        <f t="shared" si="4"/>
        <v>18.07</v>
      </c>
      <c r="K63" s="3">
        <f t="shared" si="4"/>
        <v>17.97</v>
      </c>
      <c r="L63" s="3">
        <f t="shared" si="4"/>
        <v>18.07</v>
      </c>
      <c r="M63" s="3">
        <f t="shared" si="4"/>
        <v>17.899999999999999</v>
      </c>
      <c r="P63" s="14" t="s">
        <v>720</v>
      </c>
      <c r="Q63" s="10" t="str">
        <f t="shared" si="1"/>
        <v xml:space="preserve">BR INSURANCE-ON  </v>
      </c>
      <c r="R63" s="57">
        <f t="shared" si="2"/>
        <v>41645</v>
      </c>
      <c r="S63" s="5">
        <f t="shared" si="5"/>
        <v>18.07</v>
      </c>
      <c r="T63" s="5">
        <f t="shared" si="5"/>
        <v>17.97</v>
      </c>
      <c r="U63" s="5">
        <f t="shared" si="5"/>
        <v>18.07</v>
      </c>
      <c r="V63" s="5">
        <f t="shared" si="5"/>
        <v>17.899999999999999</v>
      </c>
    </row>
    <row r="64" spans="1:22">
      <c r="A64" s="36" t="str">
        <f>IF(Tabela17[[#This Row],[Código]]="IBOV","^BVSP",IF(Tabela17[[#This Row],[Código]]="","",CONCATENATE(LEFT(Tabela17[[#This Row],[Código]],6),".SA")))</f>
        <v>TRPN3.SA</v>
      </c>
      <c r="C64" s="3" t="s">
        <v>730</v>
      </c>
      <c r="D64" s="3" t="s">
        <v>731</v>
      </c>
      <c r="E64" s="3" t="s">
        <v>732</v>
      </c>
      <c r="F64" s="3" t="s">
        <v>731</v>
      </c>
      <c r="G64" s="3" t="s">
        <v>732</v>
      </c>
      <c r="H64" s="57">
        <v>41645</v>
      </c>
      <c r="J64" s="3">
        <f t="shared" si="4"/>
        <v>15</v>
      </c>
      <c r="K64" s="3">
        <f t="shared" si="4"/>
        <v>14.89</v>
      </c>
      <c r="L64" s="3">
        <f t="shared" si="4"/>
        <v>15</v>
      </c>
      <c r="M64" s="3">
        <f t="shared" si="4"/>
        <v>14.89</v>
      </c>
      <c r="P64" s="15" t="s">
        <v>727</v>
      </c>
      <c r="Q64" s="10" t="str">
        <f t="shared" si="1"/>
        <v xml:space="preserve">TARPON INV  -ON  </v>
      </c>
      <c r="R64" s="57">
        <f t="shared" si="2"/>
        <v>41645</v>
      </c>
      <c r="S64" s="5">
        <f t="shared" si="5"/>
        <v>15</v>
      </c>
      <c r="T64" s="5">
        <f t="shared" si="5"/>
        <v>14.89</v>
      </c>
      <c r="U64" s="5">
        <f t="shared" si="5"/>
        <v>15</v>
      </c>
      <c r="V64" s="5">
        <f t="shared" si="5"/>
        <v>14.89</v>
      </c>
    </row>
    <row r="65" spans="1:22">
      <c r="A65" s="36" t="str">
        <f>IF(Tabela17[[#This Row],[Código]]="IBOV","^BVSP",IF(Tabela17[[#This Row],[Código]]="","",CONCATENATE(LEFT(Tabela17[[#This Row],[Código]],6),".SA")))</f>
        <v>BVMF3.SA</v>
      </c>
      <c r="C65" s="3" t="s">
        <v>735</v>
      </c>
      <c r="D65" s="3" t="s">
        <v>736</v>
      </c>
      <c r="E65" s="3" t="s">
        <v>801</v>
      </c>
      <c r="F65" s="3" t="s">
        <v>736</v>
      </c>
      <c r="G65" s="3" t="s">
        <v>742</v>
      </c>
      <c r="H65" s="57">
        <v>41645</v>
      </c>
      <c r="J65" s="3">
        <f t="shared" si="4"/>
        <v>10.67</v>
      </c>
      <c r="K65" s="3">
        <f t="shared" si="4"/>
        <v>10.39</v>
      </c>
      <c r="L65" s="3">
        <f t="shared" si="4"/>
        <v>10.67</v>
      </c>
      <c r="M65" s="3">
        <f t="shared" si="4"/>
        <v>10.37</v>
      </c>
      <c r="P65" s="15" t="s">
        <v>733</v>
      </c>
      <c r="Q65" s="10" t="str">
        <f t="shared" si="1"/>
        <v xml:space="preserve">BMFBOVESPA  -ON  </v>
      </c>
      <c r="R65" s="57">
        <f t="shared" si="2"/>
        <v>41645</v>
      </c>
      <c r="S65" s="5">
        <f t="shared" si="5"/>
        <v>10.67</v>
      </c>
      <c r="T65" s="5">
        <f t="shared" si="5"/>
        <v>10.39</v>
      </c>
      <c r="U65" s="5">
        <f t="shared" si="5"/>
        <v>10.67</v>
      </c>
      <c r="V65" s="5">
        <f t="shared" si="5"/>
        <v>10.37</v>
      </c>
    </row>
    <row r="66" spans="1:22">
      <c r="A66" s="36" t="str">
        <f>IF(Tabela17[[#This Row],[Código]]="IBOV","^BVSP",IF(Tabela17[[#This Row],[Código]]="","",CONCATENATE(LEFT(Tabela17[[#This Row],[Código]],6),".SA")))</f>
        <v>CTIP3.SA</v>
      </c>
      <c r="C66" s="3" t="s">
        <v>743</v>
      </c>
      <c r="D66" s="3" t="s">
        <v>540</v>
      </c>
      <c r="E66" s="3" t="s">
        <v>684</v>
      </c>
      <c r="F66" s="3" t="s">
        <v>470</v>
      </c>
      <c r="G66" s="3" t="s">
        <v>667</v>
      </c>
      <c r="H66" s="57">
        <v>41645</v>
      </c>
      <c r="J66" s="3">
        <f t="shared" si="4"/>
        <v>23.45</v>
      </c>
      <c r="K66" s="3">
        <f t="shared" si="4"/>
        <v>23.01</v>
      </c>
      <c r="L66" s="3">
        <f t="shared" si="4"/>
        <v>23.49</v>
      </c>
      <c r="M66" s="3">
        <f t="shared" si="4"/>
        <v>22.94</v>
      </c>
      <c r="P66" s="14" t="s">
        <v>737</v>
      </c>
      <c r="Q66" s="10" t="str">
        <f t="shared" si="1"/>
        <v xml:space="preserve">CETIP       -ON  </v>
      </c>
      <c r="R66" s="57">
        <f t="shared" si="2"/>
        <v>41645</v>
      </c>
      <c r="S66" s="5">
        <f t="shared" si="5"/>
        <v>23.45</v>
      </c>
      <c r="T66" s="5">
        <f t="shared" si="5"/>
        <v>23.01</v>
      </c>
      <c r="U66" s="5">
        <f t="shared" si="5"/>
        <v>23.49</v>
      </c>
      <c r="V66" s="5">
        <f t="shared" si="5"/>
        <v>22.94</v>
      </c>
    </row>
    <row r="67" spans="1:22">
      <c r="A67" s="36" t="str">
        <f>IF(Tabela17[[#This Row],[Código]]="IBOV","^BVSP",IF(Tabela17[[#This Row],[Código]]="","",CONCATENATE(LEFT(Tabela17[[#This Row],[Código]],6),".SA")))</f>
        <v>CIEL3.SA</v>
      </c>
      <c r="C67" s="3" t="s">
        <v>744</v>
      </c>
      <c r="D67" s="3" t="s">
        <v>745</v>
      </c>
      <c r="E67" s="3" t="s">
        <v>802</v>
      </c>
      <c r="F67" s="3" t="s">
        <v>746</v>
      </c>
      <c r="G67" s="3" t="s">
        <v>747</v>
      </c>
      <c r="H67" s="57">
        <v>41645</v>
      </c>
      <c r="J67" s="3">
        <f t="shared" si="4"/>
        <v>66.489999999999995</v>
      </c>
      <c r="K67" s="3">
        <f t="shared" si="4"/>
        <v>67.09</v>
      </c>
      <c r="L67" s="3">
        <f t="shared" si="4"/>
        <v>67.180000000000007</v>
      </c>
      <c r="M67" s="3">
        <f t="shared" si="4"/>
        <v>66.08</v>
      </c>
      <c r="P67" s="47" t="s">
        <v>738</v>
      </c>
      <c r="Q67" s="10" t="str">
        <f t="shared" si="1"/>
        <v xml:space="preserve">CIELO       -ON  </v>
      </c>
      <c r="R67" s="57">
        <f t="shared" si="2"/>
        <v>41645</v>
      </c>
      <c r="S67" s="5">
        <f t="shared" si="5"/>
        <v>66.489999999999995</v>
      </c>
      <c r="T67" s="5">
        <f t="shared" si="5"/>
        <v>67.09</v>
      </c>
      <c r="U67" s="5">
        <f t="shared" si="5"/>
        <v>67.180000000000007</v>
      </c>
      <c r="V67" s="5">
        <f t="shared" si="5"/>
        <v>66.08</v>
      </c>
    </row>
    <row r="68" spans="1:22">
      <c r="A68" s="36" t="str">
        <f>IF(Tabela17[[#This Row],[Código]]="IBOV","^BVSP",IF(Tabela17[[#This Row],[Código]]="","",CONCATENATE(LEFT(Tabela17[[#This Row],[Código]],6),".SA")))</f>
        <v/>
      </c>
      <c r="C68" s="3" t="s">
        <v>109</v>
      </c>
      <c r="H68" s="57"/>
      <c r="J68" s="3">
        <f t="shared" si="4"/>
        <v>0</v>
      </c>
      <c r="K68" s="3">
        <f t="shared" si="4"/>
        <v>0</v>
      </c>
      <c r="L68" s="3">
        <f t="shared" si="4"/>
        <v>0</v>
      </c>
      <c r="M68" s="3">
        <f t="shared" si="4"/>
        <v>0</v>
      </c>
      <c r="P68" s="14"/>
      <c r="Q68" s="10" t="str">
        <f t="shared" si="1"/>
        <v/>
      </c>
      <c r="R68" s="50" t="str">
        <f t="shared" si="2"/>
        <v/>
      </c>
      <c r="S68" s="6">
        <f t="shared" si="5"/>
        <v>0</v>
      </c>
      <c r="T68" s="6">
        <f t="shared" si="5"/>
        <v>0</v>
      </c>
      <c r="U68" s="6">
        <f t="shared" si="5"/>
        <v>0</v>
      </c>
      <c r="V68" s="6">
        <f t="shared" si="5"/>
        <v>0</v>
      </c>
    </row>
    <row r="69" spans="1:22">
      <c r="A69" s="36" t="str">
        <f>IF(Tabela17[[#This Row],[Código]]="IBOV","^BVSP",IF(Tabela17[[#This Row],[Código]]="","",CONCATENATE(LEFT(Tabela17[[#This Row],[Código]],6),".SA")))</f>
        <v/>
      </c>
      <c r="H69" s="57"/>
      <c r="J69" s="3">
        <f t="shared" si="4"/>
        <v>0</v>
      </c>
      <c r="K69" s="3">
        <f t="shared" si="4"/>
        <v>0</v>
      </c>
      <c r="L69" s="3">
        <f t="shared" si="4"/>
        <v>0</v>
      </c>
      <c r="M69" s="3">
        <f t="shared" si="4"/>
        <v>0</v>
      </c>
      <c r="P69" s="14"/>
      <c r="Q69" s="10" t="str">
        <f t="shared" si="1"/>
        <v/>
      </c>
      <c r="R69" s="57" t="str">
        <f t="shared" si="2"/>
        <v/>
      </c>
      <c r="S69" s="5">
        <f t="shared" si="5"/>
        <v>0</v>
      </c>
      <c r="T69" s="5">
        <f t="shared" si="5"/>
        <v>0</v>
      </c>
      <c r="U69" s="5">
        <f t="shared" si="5"/>
        <v>0</v>
      </c>
      <c r="V69" s="5">
        <f t="shared" si="5"/>
        <v>0</v>
      </c>
    </row>
    <row r="70" spans="1:22">
      <c r="A70" s="36" t="str">
        <f>IF(Tabela17[[#This Row],[Código]]="IBOV","^BVSP",IF(Tabela17[[#This Row],[Código]]="","",CONCATENATE(LEFT(Tabela17[[#This Row],[Código]],6),".SA")))</f>
        <v/>
      </c>
      <c r="H70" s="57"/>
      <c r="J70" s="3">
        <f t="shared" si="4"/>
        <v>0</v>
      </c>
      <c r="K70" s="3">
        <f t="shared" si="4"/>
        <v>0</v>
      </c>
      <c r="L70" s="3">
        <f t="shared" si="4"/>
        <v>0</v>
      </c>
      <c r="M70" s="3">
        <f t="shared" si="4"/>
        <v>0</v>
      </c>
      <c r="P70" s="14"/>
      <c r="Q70" s="10" t="str">
        <f t="shared" si="1"/>
        <v/>
      </c>
      <c r="R70" s="57" t="str">
        <f t="shared" si="2"/>
        <v/>
      </c>
      <c r="S70" s="5">
        <f t="shared" si="5"/>
        <v>0</v>
      </c>
      <c r="T70" s="5">
        <f t="shared" si="5"/>
        <v>0</v>
      </c>
      <c r="U70" s="5">
        <f t="shared" si="5"/>
        <v>0</v>
      </c>
      <c r="V70" s="5">
        <f t="shared" si="5"/>
        <v>0</v>
      </c>
    </row>
    <row r="71" spans="1:22">
      <c r="A71" s="36" t="str">
        <f>IF(Tabela17[[#This Row],[Código]]="IBOV","^BVSP",IF(Tabela17[[#This Row],[Código]]="","",CONCATENATE(LEFT(Tabela17[[#This Row],[Código]],6),".SA")))</f>
        <v/>
      </c>
      <c r="H71" s="57"/>
      <c r="J71" s="3">
        <f t="shared" si="4"/>
        <v>0</v>
      </c>
      <c r="K71" s="3">
        <f t="shared" si="4"/>
        <v>0</v>
      </c>
      <c r="L71" s="3">
        <f t="shared" si="4"/>
        <v>0</v>
      </c>
      <c r="M71" s="3">
        <f t="shared" si="4"/>
        <v>0</v>
      </c>
      <c r="P71" s="14"/>
      <c r="Q71" s="10" t="str">
        <f t="shared" ref="Q71:Q112" si="6">IF(A71="","",C71)</f>
        <v/>
      </c>
      <c r="R71" s="57" t="str">
        <f t="shared" ref="R71:R112" si="7">IF(A71="","",H71)</f>
        <v/>
      </c>
      <c r="S71" s="5">
        <f t="shared" ref="S71:V102" si="8">J71</f>
        <v>0</v>
      </c>
      <c r="T71" s="5">
        <f t="shared" si="8"/>
        <v>0</v>
      </c>
      <c r="U71" s="5">
        <f t="shared" si="8"/>
        <v>0</v>
      </c>
      <c r="V71" s="5">
        <f t="shared" si="8"/>
        <v>0</v>
      </c>
    </row>
    <row r="72" spans="1:22">
      <c r="A72" s="36" t="str">
        <f>IF(Tabela17[[#This Row],[Código]]="IBOV","^BVSP",IF(Tabela17[[#This Row],[Código]]="","",CONCATENATE(LEFT(Tabela17[[#This Row],[Código]],6),".SA")))</f>
        <v/>
      </c>
      <c r="H72" s="57"/>
      <c r="J72" s="3">
        <f t="shared" ref="J72:M135" si="9">IF($A72="",0,VALUE(CONCATENATE(LEFT(D72,LEN(D72)-3),",",RIGHT(D72,2))))</f>
        <v>0</v>
      </c>
      <c r="K72" s="3">
        <f t="shared" si="9"/>
        <v>0</v>
      </c>
      <c r="L72" s="3">
        <f t="shared" si="9"/>
        <v>0</v>
      </c>
      <c r="M72" s="3">
        <f t="shared" si="9"/>
        <v>0</v>
      </c>
      <c r="P72" s="14"/>
      <c r="Q72" s="10" t="str">
        <f t="shared" si="6"/>
        <v/>
      </c>
      <c r="R72" s="50" t="str">
        <f t="shared" si="7"/>
        <v/>
      </c>
      <c r="S72" s="6">
        <f t="shared" si="8"/>
        <v>0</v>
      </c>
      <c r="T72" s="6">
        <f t="shared" si="8"/>
        <v>0</v>
      </c>
      <c r="U72" s="5">
        <f t="shared" si="8"/>
        <v>0</v>
      </c>
      <c r="V72" s="5">
        <f t="shared" si="8"/>
        <v>0</v>
      </c>
    </row>
    <row r="73" spans="1:22">
      <c r="A73" s="36" t="str">
        <f>IF(Tabela17[[#This Row],[Código]]="IBOV","^BVSP",IF(Tabela17[[#This Row],[Código]]="","",CONCATENATE(LEFT(Tabela17[[#This Row],[Código]],6),".SA")))</f>
        <v/>
      </c>
      <c r="H73" s="57"/>
      <c r="J73" s="3">
        <f t="shared" si="9"/>
        <v>0</v>
      </c>
      <c r="K73" s="3">
        <f t="shared" si="9"/>
        <v>0</v>
      </c>
      <c r="L73" s="3">
        <f t="shared" si="9"/>
        <v>0</v>
      </c>
      <c r="M73" s="3">
        <f t="shared" si="9"/>
        <v>0</v>
      </c>
      <c r="P73" s="14"/>
      <c r="Q73" s="10" t="str">
        <f t="shared" si="6"/>
        <v/>
      </c>
      <c r="R73" s="57" t="str">
        <f t="shared" si="7"/>
        <v/>
      </c>
      <c r="S73" s="5">
        <f t="shared" si="8"/>
        <v>0</v>
      </c>
      <c r="T73" s="5">
        <f t="shared" si="8"/>
        <v>0</v>
      </c>
      <c r="U73" s="5">
        <f t="shared" si="8"/>
        <v>0</v>
      </c>
      <c r="V73" s="5">
        <f t="shared" si="8"/>
        <v>0</v>
      </c>
    </row>
    <row r="74" spans="1:22">
      <c r="A74" s="36" t="str">
        <f>IF(Tabela17[[#This Row],[Código]]="IBOV","^BVSP",IF(Tabela17[[#This Row],[Código]]="","",CONCATENATE(LEFT(Tabela17[[#This Row],[Código]],6),".SA")))</f>
        <v/>
      </c>
      <c r="H74" s="57"/>
      <c r="J74" s="3">
        <f t="shared" si="9"/>
        <v>0</v>
      </c>
      <c r="K74" s="3">
        <f t="shared" si="9"/>
        <v>0</v>
      </c>
      <c r="L74" s="3">
        <f t="shared" si="9"/>
        <v>0</v>
      </c>
      <c r="M74" s="3">
        <f t="shared" si="9"/>
        <v>0</v>
      </c>
      <c r="P74" s="27"/>
      <c r="Q74" s="10" t="str">
        <f t="shared" si="6"/>
        <v/>
      </c>
      <c r="R74" s="57" t="str">
        <f t="shared" si="7"/>
        <v/>
      </c>
      <c r="S74" s="5">
        <f t="shared" si="8"/>
        <v>0</v>
      </c>
      <c r="T74" s="5">
        <f t="shared" si="8"/>
        <v>0</v>
      </c>
      <c r="U74" s="5">
        <f t="shared" si="8"/>
        <v>0</v>
      </c>
      <c r="V74" s="5">
        <f t="shared" si="8"/>
        <v>0</v>
      </c>
    </row>
    <row r="75" spans="1:22">
      <c r="A75" s="36" t="str">
        <f>IF(Tabela17[[#This Row],[Código]]="IBOV","^BVSP",IF(Tabela17[[#This Row],[Código]]="","",CONCATENATE(LEFT(Tabela17[[#This Row],[Código]],6),".SA")))</f>
        <v/>
      </c>
      <c r="H75" s="57"/>
      <c r="J75" s="3">
        <f t="shared" si="9"/>
        <v>0</v>
      </c>
      <c r="K75" s="3">
        <f t="shared" si="9"/>
        <v>0</v>
      </c>
      <c r="L75" s="3">
        <f t="shared" si="9"/>
        <v>0</v>
      </c>
      <c r="M75" s="3">
        <f t="shared" si="9"/>
        <v>0</v>
      </c>
      <c r="P75" s="14"/>
      <c r="Q75" s="10" t="str">
        <f t="shared" si="6"/>
        <v/>
      </c>
      <c r="R75" s="57" t="str">
        <f t="shared" si="7"/>
        <v/>
      </c>
      <c r="S75" s="5">
        <f t="shared" si="8"/>
        <v>0</v>
      </c>
      <c r="T75" s="5">
        <f t="shared" si="8"/>
        <v>0</v>
      </c>
      <c r="U75" s="5">
        <f t="shared" si="8"/>
        <v>0</v>
      </c>
      <c r="V75" s="5">
        <f t="shared" si="8"/>
        <v>0</v>
      </c>
    </row>
    <row r="76" spans="1:22">
      <c r="A76" s="36" t="str">
        <f>IF(Tabela17[[#This Row],[Código]]="IBOV","^BVSP",IF(Tabela17[[#This Row],[Código]]="","",CONCATENATE(LEFT(Tabela17[[#This Row],[Código]],6),".SA")))</f>
        <v/>
      </c>
      <c r="H76" s="57"/>
      <c r="J76" s="3">
        <f t="shared" si="9"/>
        <v>0</v>
      </c>
      <c r="K76" s="3">
        <f t="shared" si="9"/>
        <v>0</v>
      </c>
      <c r="L76" s="3">
        <f t="shared" si="9"/>
        <v>0</v>
      </c>
      <c r="M76" s="3">
        <f t="shared" si="9"/>
        <v>0</v>
      </c>
      <c r="P76" s="15"/>
      <c r="Q76" s="10" t="str">
        <f t="shared" si="6"/>
        <v/>
      </c>
      <c r="R76" s="57" t="str">
        <f t="shared" si="7"/>
        <v/>
      </c>
      <c r="S76" s="5">
        <f t="shared" si="8"/>
        <v>0</v>
      </c>
      <c r="T76" s="5">
        <f t="shared" si="8"/>
        <v>0</v>
      </c>
      <c r="U76" s="5">
        <f t="shared" si="8"/>
        <v>0</v>
      </c>
      <c r="V76" s="5">
        <f t="shared" si="8"/>
        <v>0</v>
      </c>
    </row>
    <row r="77" spans="1:22">
      <c r="A77" s="36" t="str">
        <f>IF(Tabela17[[#This Row],[Código]]="IBOV","^BVSP",IF(Tabela17[[#This Row],[Código]]="","",CONCATENATE(LEFT(Tabela17[[#This Row],[Código]],6),".SA")))</f>
        <v/>
      </c>
      <c r="H77" s="57"/>
      <c r="J77" s="3">
        <f t="shared" si="9"/>
        <v>0</v>
      </c>
      <c r="K77" s="3">
        <f t="shared" si="9"/>
        <v>0</v>
      </c>
      <c r="L77" s="3">
        <f t="shared" si="9"/>
        <v>0</v>
      </c>
      <c r="M77" s="3">
        <f t="shared" si="9"/>
        <v>0</v>
      </c>
      <c r="P77" s="14"/>
      <c r="Q77" s="10" t="str">
        <f t="shared" si="6"/>
        <v/>
      </c>
      <c r="R77" s="57" t="str">
        <f t="shared" si="7"/>
        <v/>
      </c>
      <c r="S77" s="5">
        <f t="shared" si="8"/>
        <v>0</v>
      </c>
      <c r="T77" s="5">
        <f t="shared" si="8"/>
        <v>0</v>
      </c>
      <c r="U77" s="5">
        <f t="shared" si="8"/>
        <v>0</v>
      </c>
      <c r="V77" s="5">
        <f t="shared" si="8"/>
        <v>0</v>
      </c>
    </row>
    <row r="78" spans="1:22">
      <c r="A78" s="36" t="str">
        <f>IF(Tabela17[[#This Row],[Código]]="IBOV","^BVSP",IF(Tabela17[[#This Row],[Código]]="","",CONCATENATE(LEFT(Tabela17[[#This Row],[Código]],6),".SA")))</f>
        <v/>
      </c>
      <c r="H78" s="57"/>
      <c r="J78" s="3">
        <f t="shared" si="9"/>
        <v>0</v>
      </c>
      <c r="K78" s="3">
        <f t="shared" si="9"/>
        <v>0</v>
      </c>
      <c r="L78" s="3">
        <f t="shared" si="9"/>
        <v>0</v>
      </c>
      <c r="M78" s="3">
        <f t="shared" si="9"/>
        <v>0</v>
      </c>
      <c r="P78" s="27"/>
      <c r="Q78" s="10" t="str">
        <f t="shared" si="6"/>
        <v/>
      </c>
      <c r="R78" s="57" t="str">
        <f t="shared" si="7"/>
        <v/>
      </c>
      <c r="S78" s="5">
        <f t="shared" si="8"/>
        <v>0</v>
      </c>
      <c r="T78" s="5">
        <f t="shared" si="8"/>
        <v>0</v>
      </c>
      <c r="U78" s="5">
        <f t="shared" si="8"/>
        <v>0</v>
      </c>
      <c r="V78" s="5">
        <f t="shared" si="8"/>
        <v>0</v>
      </c>
    </row>
    <row r="79" spans="1:22">
      <c r="A79" s="36" t="str">
        <f>IF(Tabela17[[#This Row],[Código]]="IBOV","^BVSP",IF(Tabela17[[#This Row],[Código]]="","",CONCATENATE(LEFT(Tabela17[[#This Row],[Código]],6),".SA")))</f>
        <v/>
      </c>
      <c r="H79" s="57"/>
      <c r="J79" s="3">
        <f t="shared" si="9"/>
        <v>0</v>
      </c>
      <c r="K79" s="3">
        <f t="shared" si="9"/>
        <v>0</v>
      </c>
      <c r="L79" s="3">
        <f t="shared" si="9"/>
        <v>0</v>
      </c>
      <c r="M79" s="3">
        <f t="shared" si="9"/>
        <v>0</v>
      </c>
      <c r="P79" s="27"/>
      <c r="Q79" s="10" t="str">
        <f t="shared" si="6"/>
        <v/>
      </c>
      <c r="R79" s="57" t="str">
        <f t="shared" si="7"/>
        <v/>
      </c>
      <c r="S79" s="5">
        <f t="shared" si="8"/>
        <v>0</v>
      </c>
      <c r="T79" s="5">
        <f t="shared" si="8"/>
        <v>0</v>
      </c>
      <c r="U79" s="5">
        <f t="shared" si="8"/>
        <v>0</v>
      </c>
      <c r="V79" s="5">
        <f t="shared" si="8"/>
        <v>0</v>
      </c>
    </row>
    <row r="80" spans="1:22">
      <c r="A80" s="36" t="str">
        <f>IF(Tabela17[[#This Row],[Código]]="IBOV","^BVSP",IF(Tabela17[[#This Row],[Código]]="","",CONCATENATE(LEFT(Tabela17[[#This Row],[Código]],6),".SA")))</f>
        <v/>
      </c>
      <c r="H80" s="57"/>
      <c r="J80" s="3">
        <f t="shared" si="9"/>
        <v>0</v>
      </c>
      <c r="K80" s="3">
        <f t="shared" si="9"/>
        <v>0</v>
      </c>
      <c r="L80" s="3">
        <f t="shared" si="9"/>
        <v>0</v>
      </c>
      <c r="M80" s="3">
        <f t="shared" si="9"/>
        <v>0</v>
      </c>
      <c r="P80" s="27"/>
      <c r="Q80" s="10" t="str">
        <f t="shared" si="6"/>
        <v/>
      </c>
      <c r="R80" s="57" t="str">
        <f t="shared" si="7"/>
        <v/>
      </c>
      <c r="S80" s="5">
        <f t="shared" si="8"/>
        <v>0</v>
      </c>
      <c r="T80" s="5">
        <f t="shared" si="8"/>
        <v>0</v>
      </c>
      <c r="U80" s="5">
        <f t="shared" si="8"/>
        <v>0</v>
      </c>
      <c r="V80" s="5">
        <f t="shared" si="8"/>
        <v>0</v>
      </c>
    </row>
    <row r="81" spans="1:22">
      <c r="A81" s="36" t="str">
        <f>IF(Tabela17[[#This Row],[Código]]="IBOV","^BVSP",IF(Tabela17[[#This Row],[Código]]="","",CONCATENATE(LEFT(Tabela17[[#This Row],[Código]],6),".SA")))</f>
        <v/>
      </c>
      <c r="H81" s="57"/>
      <c r="J81" s="3">
        <f t="shared" si="9"/>
        <v>0</v>
      </c>
      <c r="K81" s="3">
        <f t="shared" si="9"/>
        <v>0</v>
      </c>
      <c r="L81" s="3">
        <f t="shared" si="9"/>
        <v>0</v>
      </c>
      <c r="M81" s="3">
        <f t="shared" si="9"/>
        <v>0</v>
      </c>
      <c r="P81" s="14"/>
      <c r="Q81" s="10" t="str">
        <f t="shared" si="6"/>
        <v/>
      </c>
      <c r="R81" s="57" t="str">
        <f t="shared" si="7"/>
        <v/>
      </c>
      <c r="S81" s="5">
        <f t="shared" si="8"/>
        <v>0</v>
      </c>
      <c r="T81" s="5">
        <f t="shared" si="8"/>
        <v>0</v>
      </c>
      <c r="U81" s="5">
        <f t="shared" si="8"/>
        <v>0</v>
      </c>
      <c r="V81" s="5">
        <f t="shared" si="8"/>
        <v>0</v>
      </c>
    </row>
    <row r="82" spans="1:22">
      <c r="A82" s="36" t="str">
        <f>IF(Tabela17[[#This Row],[Código]]="IBOV","^BVSP",IF(Tabela17[[#This Row],[Código]]="","",CONCATENATE(LEFT(Tabela17[[#This Row],[Código]],6),".SA")))</f>
        <v/>
      </c>
      <c r="H82" s="57"/>
      <c r="J82" s="3">
        <f t="shared" si="9"/>
        <v>0</v>
      </c>
      <c r="K82" s="3">
        <f t="shared" si="9"/>
        <v>0</v>
      </c>
      <c r="L82" s="3">
        <f t="shared" si="9"/>
        <v>0</v>
      </c>
      <c r="M82" s="3">
        <f t="shared" si="9"/>
        <v>0</v>
      </c>
      <c r="P82" s="14"/>
      <c r="Q82" s="10" t="str">
        <f t="shared" si="6"/>
        <v/>
      </c>
      <c r="R82" s="57" t="str">
        <f t="shared" si="7"/>
        <v/>
      </c>
      <c r="S82" s="5">
        <f t="shared" si="8"/>
        <v>0</v>
      </c>
      <c r="T82" s="5">
        <f t="shared" si="8"/>
        <v>0</v>
      </c>
      <c r="U82" s="5">
        <f t="shared" si="8"/>
        <v>0</v>
      </c>
      <c r="V82" s="5">
        <f t="shared" si="8"/>
        <v>0</v>
      </c>
    </row>
    <row r="83" spans="1:22">
      <c r="A83" s="36" t="str">
        <f>IF(Tabela17[[#This Row],[Código]]="IBOV","^BVSP",IF(Tabela17[[#This Row],[Código]]="","",CONCATENATE(LEFT(Tabela17[[#This Row],[Código]],6),".SA")))</f>
        <v/>
      </c>
      <c r="H83" s="57"/>
      <c r="J83" s="3">
        <f t="shared" si="9"/>
        <v>0</v>
      </c>
      <c r="K83" s="3">
        <f t="shared" si="9"/>
        <v>0</v>
      </c>
      <c r="L83" s="3">
        <f t="shared" si="9"/>
        <v>0</v>
      </c>
      <c r="M83" s="3">
        <f t="shared" si="9"/>
        <v>0</v>
      </c>
      <c r="P83" s="15"/>
      <c r="Q83" s="10" t="str">
        <f t="shared" si="6"/>
        <v/>
      </c>
      <c r="R83" s="57" t="str">
        <f t="shared" si="7"/>
        <v/>
      </c>
      <c r="S83" s="5">
        <f t="shared" si="8"/>
        <v>0</v>
      </c>
      <c r="T83" s="5">
        <f t="shared" si="8"/>
        <v>0</v>
      </c>
      <c r="U83" s="5">
        <f t="shared" si="8"/>
        <v>0</v>
      </c>
      <c r="V83" s="5">
        <f t="shared" si="8"/>
        <v>0</v>
      </c>
    </row>
    <row r="84" spans="1:22">
      <c r="A84" s="36" t="str">
        <f>IF(Tabela17[[#This Row],[Código]]="IBOV","^BVSP",IF(Tabela17[[#This Row],[Código]]="","",CONCATENATE(LEFT(Tabela17[[#This Row],[Código]],6),".SA")))</f>
        <v/>
      </c>
      <c r="H84" s="57"/>
      <c r="J84" s="3">
        <f t="shared" si="9"/>
        <v>0</v>
      </c>
      <c r="K84" s="3">
        <f t="shared" si="9"/>
        <v>0</v>
      </c>
      <c r="L84" s="3">
        <f t="shared" si="9"/>
        <v>0</v>
      </c>
      <c r="M84" s="3">
        <f t="shared" si="9"/>
        <v>0</v>
      </c>
      <c r="P84" s="15"/>
      <c r="Q84" s="10" t="str">
        <f t="shared" si="6"/>
        <v/>
      </c>
      <c r="R84" s="57" t="str">
        <f t="shared" si="7"/>
        <v/>
      </c>
      <c r="S84" s="5">
        <f t="shared" si="8"/>
        <v>0</v>
      </c>
      <c r="T84" s="5">
        <f t="shared" si="8"/>
        <v>0</v>
      </c>
      <c r="U84" s="5">
        <f t="shared" si="8"/>
        <v>0</v>
      </c>
      <c r="V84" s="5">
        <f t="shared" si="8"/>
        <v>0</v>
      </c>
    </row>
    <row r="85" spans="1:22">
      <c r="A85" s="36" t="str">
        <f>IF(Tabela17[[#This Row],[Código]]="IBOV","^BVSP",IF(Tabela17[[#This Row],[Código]]="","",CONCATENATE(LEFT(Tabela17[[#This Row],[Código]],6),".SA")))</f>
        <v/>
      </c>
      <c r="H85" s="57"/>
      <c r="J85" s="3">
        <f t="shared" si="9"/>
        <v>0</v>
      </c>
      <c r="K85" s="3">
        <f t="shared" si="9"/>
        <v>0</v>
      </c>
      <c r="L85" s="3">
        <f t="shared" si="9"/>
        <v>0</v>
      </c>
      <c r="M85" s="3">
        <f t="shared" si="9"/>
        <v>0</v>
      </c>
      <c r="P85" s="10"/>
      <c r="Q85" s="10" t="str">
        <f t="shared" si="6"/>
        <v/>
      </c>
      <c r="R85" s="57" t="str">
        <f t="shared" si="7"/>
        <v/>
      </c>
      <c r="S85" s="5">
        <f t="shared" si="8"/>
        <v>0</v>
      </c>
      <c r="T85" s="5">
        <f t="shared" si="8"/>
        <v>0</v>
      </c>
      <c r="U85" s="5">
        <f t="shared" si="8"/>
        <v>0</v>
      </c>
      <c r="V85" s="5">
        <f t="shared" si="8"/>
        <v>0</v>
      </c>
    </row>
    <row r="86" spans="1:22">
      <c r="A86" s="36" t="str">
        <f>IF(Tabela17[[#This Row],[Código]]="IBOV","^BVSP",IF(Tabela17[[#This Row],[Código]]="","",CONCATENATE(LEFT(Tabela17[[#This Row],[Código]],6),".SA")))</f>
        <v/>
      </c>
      <c r="H86" s="57"/>
      <c r="J86" s="3">
        <f t="shared" si="9"/>
        <v>0</v>
      </c>
      <c r="K86" s="3">
        <f t="shared" si="9"/>
        <v>0</v>
      </c>
      <c r="L86" s="3">
        <f t="shared" si="9"/>
        <v>0</v>
      </c>
      <c r="M86" s="3">
        <f t="shared" si="9"/>
        <v>0</v>
      </c>
      <c r="P86" s="10"/>
      <c r="Q86" s="10" t="str">
        <f t="shared" si="6"/>
        <v/>
      </c>
      <c r="R86" s="57" t="str">
        <f t="shared" si="7"/>
        <v/>
      </c>
      <c r="S86" s="5">
        <f t="shared" si="8"/>
        <v>0</v>
      </c>
      <c r="T86" s="5">
        <f t="shared" si="8"/>
        <v>0</v>
      </c>
      <c r="U86" s="5">
        <f t="shared" si="8"/>
        <v>0</v>
      </c>
      <c r="V86" s="5">
        <f t="shared" si="8"/>
        <v>0</v>
      </c>
    </row>
    <row r="87" spans="1:22">
      <c r="A87" s="36" t="str">
        <f>IF(Tabela17[[#This Row],[Código]]="IBOV","^BVSP",IF(Tabela17[[#This Row],[Código]]="","",CONCATENATE(LEFT(Tabela17[[#This Row],[Código]],6),".SA")))</f>
        <v/>
      </c>
      <c r="H87" s="57"/>
      <c r="J87" s="3">
        <f t="shared" si="9"/>
        <v>0</v>
      </c>
      <c r="K87" s="3">
        <f t="shared" si="9"/>
        <v>0</v>
      </c>
      <c r="L87" s="3">
        <f t="shared" si="9"/>
        <v>0</v>
      </c>
      <c r="M87" s="3">
        <f t="shared" si="9"/>
        <v>0</v>
      </c>
      <c r="P87" s="15"/>
      <c r="Q87" s="10" t="str">
        <f t="shared" si="6"/>
        <v/>
      </c>
      <c r="R87" s="57" t="str">
        <f t="shared" si="7"/>
        <v/>
      </c>
      <c r="S87" s="5">
        <f t="shared" si="8"/>
        <v>0</v>
      </c>
      <c r="T87" s="5">
        <f t="shared" si="8"/>
        <v>0</v>
      </c>
      <c r="U87" s="5">
        <f t="shared" si="8"/>
        <v>0</v>
      </c>
      <c r="V87" s="5">
        <f t="shared" si="8"/>
        <v>0</v>
      </c>
    </row>
    <row r="88" spans="1:22">
      <c r="A88" s="36" t="str">
        <f>IF(Tabela17[[#This Row],[Código]]="IBOV","^BVSP",IF(Tabela17[[#This Row],[Código]]="","",CONCATENATE(LEFT(Tabela17[[#This Row],[Código]],6),".SA")))</f>
        <v/>
      </c>
      <c r="H88" s="57"/>
      <c r="J88" s="3">
        <f t="shared" si="9"/>
        <v>0</v>
      </c>
      <c r="K88" s="3">
        <f t="shared" si="9"/>
        <v>0</v>
      </c>
      <c r="L88" s="3">
        <f t="shared" si="9"/>
        <v>0</v>
      </c>
      <c r="M88" s="3">
        <f t="shared" si="9"/>
        <v>0</v>
      </c>
      <c r="P88" s="15"/>
      <c r="Q88" s="10" t="str">
        <f t="shared" si="6"/>
        <v/>
      </c>
      <c r="R88" s="57" t="str">
        <f t="shared" si="7"/>
        <v/>
      </c>
      <c r="S88" s="5">
        <f t="shared" si="8"/>
        <v>0</v>
      </c>
      <c r="T88" s="5">
        <f t="shared" si="8"/>
        <v>0</v>
      </c>
      <c r="U88" s="5">
        <f t="shared" si="8"/>
        <v>0</v>
      </c>
      <c r="V88" s="5">
        <f t="shared" si="8"/>
        <v>0</v>
      </c>
    </row>
    <row r="89" spans="1:22">
      <c r="A89" s="36" t="str">
        <f>IF(Tabela17[[#This Row],[Código]]="IBOV","^BVSP",IF(Tabela17[[#This Row],[Código]]="","",CONCATENATE(LEFT(Tabela17[[#This Row],[Código]],6),".SA")))</f>
        <v/>
      </c>
      <c r="H89" s="57"/>
      <c r="J89" s="3">
        <f t="shared" si="9"/>
        <v>0</v>
      </c>
      <c r="K89" s="3">
        <f t="shared" si="9"/>
        <v>0</v>
      </c>
      <c r="L89" s="3">
        <f t="shared" si="9"/>
        <v>0</v>
      </c>
      <c r="M89" s="3">
        <f t="shared" si="9"/>
        <v>0</v>
      </c>
      <c r="P89" s="47"/>
      <c r="Q89" s="10" t="str">
        <f t="shared" si="6"/>
        <v/>
      </c>
      <c r="R89" s="57" t="str">
        <f t="shared" si="7"/>
        <v/>
      </c>
      <c r="S89" s="5">
        <f t="shared" si="8"/>
        <v>0</v>
      </c>
      <c r="T89" s="5">
        <f t="shared" si="8"/>
        <v>0</v>
      </c>
      <c r="U89" s="5">
        <f t="shared" si="8"/>
        <v>0</v>
      </c>
      <c r="V89" s="5">
        <f t="shared" si="8"/>
        <v>0</v>
      </c>
    </row>
    <row r="90" spans="1:22">
      <c r="A90" s="36" t="str">
        <f>IF(Tabela17[[#This Row],[Código]]="IBOV","^BVSP",IF(Tabela17[[#This Row],[Código]]="","",CONCATENATE(LEFT(Tabela17[[#This Row],[Código]],6),".SA")))</f>
        <v/>
      </c>
      <c r="H90" s="57"/>
      <c r="J90" s="3">
        <f t="shared" si="9"/>
        <v>0</v>
      </c>
      <c r="K90" s="3">
        <f t="shared" si="9"/>
        <v>0</v>
      </c>
      <c r="L90" s="3">
        <f t="shared" si="9"/>
        <v>0</v>
      </c>
      <c r="M90" s="3">
        <f t="shared" si="9"/>
        <v>0</v>
      </c>
      <c r="P90" s="14"/>
      <c r="Q90" s="10" t="str">
        <f t="shared" si="6"/>
        <v/>
      </c>
      <c r="R90" s="57" t="str">
        <f t="shared" si="7"/>
        <v/>
      </c>
      <c r="S90" s="5">
        <f t="shared" si="8"/>
        <v>0</v>
      </c>
      <c r="T90" s="5">
        <f t="shared" si="8"/>
        <v>0</v>
      </c>
      <c r="U90" s="5">
        <f t="shared" si="8"/>
        <v>0</v>
      </c>
      <c r="V90" s="5">
        <f t="shared" si="8"/>
        <v>0</v>
      </c>
    </row>
    <row r="91" spans="1:22">
      <c r="A91" s="36" t="str">
        <f>IF(Tabela17[[#This Row],[Código]]="IBOV","^BVSP",IF(Tabela17[[#This Row],[Código]]="","",CONCATENATE(LEFT(Tabela17[[#This Row],[Código]],6),".SA")))</f>
        <v/>
      </c>
      <c r="H91" s="57"/>
      <c r="J91" s="3">
        <f t="shared" si="9"/>
        <v>0</v>
      </c>
      <c r="K91" s="3">
        <f t="shared" si="9"/>
        <v>0</v>
      </c>
      <c r="L91" s="3">
        <f t="shared" si="9"/>
        <v>0</v>
      </c>
      <c r="M91" s="3">
        <f t="shared" si="9"/>
        <v>0</v>
      </c>
      <c r="P91" s="10"/>
      <c r="Q91" s="10" t="str">
        <f t="shared" si="6"/>
        <v/>
      </c>
      <c r="R91" s="57" t="str">
        <f t="shared" si="7"/>
        <v/>
      </c>
      <c r="S91" s="5">
        <f t="shared" si="8"/>
        <v>0</v>
      </c>
      <c r="T91" s="5">
        <f t="shared" si="8"/>
        <v>0</v>
      </c>
      <c r="U91" s="5">
        <f t="shared" si="8"/>
        <v>0</v>
      </c>
      <c r="V91" s="5">
        <f t="shared" si="8"/>
        <v>0</v>
      </c>
    </row>
    <row r="92" spans="1:22">
      <c r="A92" s="36" t="str">
        <f>IF(Tabela17[[#This Row],[Código]]="IBOV","^BVSP",IF(Tabela17[[#This Row],[Código]]="","",CONCATENATE(LEFT(Tabela17[[#This Row],[Código]],6),".SA")))</f>
        <v/>
      </c>
      <c r="H92" s="57"/>
      <c r="J92" s="3">
        <f t="shared" si="9"/>
        <v>0</v>
      </c>
      <c r="K92" s="3">
        <f t="shared" si="9"/>
        <v>0</v>
      </c>
      <c r="L92" s="3">
        <f t="shared" si="9"/>
        <v>0</v>
      </c>
      <c r="M92" s="3">
        <f t="shared" si="9"/>
        <v>0</v>
      </c>
      <c r="P92" s="16"/>
      <c r="Q92" s="10" t="str">
        <f t="shared" si="6"/>
        <v/>
      </c>
      <c r="R92" s="57" t="str">
        <f t="shared" si="7"/>
        <v/>
      </c>
      <c r="S92" s="5">
        <f t="shared" si="8"/>
        <v>0</v>
      </c>
      <c r="T92" s="5">
        <f t="shared" si="8"/>
        <v>0</v>
      </c>
      <c r="U92" s="5">
        <f t="shared" si="8"/>
        <v>0</v>
      </c>
      <c r="V92" s="5">
        <f t="shared" si="8"/>
        <v>0</v>
      </c>
    </row>
    <row r="93" spans="1:22">
      <c r="A93" s="36" t="str">
        <f>IF(Tabela17[[#This Row],[Código]]="IBOV","^BVSP",IF(Tabela17[[#This Row],[Código]]="","",CONCATENATE(LEFT(Tabela17[[#This Row],[Código]],6),".SA")))</f>
        <v/>
      </c>
      <c r="H93" s="57"/>
      <c r="J93" s="3">
        <f t="shared" si="9"/>
        <v>0</v>
      </c>
      <c r="K93" s="3">
        <f t="shared" si="9"/>
        <v>0</v>
      </c>
      <c r="L93" s="3">
        <f t="shared" si="9"/>
        <v>0</v>
      </c>
      <c r="M93" s="3">
        <f t="shared" si="9"/>
        <v>0</v>
      </c>
      <c r="P93" s="16"/>
      <c r="Q93" s="10" t="str">
        <f t="shared" si="6"/>
        <v/>
      </c>
      <c r="R93" s="57" t="str">
        <f t="shared" si="7"/>
        <v/>
      </c>
      <c r="S93" s="5">
        <f t="shared" si="8"/>
        <v>0</v>
      </c>
      <c r="T93" s="5">
        <f t="shared" si="8"/>
        <v>0</v>
      </c>
      <c r="U93" s="5">
        <f t="shared" si="8"/>
        <v>0</v>
      </c>
      <c r="V93" s="5">
        <f t="shared" si="8"/>
        <v>0</v>
      </c>
    </row>
    <row r="94" spans="1:22">
      <c r="A94" s="36" t="str">
        <f>IF(Tabela17[[#This Row],[Código]]="IBOV","^BVSP",IF(Tabela17[[#This Row],[Código]]="","",CONCATENATE(LEFT(Tabela17[[#This Row],[Código]],6),".SA")))</f>
        <v/>
      </c>
      <c r="H94" s="57"/>
      <c r="J94" s="3">
        <f t="shared" si="9"/>
        <v>0</v>
      </c>
      <c r="K94" s="3">
        <f t="shared" si="9"/>
        <v>0</v>
      </c>
      <c r="L94" s="3">
        <f t="shared" si="9"/>
        <v>0</v>
      </c>
      <c r="M94" s="3">
        <f t="shared" si="9"/>
        <v>0</v>
      </c>
      <c r="P94" s="14"/>
      <c r="Q94" s="10" t="str">
        <f t="shared" si="6"/>
        <v/>
      </c>
      <c r="R94" s="57" t="str">
        <f t="shared" si="7"/>
        <v/>
      </c>
      <c r="S94" s="5">
        <f t="shared" si="8"/>
        <v>0</v>
      </c>
      <c r="T94" s="5">
        <f t="shared" si="8"/>
        <v>0</v>
      </c>
      <c r="U94" s="5">
        <f t="shared" si="8"/>
        <v>0</v>
      </c>
      <c r="V94" s="5">
        <f t="shared" si="8"/>
        <v>0</v>
      </c>
    </row>
    <row r="95" spans="1:22">
      <c r="A95" s="36" t="str">
        <f>IF(Tabela17[[#This Row],[Código]]="IBOV","^BVSP",IF(Tabela17[[#This Row],[Código]]="","",CONCATENATE(LEFT(Tabela17[[#This Row],[Código]],6),".SA")))</f>
        <v/>
      </c>
      <c r="H95" s="57"/>
      <c r="J95" s="3">
        <f t="shared" si="9"/>
        <v>0</v>
      </c>
      <c r="K95" s="3">
        <f t="shared" si="9"/>
        <v>0</v>
      </c>
      <c r="L95" s="3">
        <f t="shared" si="9"/>
        <v>0</v>
      </c>
      <c r="M95" s="3">
        <f t="shared" si="9"/>
        <v>0</v>
      </c>
      <c r="P95" s="14"/>
      <c r="Q95" s="10" t="str">
        <f t="shared" si="6"/>
        <v/>
      </c>
      <c r="R95" s="57" t="str">
        <f t="shared" si="7"/>
        <v/>
      </c>
      <c r="S95" s="5">
        <f t="shared" si="8"/>
        <v>0</v>
      </c>
      <c r="T95" s="5">
        <f t="shared" si="8"/>
        <v>0</v>
      </c>
      <c r="U95" s="5">
        <f t="shared" si="8"/>
        <v>0</v>
      </c>
      <c r="V95" s="5">
        <f t="shared" si="8"/>
        <v>0</v>
      </c>
    </row>
    <row r="96" spans="1:22">
      <c r="A96" s="36" t="str">
        <f>IF(Tabela17[[#This Row],[Código]]="IBOV","^BVSP",IF(Tabela17[[#This Row],[Código]]="","",CONCATENATE(LEFT(Tabela17[[#This Row],[Código]],6),".SA")))</f>
        <v/>
      </c>
      <c r="H96" s="57"/>
      <c r="J96" s="3">
        <f t="shared" si="9"/>
        <v>0</v>
      </c>
      <c r="K96" s="3">
        <f t="shared" si="9"/>
        <v>0</v>
      </c>
      <c r="L96" s="3">
        <f t="shared" si="9"/>
        <v>0</v>
      </c>
      <c r="M96" s="3">
        <f t="shared" si="9"/>
        <v>0</v>
      </c>
      <c r="P96" s="14"/>
      <c r="Q96" s="10" t="str">
        <f t="shared" si="6"/>
        <v/>
      </c>
      <c r="R96" s="57" t="str">
        <f t="shared" si="7"/>
        <v/>
      </c>
      <c r="S96" s="5">
        <f t="shared" si="8"/>
        <v>0</v>
      </c>
      <c r="T96" s="5">
        <f t="shared" si="8"/>
        <v>0</v>
      </c>
      <c r="U96" s="5">
        <f t="shared" si="8"/>
        <v>0</v>
      </c>
      <c r="V96" s="5">
        <f t="shared" si="8"/>
        <v>0</v>
      </c>
    </row>
    <row r="97" spans="1:22">
      <c r="A97" s="36" t="str">
        <f>IF(Tabela17[[#This Row],[Código]]="IBOV","^BVSP",IF(Tabela17[[#This Row],[Código]]="","",CONCATENATE(LEFT(Tabela17[[#This Row],[Código]],6),".SA")))</f>
        <v/>
      </c>
      <c r="H97" s="57"/>
      <c r="J97" s="3">
        <f t="shared" si="9"/>
        <v>0</v>
      </c>
      <c r="K97" s="3">
        <f t="shared" si="9"/>
        <v>0</v>
      </c>
      <c r="L97" s="3">
        <f t="shared" si="9"/>
        <v>0</v>
      </c>
      <c r="M97" s="3">
        <f t="shared" si="9"/>
        <v>0</v>
      </c>
      <c r="P97" s="15"/>
      <c r="Q97" s="10" t="str">
        <f t="shared" si="6"/>
        <v/>
      </c>
      <c r="R97" s="57" t="str">
        <f t="shared" si="7"/>
        <v/>
      </c>
      <c r="S97" s="5">
        <f t="shared" si="8"/>
        <v>0</v>
      </c>
      <c r="T97" s="5">
        <f t="shared" si="8"/>
        <v>0</v>
      </c>
      <c r="U97" s="5">
        <f t="shared" si="8"/>
        <v>0</v>
      </c>
      <c r="V97" s="5">
        <f t="shared" si="8"/>
        <v>0</v>
      </c>
    </row>
    <row r="98" spans="1:22">
      <c r="A98" s="36" t="str">
        <f>IF(Tabela17[[#This Row],[Código]]="IBOV","^BVSP",IF(Tabela17[[#This Row],[Código]]="","",CONCATENATE(LEFT(Tabela17[[#This Row],[Código]],6),".SA")))</f>
        <v/>
      </c>
      <c r="H98" s="57"/>
      <c r="J98" s="3">
        <f t="shared" si="9"/>
        <v>0</v>
      </c>
      <c r="K98" s="3">
        <f t="shared" si="9"/>
        <v>0</v>
      </c>
      <c r="L98" s="3">
        <f t="shared" si="9"/>
        <v>0</v>
      </c>
      <c r="M98" s="3">
        <f t="shared" si="9"/>
        <v>0</v>
      </c>
      <c r="P98" s="15"/>
      <c r="Q98" s="10" t="str">
        <f t="shared" si="6"/>
        <v/>
      </c>
      <c r="R98" s="57" t="str">
        <f t="shared" si="7"/>
        <v/>
      </c>
      <c r="S98" s="5">
        <f t="shared" si="8"/>
        <v>0</v>
      </c>
      <c r="T98" s="5">
        <f t="shared" si="8"/>
        <v>0</v>
      </c>
      <c r="U98" s="5">
        <f t="shared" si="8"/>
        <v>0</v>
      </c>
      <c r="V98" s="5">
        <f t="shared" si="8"/>
        <v>0</v>
      </c>
    </row>
    <row r="99" spans="1:22">
      <c r="A99" s="36" t="str">
        <f>IF(Tabela17[[#This Row],[Código]]="IBOV","^BVSP",IF(Tabela17[[#This Row],[Código]]="","",CONCATENATE(LEFT(Tabela17[[#This Row],[Código]],6),".SA")))</f>
        <v/>
      </c>
      <c r="H99" s="57"/>
      <c r="J99" s="3">
        <f t="shared" si="9"/>
        <v>0</v>
      </c>
      <c r="K99" s="3">
        <f t="shared" si="9"/>
        <v>0</v>
      </c>
      <c r="L99" s="3">
        <f t="shared" si="9"/>
        <v>0</v>
      </c>
      <c r="M99" s="3">
        <f t="shared" si="9"/>
        <v>0</v>
      </c>
      <c r="P99" s="15"/>
      <c r="Q99" s="10" t="str">
        <f t="shared" si="6"/>
        <v/>
      </c>
      <c r="R99" s="57" t="str">
        <f t="shared" si="7"/>
        <v/>
      </c>
      <c r="S99" s="5">
        <f t="shared" si="8"/>
        <v>0</v>
      </c>
      <c r="T99" s="5">
        <f t="shared" si="8"/>
        <v>0</v>
      </c>
      <c r="U99" s="5">
        <f t="shared" si="8"/>
        <v>0</v>
      </c>
      <c r="V99" s="5">
        <f t="shared" si="8"/>
        <v>0</v>
      </c>
    </row>
    <row r="100" spans="1:22">
      <c r="A100" s="36" t="str">
        <f>IF(Tabela17[[#This Row],[Código]]="IBOV","^BVSP",IF(Tabela17[[#This Row],[Código]]="","",CONCATENATE(LEFT(Tabela17[[#This Row],[Código]],6),".SA")))</f>
        <v/>
      </c>
      <c r="H100" s="57"/>
      <c r="J100" s="3">
        <f t="shared" si="9"/>
        <v>0</v>
      </c>
      <c r="K100" s="3">
        <f t="shared" si="9"/>
        <v>0</v>
      </c>
      <c r="L100" s="3">
        <f t="shared" si="9"/>
        <v>0</v>
      </c>
      <c r="M100" s="3">
        <f t="shared" si="9"/>
        <v>0</v>
      </c>
      <c r="P100" s="14"/>
      <c r="Q100" s="10" t="str">
        <f t="shared" si="6"/>
        <v/>
      </c>
      <c r="R100" s="57" t="str">
        <f t="shared" si="7"/>
        <v/>
      </c>
      <c r="S100" s="5">
        <f t="shared" si="8"/>
        <v>0</v>
      </c>
      <c r="T100" s="5">
        <f t="shared" si="8"/>
        <v>0</v>
      </c>
      <c r="U100" s="5">
        <f t="shared" si="8"/>
        <v>0</v>
      </c>
      <c r="V100" s="5">
        <f t="shared" si="8"/>
        <v>0</v>
      </c>
    </row>
    <row r="101" spans="1:22">
      <c r="A101" s="36" t="str">
        <f>IF(Tabela17[[#This Row],[Código]]="IBOV","^BVSP",IF(Tabela17[[#This Row],[Código]]="","",CONCATENATE(LEFT(Tabela17[[#This Row],[Código]],6),".SA")))</f>
        <v/>
      </c>
      <c r="H101" s="57"/>
      <c r="J101" s="3">
        <f t="shared" si="9"/>
        <v>0</v>
      </c>
      <c r="K101" s="3">
        <f t="shared" si="9"/>
        <v>0</v>
      </c>
      <c r="L101" s="3">
        <f t="shared" si="9"/>
        <v>0</v>
      </c>
      <c r="M101" s="3">
        <f t="shared" si="9"/>
        <v>0</v>
      </c>
      <c r="P101" s="14"/>
      <c r="Q101" s="10" t="str">
        <f t="shared" si="6"/>
        <v/>
      </c>
      <c r="R101" s="57" t="str">
        <f t="shared" si="7"/>
        <v/>
      </c>
      <c r="S101" s="5">
        <f t="shared" si="8"/>
        <v>0</v>
      </c>
      <c r="T101" s="5">
        <f t="shared" si="8"/>
        <v>0</v>
      </c>
      <c r="U101" s="5">
        <f t="shared" si="8"/>
        <v>0</v>
      </c>
      <c r="V101" s="5">
        <f t="shared" si="8"/>
        <v>0</v>
      </c>
    </row>
    <row r="102" spans="1:22">
      <c r="A102" s="36" t="str">
        <f>IF(Tabela17[[#This Row],[Código]]="IBOV","^BVSP",IF(Tabela17[[#This Row],[Código]]="","",CONCATENATE(LEFT(Tabela17[[#This Row],[Código]],6),".SA")))</f>
        <v/>
      </c>
      <c r="H102" s="57"/>
      <c r="J102" s="3">
        <f t="shared" si="9"/>
        <v>0</v>
      </c>
      <c r="K102" s="3">
        <f t="shared" si="9"/>
        <v>0</v>
      </c>
      <c r="L102" s="3">
        <f t="shared" si="9"/>
        <v>0</v>
      </c>
      <c r="M102" s="3">
        <f t="shared" si="9"/>
        <v>0</v>
      </c>
      <c r="P102" s="14"/>
      <c r="Q102" s="10" t="str">
        <f t="shared" si="6"/>
        <v/>
      </c>
      <c r="R102" s="57" t="str">
        <f t="shared" si="7"/>
        <v/>
      </c>
      <c r="S102" s="5">
        <f t="shared" si="8"/>
        <v>0</v>
      </c>
      <c r="T102" s="5">
        <f t="shared" si="8"/>
        <v>0</v>
      </c>
      <c r="U102" s="5">
        <f t="shared" si="8"/>
        <v>0</v>
      </c>
      <c r="V102" s="5">
        <f t="shared" si="8"/>
        <v>0</v>
      </c>
    </row>
    <row r="103" spans="1:22">
      <c r="A103" s="36" t="str">
        <f>IF(Tabela17[[#This Row],[Código]]="IBOV","^BVSP",IF(Tabela17[[#This Row],[Código]]="","",CONCATENATE(LEFT(Tabela17[[#This Row],[Código]],6),".SA")))</f>
        <v/>
      </c>
      <c r="H103" s="57"/>
      <c r="J103" s="3">
        <f t="shared" si="9"/>
        <v>0</v>
      </c>
      <c r="K103" s="3">
        <f t="shared" si="9"/>
        <v>0</v>
      </c>
      <c r="L103" s="3">
        <f t="shared" si="9"/>
        <v>0</v>
      </c>
      <c r="M103" s="3">
        <f t="shared" si="9"/>
        <v>0</v>
      </c>
      <c r="P103" s="15"/>
      <c r="Q103" s="10" t="str">
        <f t="shared" si="6"/>
        <v/>
      </c>
      <c r="R103" s="57" t="str">
        <f t="shared" si="7"/>
        <v/>
      </c>
      <c r="S103" s="5">
        <f t="shared" ref="S103:V112" si="10">J103</f>
        <v>0</v>
      </c>
      <c r="T103" s="5">
        <f t="shared" si="10"/>
        <v>0</v>
      </c>
      <c r="U103" s="5">
        <f t="shared" si="10"/>
        <v>0</v>
      </c>
      <c r="V103" s="5">
        <f t="shared" si="10"/>
        <v>0</v>
      </c>
    </row>
    <row r="104" spans="1:22">
      <c r="A104" s="36" t="str">
        <f>IF(Tabela17[[#This Row],[Código]]="IBOV","^BVSP",IF(Tabela17[[#This Row],[Código]]="","",CONCATENATE(LEFT(Tabela17[[#This Row],[Código]],6),".SA")))</f>
        <v/>
      </c>
      <c r="H104" s="57"/>
      <c r="J104" s="3">
        <f t="shared" si="9"/>
        <v>0</v>
      </c>
      <c r="K104" s="3">
        <f t="shared" si="9"/>
        <v>0</v>
      </c>
      <c r="L104" s="3">
        <f t="shared" si="9"/>
        <v>0</v>
      </c>
      <c r="M104" s="3">
        <f t="shared" si="9"/>
        <v>0</v>
      </c>
      <c r="P104" s="15"/>
      <c r="Q104" s="10" t="str">
        <f t="shared" si="6"/>
        <v/>
      </c>
      <c r="R104" s="57" t="str">
        <f t="shared" si="7"/>
        <v/>
      </c>
      <c r="S104" s="5">
        <f t="shared" si="10"/>
        <v>0</v>
      </c>
      <c r="T104" s="5">
        <f t="shared" si="10"/>
        <v>0</v>
      </c>
      <c r="U104" s="5">
        <f t="shared" si="10"/>
        <v>0</v>
      </c>
      <c r="V104" s="5">
        <f t="shared" si="10"/>
        <v>0</v>
      </c>
    </row>
    <row r="105" spans="1:22">
      <c r="A105" s="36" t="str">
        <f>IF(Tabela17[[#This Row],[Código]]="IBOV","^BVSP",IF(Tabela17[[#This Row],[Código]]="","",CONCATENATE(LEFT(Tabela17[[#This Row],[Código]],6),".SA")))</f>
        <v/>
      </c>
      <c r="H105" s="57"/>
      <c r="J105" s="3">
        <f t="shared" si="9"/>
        <v>0</v>
      </c>
      <c r="K105" s="3">
        <f t="shared" si="9"/>
        <v>0</v>
      </c>
      <c r="L105" s="3">
        <f t="shared" si="9"/>
        <v>0</v>
      </c>
      <c r="M105" s="3">
        <f t="shared" si="9"/>
        <v>0</v>
      </c>
      <c r="P105" s="15"/>
      <c r="Q105" s="10" t="str">
        <f t="shared" si="6"/>
        <v/>
      </c>
      <c r="R105" s="57" t="str">
        <f t="shared" si="7"/>
        <v/>
      </c>
      <c r="S105" s="5">
        <f t="shared" si="10"/>
        <v>0</v>
      </c>
      <c r="T105" s="5">
        <f t="shared" si="10"/>
        <v>0</v>
      </c>
      <c r="U105" s="5">
        <f t="shared" si="10"/>
        <v>0</v>
      </c>
      <c r="V105" s="5">
        <f t="shared" si="10"/>
        <v>0</v>
      </c>
    </row>
    <row r="106" spans="1:22">
      <c r="A106" s="36" t="str">
        <f>IF(Tabela17[[#This Row],[Código]]="IBOV","^BVSP",IF(Tabela17[[#This Row],[Código]]="","",CONCATENATE(LEFT(Tabela17[[#This Row],[Código]],6),".SA")))</f>
        <v/>
      </c>
      <c r="H106" s="57"/>
      <c r="J106" s="3">
        <f t="shared" si="9"/>
        <v>0</v>
      </c>
      <c r="K106" s="3">
        <f t="shared" si="9"/>
        <v>0</v>
      </c>
      <c r="L106" s="3">
        <f t="shared" si="9"/>
        <v>0</v>
      </c>
      <c r="M106" s="3">
        <f t="shared" si="9"/>
        <v>0</v>
      </c>
      <c r="P106" s="14"/>
      <c r="Q106" s="10" t="str">
        <f t="shared" si="6"/>
        <v/>
      </c>
      <c r="R106" s="57" t="str">
        <f t="shared" si="7"/>
        <v/>
      </c>
      <c r="S106" s="5">
        <f t="shared" si="10"/>
        <v>0</v>
      </c>
      <c r="T106" s="5">
        <f t="shared" si="10"/>
        <v>0</v>
      </c>
      <c r="U106" s="5">
        <f t="shared" si="10"/>
        <v>0</v>
      </c>
      <c r="V106" s="5">
        <f t="shared" si="10"/>
        <v>0</v>
      </c>
    </row>
    <row r="107" spans="1:22">
      <c r="A107" s="36" t="str">
        <f>IF(Tabela17[[#This Row],[Código]]="IBOV","^BVSP",IF(Tabela17[[#This Row],[Código]]="","",CONCATENATE(LEFT(Tabela17[[#This Row],[Código]],6),".SA")))</f>
        <v/>
      </c>
      <c r="H107" s="57"/>
      <c r="J107" s="3">
        <f t="shared" si="9"/>
        <v>0</v>
      </c>
      <c r="K107" s="3">
        <f t="shared" si="9"/>
        <v>0</v>
      </c>
      <c r="L107" s="3">
        <f t="shared" si="9"/>
        <v>0</v>
      </c>
      <c r="M107" s="3">
        <f t="shared" si="9"/>
        <v>0</v>
      </c>
      <c r="P107" s="14"/>
      <c r="Q107" s="10" t="str">
        <f t="shared" si="6"/>
        <v/>
      </c>
      <c r="R107" s="57" t="str">
        <f t="shared" si="7"/>
        <v/>
      </c>
      <c r="S107" s="5">
        <f t="shared" si="10"/>
        <v>0</v>
      </c>
      <c r="T107" s="5">
        <f t="shared" si="10"/>
        <v>0</v>
      </c>
      <c r="U107" s="5">
        <f t="shared" si="10"/>
        <v>0</v>
      </c>
      <c r="V107" s="5">
        <f t="shared" si="10"/>
        <v>0</v>
      </c>
    </row>
    <row r="108" spans="1:22">
      <c r="A108" s="36" t="str">
        <f>IF(Tabela17[[#This Row],[Código]]="IBOV","^BVSP",IF(Tabela17[[#This Row],[Código]]="","",CONCATENATE(LEFT(Tabela17[[#This Row],[Código]],6),".SA")))</f>
        <v/>
      </c>
      <c r="H108" s="57"/>
      <c r="J108" s="3">
        <f t="shared" si="9"/>
        <v>0</v>
      </c>
      <c r="K108" s="3">
        <f t="shared" si="9"/>
        <v>0</v>
      </c>
      <c r="L108" s="3">
        <f t="shared" si="9"/>
        <v>0</v>
      </c>
      <c r="M108" s="3">
        <f t="shared" si="9"/>
        <v>0</v>
      </c>
      <c r="P108" s="14"/>
      <c r="Q108" s="10" t="str">
        <f t="shared" si="6"/>
        <v/>
      </c>
      <c r="R108" s="57" t="str">
        <f t="shared" si="7"/>
        <v/>
      </c>
      <c r="S108" s="5">
        <f t="shared" si="10"/>
        <v>0</v>
      </c>
      <c r="T108" s="5">
        <f t="shared" si="10"/>
        <v>0</v>
      </c>
      <c r="U108" s="5">
        <f t="shared" si="10"/>
        <v>0</v>
      </c>
      <c r="V108" s="5">
        <f t="shared" si="10"/>
        <v>0</v>
      </c>
    </row>
    <row r="109" spans="1:22">
      <c r="A109" s="36" t="str">
        <f>IF(Tabela17[[#This Row],[Código]]="IBOV","^BVSP",IF(Tabela17[[#This Row],[Código]]="","",CONCATENATE(LEFT(Tabela17[[#This Row],[Código]],6),".SA")))</f>
        <v/>
      </c>
      <c r="H109" s="57"/>
      <c r="J109" s="3">
        <f t="shared" si="9"/>
        <v>0</v>
      </c>
      <c r="K109" s="3">
        <f t="shared" si="9"/>
        <v>0</v>
      </c>
      <c r="L109" s="3">
        <f t="shared" si="9"/>
        <v>0</v>
      </c>
      <c r="M109" s="3">
        <f t="shared" si="9"/>
        <v>0</v>
      </c>
      <c r="P109" s="14"/>
      <c r="Q109" s="10" t="str">
        <f t="shared" si="6"/>
        <v/>
      </c>
      <c r="R109" s="57" t="str">
        <f t="shared" si="7"/>
        <v/>
      </c>
      <c r="S109" s="5">
        <f t="shared" si="10"/>
        <v>0</v>
      </c>
      <c r="T109" s="5">
        <f t="shared" si="10"/>
        <v>0</v>
      </c>
      <c r="U109" s="5">
        <f t="shared" si="10"/>
        <v>0</v>
      </c>
      <c r="V109" s="5">
        <f t="shared" si="10"/>
        <v>0</v>
      </c>
    </row>
    <row r="110" spans="1:22">
      <c r="A110" s="36" t="str">
        <f>IF(Tabela17[[#This Row],[Código]]="IBOV","^BVSP",IF(Tabela17[[#This Row],[Código]]="","",CONCATENATE(LEFT(Tabela17[[#This Row],[Código]],6),".SA")))</f>
        <v/>
      </c>
      <c r="H110" s="57"/>
      <c r="J110" s="3">
        <f t="shared" si="9"/>
        <v>0</v>
      </c>
      <c r="K110" s="3">
        <f t="shared" si="9"/>
        <v>0</v>
      </c>
      <c r="L110" s="3">
        <f t="shared" si="9"/>
        <v>0</v>
      </c>
      <c r="M110" s="3">
        <f t="shared" si="9"/>
        <v>0</v>
      </c>
      <c r="P110" s="15"/>
      <c r="Q110" s="10" t="str">
        <f t="shared" si="6"/>
        <v/>
      </c>
      <c r="R110" s="57" t="str">
        <f t="shared" si="7"/>
        <v/>
      </c>
      <c r="S110" s="5">
        <f t="shared" si="10"/>
        <v>0</v>
      </c>
      <c r="T110" s="5">
        <f t="shared" si="10"/>
        <v>0</v>
      </c>
      <c r="U110" s="5">
        <f t="shared" si="10"/>
        <v>0</v>
      </c>
      <c r="V110" s="5">
        <f t="shared" si="10"/>
        <v>0</v>
      </c>
    </row>
    <row r="111" spans="1:22">
      <c r="A111" s="36" t="str">
        <f>IF(Tabela17[[#This Row],[Código]]="IBOV","^BVSP",IF(Tabela17[[#This Row],[Código]]="","",CONCATENATE(LEFT(Tabela17[[#This Row],[Código]],6),".SA")))</f>
        <v/>
      </c>
      <c r="H111" s="57"/>
      <c r="J111" s="3">
        <f t="shared" si="9"/>
        <v>0</v>
      </c>
      <c r="K111" s="3">
        <f t="shared" si="9"/>
        <v>0</v>
      </c>
      <c r="L111" s="3">
        <f t="shared" si="9"/>
        <v>0</v>
      </c>
      <c r="M111" s="3">
        <f t="shared" si="9"/>
        <v>0</v>
      </c>
      <c r="P111" s="14"/>
      <c r="Q111" s="10" t="str">
        <f t="shared" si="6"/>
        <v/>
      </c>
      <c r="R111" s="57" t="str">
        <f t="shared" si="7"/>
        <v/>
      </c>
      <c r="S111" s="5">
        <f t="shared" si="10"/>
        <v>0</v>
      </c>
      <c r="T111" s="5">
        <f t="shared" si="10"/>
        <v>0</v>
      </c>
      <c r="U111" s="5">
        <f t="shared" si="10"/>
        <v>0</v>
      </c>
      <c r="V111" s="5">
        <f t="shared" si="10"/>
        <v>0</v>
      </c>
    </row>
    <row r="112" spans="1:22">
      <c r="A112" s="36" t="str">
        <f>IF(Tabela17[[#This Row],[Código]]="IBOV","^BVSP",IF(Tabela17[[#This Row],[Código]]="","",CONCATENATE(LEFT(Tabela17[[#This Row],[Código]],6),".SA")))</f>
        <v/>
      </c>
      <c r="H112" s="57"/>
      <c r="J112" s="3">
        <f t="shared" si="9"/>
        <v>0</v>
      </c>
      <c r="K112" s="3">
        <f t="shared" si="9"/>
        <v>0</v>
      </c>
      <c r="L112" s="3">
        <f t="shared" si="9"/>
        <v>0</v>
      </c>
      <c r="M112" s="3">
        <f t="shared" si="9"/>
        <v>0</v>
      </c>
      <c r="Q112" s="10" t="str">
        <f t="shared" si="6"/>
        <v/>
      </c>
      <c r="R112" s="57" t="str">
        <f t="shared" si="7"/>
        <v/>
      </c>
      <c r="S112" s="5">
        <f t="shared" si="10"/>
        <v>0</v>
      </c>
      <c r="T112" s="5">
        <f t="shared" si="10"/>
        <v>0</v>
      </c>
      <c r="U112" s="5">
        <f t="shared" si="10"/>
        <v>0</v>
      </c>
      <c r="V112" s="5">
        <f t="shared" si="10"/>
        <v>0</v>
      </c>
    </row>
    <row r="113" spans="1:22">
      <c r="A113" s="36"/>
      <c r="H113" s="57"/>
      <c r="J113" s="3">
        <f t="shared" si="9"/>
        <v>0</v>
      </c>
      <c r="K113" s="3">
        <f t="shared" si="9"/>
        <v>0</v>
      </c>
      <c r="L113" s="3">
        <f t="shared" si="9"/>
        <v>0</v>
      </c>
      <c r="M113" s="3">
        <f t="shared" si="9"/>
        <v>0</v>
      </c>
      <c r="Q113" s="10" t="str">
        <f t="shared" ref="Q113:Q131" si="11">IF(A117="","",C117)</f>
        <v/>
      </c>
      <c r="R113" s="57" t="str">
        <f t="shared" ref="R113:R131" si="12">IF(A117="","",H117)</f>
        <v/>
      </c>
      <c r="S113" s="5">
        <f t="shared" ref="S113:V131" si="13">J117</f>
        <v>0</v>
      </c>
      <c r="T113" s="5">
        <f t="shared" si="13"/>
        <v>0</v>
      </c>
      <c r="U113" s="5">
        <f t="shared" si="13"/>
        <v>0</v>
      </c>
      <c r="V113" s="5">
        <f t="shared" si="13"/>
        <v>0</v>
      </c>
    </row>
    <row r="114" spans="1:22">
      <c r="A114" s="36"/>
      <c r="J114" s="3">
        <f t="shared" si="9"/>
        <v>0</v>
      </c>
      <c r="K114" s="3">
        <f>IF($A114="",0,VALUE(CONCATENATE(LEFT(E114,LEN(E114)-3),",",RIGHT(E114,2))))</f>
        <v>0</v>
      </c>
      <c r="L114" s="3">
        <f t="shared" si="9"/>
        <v>0</v>
      </c>
      <c r="M114" s="3">
        <f t="shared" si="9"/>
        <v>0</v>
      </c>
      <c r="Q114" s="10" t="str">
        <f t="shared" si="11"/>
        <v/>
      </c>
      <c r="R114" s="57" t="str">
        <f t="shared" si="12"/>
        <v/>
      </c>
      <c r="S114" s="5">
        <f t="shared" si="13"/>
        <v>0</v>
      </c>
      <c r="T114" s="5">
        <f t="shared" si="13"/>
        <v>0</v>
      </c>
      <c r="U114" s="5">
        <f t="shared" si="13"/>
        <v>0</v>
      </c>
      <c r="V114" s="5">
        <f t="shared" si="13"/>
        <v>0</v>
      </c>
    </row>
    <row r="115" spans="1:22">
      <c r="A115" s="36"/>
      <c r="J115" s="3">
        <f t="shared" si="9"/>
        <v>0</v>
      </c>
      <c r="K115" s="3">
        <f t="shared" si="9"/>
        <v>0</v>
      </c>
      <c r="L115" s="3">
        <f t="shared" si="9"/>
        <v>0</v>
      </c>
      <c r="M115" s="3">
        <f t="shared" si="9"/>
        <v>0</v>
      </c>
      <c r="Q115" s="10" t="str">
        <f t="shared" si="11"/>
        <v/>
      </c>
      <c r="R115" s="57" t="str">
        <f t="shared" si="12"/>
        <v/>
      </c>
      <c r="S115" s="5">
        <f t="shared" si="13"/>
        <v>0</v>
      </c>
      <c r="T115" s="5">
        <f t="shared" si="13"/>
        <v>0</v>
      </c>
      <c r="U115" s="5">
        <f t="shared" si="13"/>
        <v>0</v>
      </c>
      <c r="V115" s="5">
        <f t="shared" si="13"/>
        <v>0</v>
      </c>
    </row>
    <row r="116" spans="1:22">
      <c r="A116" s="36"/>
      <c r="J116" s="3">
        <f t="shared" si="9"/>
        <v>0</v>
      </c>
      <c r="K116" s="3">
        <f t="shared" si="9"/>
        <v>0</v>
      </c>
      <c r="L116" s="3">
        <f t="shared" si="9"/>
        <v>0</v>
      </c>
      <c r="M116" s="3">
        <f t="shared" si="9"/>
        <v>0</v>
      </c>
      <c r="Q116" s="10" t="str">
        <f t="shared" si="11"/>
        <v/>
      </c>
      <c r="R116" s="57" t="str">
        <f t="shared" si="12"/>
        <v/>
      </c>
      <c r="S116" s="5">
        <f t="shared" si="13"/>
        <v>0</v>
      </c>
      <c r="T116" s="5">
        <f t="shared" si="13"/>
        <v>0</v>
      </c>
      <c r="U116" s="5">
        <f t="shared" si="13"/>
        <v>0</v>
      </c>
      <c r="V116" s="5">
        <f t="shared" si="13"/>
        <v>0</v>
      </c>
    </row>
    <row r="117" spans="1:22">
      <c r="A117" s="36"/>
      <c r="J117" s="3">
        <f t="shared" si="9"/>
        <v>0</v>
      </c>
      <c r="K117" s="3">
        <f t="shared" si="9"/>
        <v>0</v>
      </c>
      <c r="L117" s="3">
        <f t="shared" si="9"/>
        <v>0</v>
      </c>
      <c r="M117" s="3">
        <f t="shared" si="9"/>
        <v>0</v>
      </c>
      <c r="Q117" s="10" t="e">
        <f t="shared" si="11"/>
        <v>#VALUE!</v>
      </c>
      <c r="R117" s="57" t="e">
        <f t="shared" si="12"/>
        <v>#VALUE!</v>
      </c>
      <c r="S117" s="5" t="e">
        <f t="shared" si="13"/>
        <v>#VALUE!</v>
      </c>
      <c r="T117" s="5" t="e">
        <f t="shared" si="13"/>
        <v>#VALUE!</v>
      </c>
      <c r="U117" s="5" t="e">
        <f t="shared" si="13"/>
        <v>#VALUE!</v>
      </c>
      <c r="V117" s="5" t="e">
        <f t="shared" si="13"/>
        <v>#VALUE!</v>
      </c>
    </row>
    <row r="118" spans="1:22">
      <c r="A118" s="36"/>
      <c r="J118" s="3">
        <f t="shared" si="9"/>
        <v>0</v>
      </c>
      <c r="K118" s="3">
        <f t="shared" si="9"/>
        <v>0</v>
      </c>
      <c r="L118" s="3">
        <f t="shared" si="9"/>
        <v>0</v>
      </c>
      <c r="M118" s="3">
        <f t="shared" si="9"/>
        <v>0</v>
      </c>
      <c r="Q118" s="10" t="e">
        <f t="shared" si="11"/>
        <v>#VALUE!</v>
      </c>
      <c r="R118" s="57" t="e">
        <f t="shared" si="12"/>
        <v>#VALUE!</v>
      </c>
      <c r="S118" s="5" t="e">
        <f t="shared" si="13"/>
        <v>#VALUE!</v>
      </c>
      <c r="T118" s="5" t="e">
        <f t="shared" si="13"/>
        <v>#VALUE!</v>
      </c>
      <c r="U118" s="5" t="e">
        <f t="shared" si="13"/>
        <v>#VALUE!</v>
      </c>
      <c r="V118" s="5" t="e">
        <f t="shared" si="13"/>
        <v>#VALUE!</v>
      </c>
    </row>
    <row r="119" spans="1:22">
      <c r="A119" s="36"/>
      <c r="J119" s="3">
        <f t="shared" si="9"/>
        <v>0</v>
      </c>
      <c r="K119" s="3">
        <f t="shared" si="9"/>
        <v>0</v>
      </c>
      <c r="L119" s="3">
        <f t="shared" si="9"/>
        <v>0</v>
      </c>
      <c r="M119" s="3">
        <f t="shared" si="9"/>
        <v>0</v>
      </c>
      <c r="Q119" s="10" t="e">
        <f t="shared" si="11"/>
        <v>#VALUE!</v>
      </c>
      <c r="R119" s="57" t="e">
        <f t="shared" si="12"/>
        <v>#VALUE!</v>
      </c>
      <c r="S119" s="5" t="e">
        <f t="shared" si="13"/>
        <v>#VALUE!</v>
      </c>
      <c r="T119" s="5" t="e">
        <f t="shared" si="13"/>
        <v>#VALUE!</v>
      </c>
      <c r="U119" s="5" t="e">
        <f t="shared" si="13"/>
        <v>#VALUE!</v>
      </c>
      <c r="V119" s="5" t="e">
        <f t="shared" si="13"/>
        <v>#VALUE!</v>
      </c>
    </row>
    <row r="120" spans="1:22">
      <c r="A120" s="36"/>
      <c r="J120" s="3">
        <f t="shared" si="9"/>
        <v>0</v>
      </c>
      <c r="K120" s="3">
        <f t="shared" si="9"/>
        <v>0</v>
      </c>
      <c r="L120" s="3">
        <f t="shared" si="9"/>
        <v>0</v>
      </c>
      <c r="M120" s="3">
        <f t="shared" si="9"/>
        <v>0</v>
      </c>
      <c r="Q120" s="10" t="e">
        <f t="shared" si="11"/>
        <v>#VALUE!</v>
      </c>
      <c r="R120" s="57" t="e">
        <f t="shared" si="12"/>
        <v>#VALUE!</v>
      </c>
      <c r="S120" s="5" t="e">
        <f t="shared" si="13"/>
        <v>#VALUE!</v>
      </c>
      <c r="T120" s="5" t="e">
        <f t="shared" si="13"/>
        <v>#VALUE!</v>
      </c>
      <c r="U120" s="5" t="e">
        <f t="shared" si="13"/>
        <v>#VALUE!</v>
      </c>
      <c r="V120" s="5" t="e">
        <f t="shared" si="13"/>
        <v>#VALUE!</v>
      </c>
    </row>
    <row r="121" spans="1:22">
      <c r="A121" s="36" t="e">
        <f>IF(Tabela17[[#This Row],[Código]]="IBOV","^BVSP",IF(Tabela17[[#This Row],[Código]]="","",CONCATENATE(LEFT(Tabela17[[#This Row],[Código]],6),".SA")))</f>
        <v>#VALUE!</v>
      </c>
      <c r="J121" s="3" t="e">
        <f t="shared" si="9"/>
        <v>#VALUE!</v>
      </c>
      <c r="K121" s="3" t="e">
        <f t="shared" si="9"/>
        <v>#VALUE!</v>
      </c>
      <c r="L121" s="3" t="e">
        <f t="shared" si="9"/>
        <v>#VALUE!</v>
      </c>
      <c r="M121" s="3" t="e">
        <f t="shared" si="9"/>
        <v>#VALUE!</v>
      </c>
      <c r="Q121" s="10" t="e">
        <f t="shared" si="11"/>
        <v>#VALUE!</v>
      </c>
      <c r="R121" s="57" t="e">
        <f t="shared" si="12"/>
        <v>#VALUE!</v>
      </c>
      <c r="S121" s="5" t="e">
        <f t="shared" si="13"/>
        <v>#VALUE!</v>
      </c>
      <c r="T121" s="5" t="e">
        <f t="shared" si="13"/>
        <v>#VALUE!</v>
      </c>
      <c r="U121" s="5" t="e">
        <f t="shared" si="13"/>
        <v>#VALUE!</v>
      </c>
      <c r="V121" s="5" t="e">
        <f t="shared" si="13"/>
        <v>#VALUE!</v>
      </c>
    </row>
    <row r="122" spans="1:22">
      <c r="A122" s="36" t="e">
        <f>IF(Tabela17[[#This Row],[Código]]="IBOV","^BVSP",IF(Tabela17[[#This Row],[Código]]="","",CONCATENATE(LEFT(Tabela17[[#This Row],[Código]],6),".SA")))</f>
        <v>#VALUE!</v>
      </c>
      <c r="J122" s="3" t="e">
        <f t="shared" si="9"/>
        <v>#VALUE!</v>
      </c>
      <c r="K122" s="3" t="e">
        <f t="shared" si="9"/>
        <v>#VALUE!</v>
      </c>
      <c r="L122" s="3" t="e">
        <f t="shared" si="9"/>
        <v>#VALUE!</v>
      </c>
      <c r="M122" s="3" t="e">
        <f t="shared" si="9"/>
        <v>#VALUE!</v>
      </c>
      <c r="Q122" s="10" t="e">
        <f t="shared" si="11"/>
        <v>#VALUE!</v>
      </c>
      <c r="R122" s="57" t="e">
        <f t="shared" si="12"/>
        <v>#VALUE!</v>
      </c>
      <c r="S122" s="5" t="e">
        <f t="shared" si="13"/>
        <v>#VALUE!</v>
      </c>
      <c r="T122" s="5" t="e">
        <f t="shared" si="13"/>
        <v>#VALUE!</v>
      </c>
      <c r="U122" s="5" t="e">
        <f t="shared" si="13"/>
        <v>#VALUE!</v>
      </c>
      <c r="V122" s="5" t="e">
        <f t="shared" si="13"/>
        <v>#VALUE!</v>
      </c>
    </row>
    <row r="123" spans="1:22">
      <c r="A123" s="36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9"/>
        <v>#VALUE!</v>
      </c>
      <c r="L123" s="3" t="e">
        <f t="shared" si="9"/>
        <v>#VALUE!</v>
      </c>
      <c r="M123" s="3" t="e">
        <f t="shared" si="9"/>
        <v>#VALUE!</v>
      </c>
      <c r="Q123" s="10" t="e">
        <f t="shared" si="11"/>
        <v>#VALUE!</v>
      </c>
      <c r="R123" s="57" t="e">
        <f t="shared" si="12"/>
        <v>#VALUE!</v>
      </c>
      <c r="S123" s="5" t="e">
        <f t="shared" si="13"/>
        <v>#VALUE!</v>
      </c>
      <c r="T123" s="5" t="e">
        <f t="shared" si="13"/>
        <v>#VALUE!</v>
      </c>
      <c r="U123" s="5" t="e">
        <f t="shared" si="13"/>
        <v>#VALUE!</v>
      </c>
      <c r="V123" s="5" t="e">
        <f t="shared" si="13"/>
        <v>#VALUE!</v>
      </c>
    </row>
    <row r="124" spans="1:22">
      <c r="A124" s="36" t="e">
        <f>IF(Tabela17[[#This Row],[Código]]="IBOV","^BVSP",IF(Tabela17[[#This Row],[Código]]="","",CONCATENATE(LEFT(Tabela17[[#This Row],[Código]],6),".SA")))</f>
        <v>#VALUE!</v>
      </c>
      <c r="J124" s="3" t="e">
        <f t="shared" si="9"/>
        <v>#VALUE!</v>
      </c>
      <c r="K124" s="3" t="e">
        <f t="shared" si="9"/>
        <v>#VALUE!</v>
      </c>
      <c r="L124" s="3" t="e">
        <f t="shared" si="9"/>
        <v>#VALUE!</v>
      </c>
      <c r="M124" s="3" t="e">
        <f t="shared" si="9"/>
        <v>#VALUE!</v>
      </c>
      <c r="Q124" s="10" t="e">
        <f t="shared" si="11"/>
        <v>#VALUE!</v>
      </c>
      <c r="R124" s="57" t="e">
        <f t="shared" si="12"/>
        <v>#VALUE!</v>
      </c>
      <c r="S124" s="5" t="e">
        <f t="shared" si="13"/>
        <v>#VALUE!</v>
      </c>
      <c r="T124" s="5" t="e">
        <f t="shared" si="13"/>
        <v>#VALUE!</v>
      </c>
      <c r="U124" s="5" t="e">
        <f t="shared" si="13"/>
        <v>#VALUE!</v>
      </c>
      <c r="V124" s="5" t="e">
        <f t="shared" si="13"/>
        <v>#VALUE!</v>
      </c>
    </row>
    <row r="125" spans="1:22">
      <c r="A125" s="36" t="e">
        <f>IF(Tabela17[[#This Row],[Código]]="IBOV","^BVSP",IF(Tabela17[[#This Row],[Código]]="","",CONCATENATE(LEFT(Tabela17[[#This Row],[Código]],6),".SA")))</f>
        <v>#VALUE!</v>
      </c>
      <c r="J125" s="3" t="e">
        <f t="shared" si="9"/>
        <v>#VALUE!</v>
      </c>
      <c r="K125" s="3" t="e">
        <f t="shared" si="9"/>
        <v>#VALUE!</v>
      </c>
      <c r="L125" s="3" t="e">
        <f t="shared" si="9"/>
        <v>#VALUE!</v>
      </c>
      <c r="M125" s="3" t="e">
        <f t="shared" si="9"/>
        <v>#VALUE!</v>
      </c>
      <c r="Q125" s="10" t="e">
        <f t="shared" si="11"/>
        <v>#VALUE!</v>
      </c>
      <c r="R125" s="57" t="e">
        <f t="shared" si="12"/>
        <v>#VALUE!</v>
      </c>
      <c r="S125" s="5" t="e">
        <f t="shared" si="13"/>
        <v>#VALUE!</v>
      </c>
      <c r="T125" s="5" t="e">
        <f t="shared" si="13"/>
        <v>#VALUE!</v>
      </c>
      <c r="U125" s="5" t="e">
        <f t="shared" si="13"/>
        <v>#VALUE!</v>
      </c>
      <c r="V125" s="5" t="e">
        <f t="shared" si="13"/>
        <v>#VALUE!</v>
      </c>
    </row>
    <row r="126" spans="1:22">
      <c r="A126" s="36" t="e">
        <f>IF(Tabela17[[#This Row],[Código]]="IBOV","^BVSP",IF(Tabela17[[#This Row],[Código]]="","",CONCATENATE(LEFT(Tabela17[[#This Row],[Código]],6),".SA")))</f>
        <v>#VALUE!</v>
      </c>
      <c r="J126" s="3" t="e">
        <f t="shared" si="9"/>
        <v>#VALUE!</v>
      </c>
      <c r="K126" s="3" t="e">
        <f t="shared" si="9"/>
        <v>#VALUE!</v>
      </c>
      <c r="L126" s="3" t="e">
        <f t="shared" si="9"/>
        <v>#VALUE!</v>
      </c>
      <c r="M126" s="3" t="e">
        <f t="shared" si="9"/>
        <v>#VALUE!</v>
      </c>
      <c r="Q126" s="10" t="e">
        <f t="shared" si="11"/>
        <v>#VALUE!</v>
      </c>
      <c r="R126" s="57" t="e">
        <f t="shared" si="12"/>
        <v>#VALUE!</v>
      </c>
      <c r="S126" s="5" t="e">
        <f t="shared" si="13"/>
        <v>#VALUE!</v>
      </c>
      <c r="T126" s="5" t="e">
        <f t="shared" si="13"/>
        <v>#VALUE!</v>
      </c>
      <c r="U126" s="5" t="e">
        <f t="shared" si="13"/>
        <v>#VALUE!</v>
      </c>
      <c r="V126" s="5" t="e">
        <f t="shared" si="13"/>
        <v>#VALUE!</v>
      </c>
    </row>
    <row r="127" spans="1:22">
      <c r="A127" s="36" t="e">
        <f>IF(Tabela17[[#This Row],[Código]]="IBOV","^BVSP",IF(Tabela17[[#This Row],[Código]]="","",CONCATENATE(LEFT(Tabela17[[#This Row],[Código]],6),".SA")))</f>
        <v>#VALUE!</v>
      </c>
      <c r="J127" s="3" t="e">
        <f t="shared" si="9"/>
        <v>#VALUE!</v>
      </c>
      <c r="K127" s="3" t="e">
        <f t="shared" si="9"/>
        <v>#VALUE!</v>
      </c>
      <c r="L127" s="3" t="e">
        <f t="shared" si="9"/>
        <v>#VALUE!</v>
      </c>
      <c r="M127" s="3" t="e">
        <f t="shared" si="9"/>
        <v>#VALUE!</v>
      </c>
      <c r="Q127" s="10" t="e">
        <f t="shared" si="11"/>
        <v>#VALUE!</v>
      </c>
      <c r="R127" s="57" t="e">
        <f t="shared" si="12"/>
        <v>#VALUE!</v>
      </c>
      <c r="S127" s="5" t="e">
        <f t="shared" si="13"/>
        <v>#VALUE!</v>
      </c>
      <c r="T127" s="5" t="e">
        <f t="shared" si="13"/>
        <v>#VALUE!</v>
      </c>
      <c r="U127" s="5" t="e">
        <f t="shared" si="13"/>
        <v>#VALUE!</v>
      </c>
      <c r="V127" s="5" t="e">
        <f t="shared" si="13"/>
        <v>#VALUE!</v>
      </c>
    </row>
    <row r="128" spans="1:22">
      <c r="A128" s="36" t="e">
        <f>IF(Tabela17[[#This Row],[Código]]="IBOV","^BVSP",IF(Tabela17[[#This Row],[Código]]="","",CONCATENATE(LEFT(Tabela17[[#This Row],[Código]],6),".SA")))</f>
        <v>#VALUE!</v>
      </c>
      <c r="J128" s="3" t="e">
        <f t="shared" si="9"/>
        <v>#VALUE!</v>
      </c>
      <c r="K128" s="3" t="e">
        <f t="shared" si="9"/>
        <v>#VALUE!</v>
      </c>
      <c r="L128" s="3" t="e">
        <f t="shared" si="9"/>
        <v>#VALUE!</v>
      </c>
      <c r="M128" s="3" t="e">
        <f t="shared" si="9"/>
        <v>#VALUE!</v>
      </c>
      <c r="Q128" s="10" t="e">
        <f t="shared" si="11"/>
        <v>#VALUE!</v>
      </c>
      <c r="R128" s="57" t="e">
        <f t="shared" si="12"/>
        <v>#VALUE!</v>
      </c>
      <c r="S128" s="5" t="e">
        <f t="shared" si="13"/>
        <v>#VALUE!</v>
      </c>
      <c r="T128" s="5" t="e">
        <f t="shared" si="13"/>
        <v>#VALUE!</v>
      </c>
      <c r="U128" s="5" t="e">
        <f t="shared" si="13"/>
        <v>#VALUE!</v>
      </c>
      <c r="V128" s="5" t="e">
        <f t="shared" si="13"/>
        <v>#VALUE!</v>
      </c>
    </row>
    <row r="129" spans="1:22">
      <c r="A129" s="36" t="e">
        <f>IF(Tabela17[[#This Row],[Código]]="IBOV","^BVSP",IF(Tabela17[[#This Row],[Código]]="","",CONCATENATE(LEFT(Tabela17[[#This Row],[Código]],6),".SA")))</f>
        <v>#VALUE!</v>
      </c>
      <c r="J129" s="3" t="e">
        <f t="shared" si="9"/>
        <v>#VALUE!</v>
      </c>
      <c r="K129" s="3" t="e">
        <f t="shared" si="9"/>
        <v>#VALUE!</v>
      </c>
      <c r="L129" s="3" t="e">
        <f t="shared" si="9"/>
        <v>#VALUE!</v>
      </c>
      <c r="M129" s="3" t="e">
        <f t="shared" si="9"/>
        <v>#VALUE!</v>
      </c>
      <c r="P129" s="4"/>
      <c r="Q129" s="10" t="e">
        <f t="shared" si="11"/>
        <v>#VALUE!</v>
      </c>
      <c r="R129" s="57" t="e">
        <f t="shared" si="12"/>
        <v>#VALUE!</v>
      </c>
      <c r="S129" s="5" t="e">
        <f t="shared" si="13"/>
        <v>#VALUE!</v>
      </c>
      <c r="T129" s="5" t="e">
        <f t="shared" si="13"/>
        <v>#VALUE!</v>
      </c>
      <c r="U129" s="5" t="e">
        <f t="shared" si="13"/>
        <v>#VALUE!</v>
      </c>
      <c r="V129" s="5" t="e">
        <f t="shared" si="13"/>
        <v>#VALUE!</v>
      </c>
    </row>
    <row r="130" spans="1:22">
      <c r="A130" s="36" t="e">
        <f>IF(Tabela17[[#This Row],[Código]]="IBOV","^BVSP",IF(Tabela17[[#This Row],[Código]]="","",CONCATENATE(LEFT(Tabela17[[#This Row],[Código]],6),".SA")))</f>
        <v>#VALUE!</v>
      </c>
      <c r="J130" s="3" t="e">
        <f t="shared" si="9"/>
        <v>#VALUE!</v>
      </c>
      <c r="K130" s="3" t="e">
        <f t="shared" si="9"/>
        <v>#VALUE!</v>
      </c>
      <c r="L130" s="3" t="e">
        <f t="shared" si="9"/>
        <v>#VALUE!</v>
      </c>
      <c r="M130" s="3" t="e">
        <f t="shared" si="9"/>
        <v>#VALUE!</v>
      </c>
      <c r="P130" s="10"/>
      <c r="Q130" s="10" t="str">
        <f t="shared" si="11"/>
        <v/>
      </c>
      <c r="R130" s="57" t="str">
        <f t="shared" si="12"/>
        <v/>
      </c>
      <c r="S130" s="5">
        <f t="shared" si="13"/>
        <v>0</v>
      </c>
      <c r="T130" s="5">
        <f t="shared" si="13"/>
        <v>0</v>
      </c>
      <c r="U130" s="5">
        <f t="shared" si="13"/>
        <v>0</v>
      </c>
      <c r="V130" s="5">
        <f t="shared" si="13"/>
        <v>0</v>
      </c>
    </row>
    <row r="131" spans="1:22">
      <c r="A131" s="36" t="e">
        <f>IF(Tabela17[[#This Row],[Código]]="IBOV","^BVSP",IF(Tabela17[[#This Row],[Código]]="","",CONCATENATE(LEFT(Tabela17[[#This Row],[Código]],6),".SA")))</f>
        <v>#VALUE!</v>
      </c>
      <c r="J131" s="3" t="e">
        <f t="shared" si="9"/>
        <v>#VALUE!</v>
      </c>
      <c r="K131" s="3" t="e">
        <f t="shared" si="9"/>
        <v>#VALUE!</v>
      </c>
      <c r="L131" s="3" t="e">
        <f t="shared" si="9"/>
        <v>#VALUE!</v>
      </c>
      <c r="M131" s="3" t="e">
        <f t="shared" si="9"/>
        <v>#VALUE!</v>
      </c>
      <c r="Q131" s="10" t="str">
        <f t="shared" si="11"/>
        <v/>
      </c>
      <c r="R131" s="57" t="str">
        <f t="shared" si="12"/>
        <v/>
      </c>
      <c r="S131" s="5">
        <f t="shared" si="13"/>
        <v>0</v>
      </c>
      <c r="T131" s="5">
        <f t="shared" si="13"/>
        <v>0</v>
      </c>
      <c r="U131" s="5">
        <f t="shared" si="13"/>
        <v>0</v>
      </c>
      <c r="V131" s="5">
        <f t="shared" si="13"/>
        <v>0</v>
      </c>
    </row>
    <row r="132" spans="1:22">
      <c r="A132" s="36" t="e">
        <f>IF(Tabela17[[#This Row],[Código]]="IBOV","^BVSP",IF(Tabela17[[#This Row],[Código]]="","",CONCATENATE(LEFT(Tabela17[[#This Row],[Código]],6),".SA")))</f>
        <v>#VALUE!</v>
      </c>
      <c r="J132" s="3" t="e">
        <f t="shared" si="9"/>
        <v>#VALUE!</v>
      </c>
      <c r="K132" s="3" t="e">
        <f t="shared" si="9"/>
        <v>#VALUE!</v>
      </c>
      <c r="L132" s="3" t="e">
        <f t="shared" si="9"/>
        <v>#VALUE!</v>
      </c>
      <c r="M132" s="3" t="e">
        <f t="shared" si="9"/>
        <v>#VALUE!</v>
      </c>
      <c r="P132" s="3" t="str">
        <f>IF([1]Patrimonio!C143="","",[1]Patrimonio!C143)</f>
        <v/>
      </c>
      <c r="Q132" s="3" t="str">
        <f t="shared" ref="Q132:Q158" si="14">IF(A148="","",C149)</f>
        <v/>
      </c>
      <c r="R132" s="57" t="str">
        <f t="shared" ref="R132:R158" si="15">IF(A148="","",H148)</f>
        <v/>
      </c>
      <c r="S132" s="5">
        <f t="shared" ref="S132:V147" si="16">J148</f>
        <v>0</v>
      </c>
      <c r="T132" s="5">
        <f t="shared" si="16"/>
        <v>0</v>
      </c>
      <c r="U132" s="5">
        <f t="shared" si="16"/>
        <v>0</v>
      </c>
      <c r="V132" s="5">
        <f t="shared" si="16"/>
        <v>0</v>
      </c>
    </row>
    <row r="133" spans="1:22">
      <c r="A133" s="36" t="e">
        <f>IF(Tabela17[[#This Row],[Código]]="IBOV","^BVSP",IF(Tabela17[[#This Row],[Código]]="","",CONCATENATE(LEFT(Tabela17[[#This Row],[Código]],6),".SA")))</f>
        <v>#VALUE!</v>
      </c>
      <c r="J133" s="3" t="e">
        <f t="shared" si="9"/>
        <v>#VALUE!</v>
      </c>
      <c r="K133" s="3" t="e">
        <f t="shared" si="9"/>
        <v>#VALUE!</v>
      </c>
      <c r="L133" s="3" t="e">
        <f t="shared" si="9"/>
        <v>#VALUE!</v>
      </c>
      <c r="M133" s="3" t="e">
        <f t="shared" si="9"/>
        <v>#VALUE!</v>
      </c>
      <c r="P133" s="3" t="str">
        <f>IF([1]Patrimonio!C144="","",[1]Patrimonio!C144)</f>
        <v/>
      </c>
      <c r="Q133" s="3" t="str">
        <f t="shared" si="14"/>
        <v/>
      </c>
      <c r="R133" s="57" t="str">
        <f t="shared" si="15"/>
        <v/>
      </c>
      <c r="S133" s="5">
        <f t="shared" si="16"/>
        <v>0</v>
      </c>
      <c r="T133" s="5">
        <f t="shared" si="16"/>
        <v>0</v>
      </c>
      <c r="U133" s="5">
        <f t="shared" si="16"/>
        <v>0</v>
      </c>
      <c r="V133" s="5">
        <f t="shared" si="16"/>
        <v>0</v>
      </c>
    </row>
    <row r="134" spans="1:22">
      <c r="A134" s="36"/>
      <c r="J134" s="3">
        <f t="shared" si="9"/>
        <v>0</v>
      </c>
      <c r="K134" s="3">
        <f t="shared" si="9"/>
        <v>0</v>
      </c>
      <c r="L134" s="3">
        <f t="shared" si="9"/>
        <v>0</v>
      </c>
      <c r="M134" s="3">
        <f t="shared" si="9"/>
        <v>0</v>
      </c>
      <c r="P134" s="3" t="str">
        <f>IF([1]Patrimonio!C145="","",[1]Patrimonio!C145)</f>
        <v/>
      </c>
      <c r="Q134" s="3" t="str">
        <f t="shared" si="14"/>
        <v/>
      </c>
      <c r="R134" s="57" t="str">
        <f t="shared" si="15"/>
        <v/>
      </c>
      <c r="S134" s="5">
        <f t="shared" si="16"/>
        <v>0</v>
      </c>
      <c r="T134" s="5">
        <f t="shared" si="16"/>
        <v>0</v>
      </c>
      <c r="U134" s="5">
        <f t="shared" si="16"/>
        <v>0</v>
      </c>
      <c r="V134" s="5">
        <f t="shared" si="16"/>
        <v>0</v>
      </c>
    </row>
    <row r="135" spans="1:22">
      <c r="A135" s="36"/>
      <c r="J135" s="3">
        <f t="shared" si="9"/>
        <v>0</v>
      </c>
      <c r="K135" s="3">
        <f t="shared" si="9"/>
        <v>0</v>
      </c>
      <c r="L135" s="3">
        <f t="shared" si="9"/>
        <v>0</v>
      </c>
      <c r="M135" s="3">
        <f t="shared" si="9"/>
        <v>0</v>
      </c>
      <c r="P135" s="3" t="str">
        <f>IF([1]Patrimonio!C146="","",[1]Patrimonio!C146)</f>
        <v/>
      </c>
      <c r="Q135" s="3" t="str">
        <f t="shared" si="14"/>
        <v/>
      </c>
      <c r="R135" s="57" t="str">
        <f t="shared" si="15"/>
        <v/>
      </c>
      <c r="S135" s="5">
        <f t="shared" si="16"/>
        <v>0</v>
      </c>
      <c r="T135" s="5">
        <f t="shared" si="16"/>
        <v>0</v>
      </c>
      <c r="U135" s="5">
        <f t="shared" si="16"/>
        <v>0</v>
      </c>
      <c r="V135" s="5">
        <f t="shared" si="16"/>
        <v>0</v>
      </c>
    </row>
    <row r="136" spans="1:22">
      <c r="A136" s="36"/>
      <c r="J136" s="3">
        <f t="shared" ref="J136:M172" si="17">IF($A136="",0,VALUE(CONCATENATE(LEFT(D136,LEN(D136)-3),",",RIGHT(D136,2))))</f>
        <v>0</v>
      </c>
      <c r="K136" s="3">
        <f t="shared" si="17"/>
        <v>0</v>
      </c>
      <c r="L136" s="3">
        <f t="shared" si="17"/>
        <v>0</v>
      </c>
      <c r="M136" s="3">
        <f t="shared" si="17"/>
        <v>0</v>
      </c>
      <c r="P136" s="3" t="str">
        <f>IF([1]Patrimonio!C147="","",[1]Patrimonio!C147)</f>
        <v/>
      </c>
      <c r="Q136" s="3" t="str">
        <f t="shared" si="14"/>
        <v/>
      </c>
      <c r="R136" s="57" t="str">
        <f t="shared" si="15"/>
        <v/>
      </c>
      <c r="S136" s="5">
        <f t="shared" si="16"/>
        <v>0</v>
      </c>
      <c r="T136" s="5">
        <f t="shared" si="16"/>
        <v>0</v>
      </c>
      <c r="U136" s="5">
        <f t="shared" si="16"/>
        <v>0</v>
      </c>
      <c r="V136" s="5">
        <f t="shared" si="16"/>
        <v>0</v>
      </c>
    </row>
    <row r="137" spans="1:22">
      <c r="A137" s="36"/>
      <c r="J137" s="3">
        <f t="shared" si="17"/>
        <v>0</v>
      </c>
      <c r="K137" s="3">
        <f t="shared" si="17"/>
        <v>0</v>
      </c>
      <c r="L137" s="3">
        <f t="shared" si="17"/>
        <v>0</v>
      </c>
      <c r="M137" s="3">
        <f t="shared" si="17"/>
        <v>0</v>
      </c>
      <c r="P137" s="3" t="str">
        <f>IF([1]Patrimonio!C148="","",[1]Patrimonio!C148)</f>
        <v/>
      </c>
      <c r="Q137" s="3" t="str">
        <f t="shared" si="14"/>
        <v/>
      </c>
      <c r="R137" s="57" t="str">
        <f t="shared" si="15"/>
        <v/>
      </c>
      <c r="S137" s="5">
        <f t="shared" si="16"/>
        <v>0</v>
      </c>
      <c r="T137" s="5">
        <f t="shared" si="16"/>
        <v>0</v>
      </c>
      <c r="U137" s="5">
        <f t="shared" si="16"/>
        <v>0</v>
      </c>
      <c r="V137" s="5">
        <f t="shared" si="16"/>
        <v>0</v>
      </c>
    </row>
    <row r="138" spans="1:22">
      <c r="A138" s="36"/>
      <c r="J138" s="3">
        <f t="shared" si="17"/>
        <v>0</v>
      </c>
      <c r="K138" s="3">
        <f t="shared" si="17"/>
        <v>0</v>
      </c>
      <c r="L138" s="3">
        <f t="shared" si="17"/>
        <v>0</v>
      </c>
      <c r="M138" s="3">
        <f t="shared" si="17"/>
        <v>0</v>
      </c>
      <c r="P138" s="3" t="str">
        <f>IF([1]Patrimonio!C149="","",[1]Patrimonio!C149)</f>
        <v/>
      </c>
      <c r="Q138" s="3" t="str">
        <f t="shared" si="14"/>
        <v/>
      </c>
      <c r="R138" s="57" t="str">
        <f t="shared" si="15"/>
        <v/>
      </c>
      <c r="S138" s="5">
        <f t="shared" si="16"/>
        <v>0</v>
      </c>
      <c r="T138" s="5">
        <f t="shared" si="16"/>
        <v>0</v>
      </c>
      <c r="U138" s="5">
        <f t="shared" si="16"/>
        <v>0</v>
      </c>
      <c r="V138" s="5">
        <f t="shared" si="16"/>
        <v>0</v>
      </c>
    </row>
    <row r="139" spans="1:22">
      <c r="A139" s="36"/>
      <c r="J139" s="3">
        <f t="shared" si="17"/>
        <v>0</v>
      </c>
      <c r="K139" s="3">
        <f t="shared" si="17"/>
        <v>0</v>
      </c>
      <c r="L139" s="3">
        <f t="shared" si="17"/>
        <v>0</v>
      </c>
      <c r="M139" s="3">
        <f t="shared" si="17"/>
        <v>0</v>
      </c>
      <c r="P139" s="3" t="str">
        <f>IF([1]Patrimonio!C150="","",[1]Patrimonio!C150)</f>
        <v/>
      </c>
      <c r="Q139" s="3" t="str">
        <f t="shared" si="14"/>
        <v/>
      </c>
      <c r="R139" s="57" t="str">
        <f t="shared" si="15"/>
        <v/>
      </c>
      <c r="S139" s="5">
        <f t="shared" si="16"/>
        <v>0</v>
      </c>
      <c r="T139" s="5">
        <f t="shared" si="16"/>
        <v>0</v>
      </c>
      <c r="U139" s="5">
        <f t="shared" si="16"/>
        <v>0</v>
      </c>
      <c r="V139" s="5">
        <f t="shared" si="16"/>
        <v>0</v>
      </c>
    </row>
    <row r="140" spans="1:22">
      <c r="A140" s="36"/>
      <c r="J140" s="3">
        <f t="shared" si="17"/>
        <v>0</v>
      </c>
      <c r="K140" s="3">
        <f t="shared" si="17"/>
        <v>0</v>
      </c>
      <c r="L140" s="3">
        <f t="shared" si="17"/>
        <v>0</v>
      </c>
      <c r="M140" s="3">
        <f t="shared" si="17"/>
        <v>0</v>
      </c>
      <c r="P140" s="3" t="str">
        <f>IF([1]Patrimonio!C151="","",[1]Patrimonio!C151)</f>
        <v/>
      </c>
      <c r="Q140" s="3" t="str">
        <f t="shared" si="14"/>
        <v/>
      </c>
      <c r="R140" s="57" t="str">
        <f t="shared" si="15"/>
        <v/>
      </c>
      <c r="S140" s="5">
        <f t="shared" si="16"/>
        <v>0</v>
      </c>
      <c r="T140" s="5">
        <f t="shared" si="16"/>
        <v>0</v>
      </c>
      <c r="U140" s="5">
        <f t="shared" si="16"/>
        <v>0</v>
      </c>
      <c r="V140" s="5">
        <f t="shared" si="16"/>
        <v>0</v>
      </c>
    </row>
    <row r="141" spans="1:22">
      <c r="A141" s="36"/>
      <c r="J141" s="3">
        <f t="shared" si="17"/>
        <v>0</v>
      </c>
      <c r="K141" s="3">
        <f t="shared" si="17"/>
        <v>0</v>
      </c>
      <c r="L141" s="3">
        <f t="shared" si="17"/>
        <v>0</v>
      </c>
      <c r="M141" s="3">
        <f t="shared" si="17"/>
        <v>0</v>
      </c>
      <c r="P141" s="3" t="str">
        <f>IF([1]Patrimonio!C152="","",[1]Patrimonio!C152)</f>
        <v/>
      </c>
      <c r="Q141" s="3" t="str">
        <f t="shared" si="14"/>
        <v/>
      </c>
      <c r="R141" s="57" t="str">
        <f t="shared" si="15"/>
        <v/>
      </c>
      <c r="S141" s="5">
        <f t="shared" si="16"/>
        <v>0</v>
      </c>
      <c r="T141" s="5">
        <f t="shared" si="16"/>
        <v>0</v>
      </c>
      <c r="U141" s="5">
        <f t="shared" si="16"/>
        <v>0</v>
      </c>
      <c r="V141" s="5">
        <f t="shared" si="16"/>
        <v>0</v>
      </c>
    </row>
    <row r="142" spans="1:22">
      <c r="A142" s="36"/>
      <c r="J142" s="3">
        <f t="shared" si="17"/>
        <v>0</v>
      </c>
      <c r="K142" s="3">
        <f t="shared" si="17"/>
        <v>0</v>
      </c>
      <c r="L142" s="3">
        <f t="shared" si="17"/>
        <v>0</v>
      </c>
      <c r="M142" s="3">
        <f t="shared" si="17"/>
        <v>0</v>
      </c>
      <c r="P142" s="3" t="str">
        <f>IF([1]Patrimonio!C153="","",[1]Patrimonio!C153)</f>
        <v/>
      </c>
      <c r="Q142" s="3" t="str">
        <f t="shared" si="14"/>
        <v/>
      </c>
      <c r="R142" s="57" t="str">
        <f t="shared" si="15"/>
        <v/>
      </c>
      <c r="S142" s="5">
        <f t="shared" si="16"/>
        <v>0</v>
      </c>
      <c r="T142" s="5">
        <f t="shared" si="16"/>
        <v>0</v>
      </c>
      <c r="U142" s="5">
        <f t="shared" si="16"/>
        <v>0</v>
      </c>
      <c r="V142" s="5">
        <f t="shared" si="16"/>
        <v>0</v>
      </c>
    </row>
    <row r="143" spans="1:22">
      <c r="A143" s="36"/>
      <c r="J143" s="3">
        <f t="shared" si="17"/>
        <v>0</v>
      </c>
      <c r="K143" s="3">
        <f t="shared" si="17"/>
        <v>0</v>
      </c>
      <c r="L143" s="3">
        <f t="shared" si="17"/>
        <v>0</v>
      </c>
      <c r="M143" s="3">
        <f t="shared" si="17"/>
        <v>0</v>
      </c>
      <c r="P143" s="3" t="str">
        <f>IF([1]Patrimonio!C154="","",[1]Patrimonio!C154)</f>
        <v/>
      </c>
      <c r="Q143" s="3" t="str">
        <f t="shared" si="14"/>
        <v/>
      </c>
      <c r="R143" s="57" t="str">
        <f t="shared" si="15"/>
        <v/>
      </c>
      <c r="S143" s="5">
        <f t="shared" si="16"/>
        <v>0</v>
      </c>
      <c r="T143" s="5">
        <f t="shared" si="16"/>
        <v>0</v>
      </c>
      <c r="U143" s="5">
        <f t="shared" si="16"/>
        <v>0</v>
      </c>
      <c r="V143" s="5">
        <f t="shared" si="16"/>
        <v>0</v>
      </c>
    </row>
    <row r="144" spans="1:22">
      <c r="A144" s="36"/>
      <c r="J144" s="3">
        <f t="shared" si="17"/>
        <v>0</v>
      </c>
      <c r="K144" s="3">
        <f t="shared" si="17"/>
        <v>0</v>
      </c>
      <c r="L144" s="3">
        <f t="shared" si="17"/>
        <v>0</v>
      </c>
      <c r="M144" s="3">
        <f t="shared" si="17"/>
        <v>0</v>
      </c>
      <c r="P144" s="3" t="str">
        <f>IF([1]Patrimonio!C155="","",[1]Patrimonio!C155)</f>
        <v/>
      </c>
      <c r="Q144" s="3" t="str">
        <f t="shared" si="14"/>
        <v/>
      </c>
      <c r="R144" s="57" t="str">
        <f t="shared" si="15"/>
        <v/>
      </c>
      <c r="S144" s="5">
        <f t="shared" si="16"/>
        <v>0</v>
      </c>
      <c r="T144" s="5">
        <f t="shared" si="16"/>
        <v>0</v>
      </c>
      <c r="U144" s="5">
        <f t="shared" si="16"/>
        <v>0</v>
      </c>
      <c r="V144" s="5">
        <f t="shared" si="16"/>
        <v>0</v>
      </c>
    </row>
    <row r="145" spans="1:22">
      <c r="A145" s="36"/>
      <c r="J145" s="3">
        <f t="shared" si="17"/>
        <v>0</v>
      </c>
      <c r="K145" s="3">
        <f t="shared" si="17"/>
        <v>0</v>
      </c>
      <c r="L145" s="3">
        <f t="shared" si="17"/>
        <v>0</v>
      </c>
      <c r="M145" s="3">
        <f t="shared" si="17"/>
        <v>0</v>
      </c>
      <c r="P145" s="3" t="str">
        <f>IF([1]Patrimonio!C156="","",[1]Patrimonio!C156)</f>
        <v/>
      </c>
      <c r="Q145" s="3" t="str">
        <f t="shared" si="14"/>
        <v/>
      </c>
      <c r="R145" s="57" t="str">
        <f t="shared" si="15"/>
        <v/>
      </c>
      <c r="S145" s="5">
        <f t="shared" si="16"/>
        <v>0</v>
      </c>
      <c r="T145" s="5">
        <f t="shared" si="16"/>
        <v>0</v>
      </c>
      <c r="U145" s="5">
        <f t="shared" si="16"/>
        <v>0</v>
      </c>
      <c r="V145" s="5">
        <f t="shared" si="16"/>
        <v>0</v>
      </c>
    </row>
    <row r="146" spans="1:22">
      <c r="A146" s="36"/>
      <c r="J146" s="3">
        <f t="shared" si="17"/>
        <v>0</v>
      </c>
      <c r="K146" s="3">
        <f t="shared" si="17"/>
        <v>0</v>
      </c>
      <c r="L146" s="3">
        <f t="shared" si="17"/>
        <v>0</v>
      </c>
      <c r="M146" s="3">
        <f t="shared" si="17"/>
        <v>0</v>
      </c>
      <c r="P146" s="3" t="str">
        <f>IF([1]Patrimonio!C157="","",[1]Patrimonio!C157)</f>
        <v/>
      </c>
      <c r="Q146" s="3" t="str">
        <f t="shared" si="14"/>
        <v/>
      </c>
      <c r="R146" s="57" t="str">
        <f t="shared" si="15"/>
        <v/>
      </c>
      <c r="S146" s="5">
        <f t="shared" si="16"/>
        <v>0</v>
      </c>
      <c r="T146" s="5">
        <f t="shared" si="16"/>
        <v>0</v>
      </c>
      <c r="U146" s="5">
        <f t="shared" si="16"/>
        <v>0</v>
      </c>
      <c r="V146" s="5">
        <f t="shared" si="16"/>
        <v>0</v>
      </c>
    </row>
    <row r="147" spans="1:22">
      <c r="A147" s="36"/>
      <c r="J147" s="3">
        <f t="shared" si="17"/>
        <v>0</v>
      </c>
      <c r="K147" s="3">
        <f t="shared" si="17"/>
        <v>0</v>
      </c>
      <c r="L147" s="3">
        <f t="shared" si="17"/>
        <v>0</v>
      </c>
      <c r="M147" s="3">
        <f t="shared" si="17"/>
        <v>0</v>
      </c>
      <c r="P147" s="3" t="str">
        <f>IF([1]Patrimonio!C158="","",[1]Patrimonio!C158)</f>
        <v/>
      </c>
      <c r="Q147" s="3" t="str">
        <f t="shared" si="14"/>
        <v/>
      </c>
      <c r="R147" s="57" t="str">
        <f t="shared" si="15"/>
        <v/>
      </c>
      <c r="S147" s="5">
        <f t="shared" si="16"/>
        <v>0</v>
      </c>
      <c r="T147" s="5">
        <f t="shared" si="16"/>
        <v>0</v>
      </c>
      <c r="U147" s="5">
        <f t="shared" si="16"/>
        <v>0</v>
      </c>
      <c r="V147" s="5">
        <f t="shared" si="16"/>
        <v>0</v>
      </c>
    </row>
    <row r="148" spans="1:22">
      <c r="A148" s="36"/>
      <c r="J148" s="3">
        <f t="shared" si="17"/>
        <v>0</v>
      </c>
      <c r="K148" s="3">
        <f t="shared" si="17"/>
        <v>0</v>
      </c>
      <c r="L148" s="3">
        <f t="shared" si="17"/>
        <v>0</v>
      </c>
      <c r="M148" s="3">
        <f t="shared" si="17"/>
        <v>0</v>
      </c>
      <c r="P148" s="3" t="str">
        <f>IF([1]Patrimonio!C159="","",[1]Patrimonio!C159)</f>
        <v/>
      </c>
      <c r="Q148" s="3" t="str">
        <f t="shared" si="14"/>
        <v/>
      </c>
      <c r="R148" s="57" t="str">
        <f t="shared" si="15"/>
        <v/>
      </c>
      <c r="S148" s="5">
        <f t="shared" ref="S148:V158" si="18">J164</f>
        <v>0</v>
      </c>
      <c r="T148" s="5">
        <f t="shared" si="18"/>
        <v>0</v>
      </c>
      <c r="U148" s="5">
        <f t="shared" si="18"/>
        <v>0</v>
      </c>
      <c r="V148" s="5">
        <f t="shared" si="18"/>
        <v>0</v>
      </c>
    </row>
    <row r="149" spans="1:22">
      <c r="A149" s="36"/>
      <c r="J149" s="3">
        <f t="shared" si="17"/>
        <v>0</v>
      </c>
      <c r="K149" s="3">
        <f t="shared" si="17"/>
        <v>0</v>
      </c>
      <c r="L149" s="3">
        <f t="shared" si="17"/>
        <v>0</v>
      </c>
      <c r="M149" s="3">
        <f t="shared" si="17"/>
        <v>0</v>
      </c>
      <c r="P149" s="3" t="str">
        <f>IF([1]Patrimonio!C160="","",[1]Patrimonio!C160)</f>
        <v/>
      </c>
      <c r="Q149" s="3" t="str">
        <f t="shared" si="14"/>
        <v/>
      </c>
      <c r="R149" s="57" t="str">
        <f t="shared" si="15"/>
        <v/>
      </c>
      <c r="S149" s="5">
        <f t="shared" si="18"/>
        <v>0</v>
      </c>
      <c r="T149" s="5">
        <f t="shared" si="18"/>
        <v>0</v>
      </c>
      <c r="U149" s="5">
        <f t="shared" si="18"/>
        <v>0</v>
      </c>
      <c r="V149" s="5">
        <f t="shared" si="18"/>
        <v>0</v>
      </c>
    </row>
    <row r="150" spans="1:22">
      <c r="A150" s="36"/>
      <c r="J150" s="3">
        <f t="shared" si="17"/>
        <v>0</v>
      </c>
      <c r="K150" s="3">
        <f t="shared" si="17"/>
        <v>0</v>
      </c>
      <c r="L150" s="3">
        <f t="shared" si="17"/>
        <v>0</v>
      </c>
      <c r="M150" s="3">
        <f t="shared" si="17"/>
        <v>0</v>
      </c>
      <c r="P150" s="3" t="str">
        <f>IF([1]Patrimonio!C161="","",[1]Patrimonio!C161)</f>
        <v/>
      </c>
      <c r="Q150" s="3" t="str">
        <f t="shared" si="14"/>
        <v/>
      </c>
      <c r="R150" s="57" t="str">
        <f t="shared" si="15"/>
        <v/>
      </c>
      <c r="S150" s="5">
        <f t="shared" si="18"/>
        <v>0</v>
      </c>
      <c r="T150" s="5">
        <f t="shared" si="18"/>
        <v>0</v>
      </c>
      <c r="U150" s="5">
        <f t="shared" si="18"/>
        <v>0</v>
      </c>
      <c r="V150" s="5">
        <f t="shared" si="18"/>
        <v>0</v>
      </c>
    </row>
    <row r="151" spans="1:22">
      <c r="A151" s="36"/>
      <c r="J151" s="3">
        <f t="shared" si="17"/>
        <v>0</v>
      </c>
      <c r="K151" s="3">
        <f t="shared" si="17"/>
        <v>0</v>
      </c>
      <c r="L151" s="3">
        <f t="shared" si="17"/>
        <v>0</v>
      </c>
      <c r="M151" s="3">
        <f t="shared" si="17"/>
        <v>0</v>
      </c>
      <c r="P151" s="3" t="str">
        <f>IF([1]Patrimonio!C162="","",[1]Patrimonio!C162)</f>
        <v/>
      </c>
      <c r="Q151" s="3" t="str">
        <f t="shared" si="14"/>
        <v/>
      </c>
      <c r="R151" s="57" t="str">
        <f t="shared" si="15"/>
        <v/>
      </c>
      <c r="S151" s="5">
        <f t="shared" si="18"/>
        <v>0</v>
      </c>
      <c r="T151" s="5">
        <f t="shared" si="18"/>
        <v>0</v>
      </c>
      <c r="U151" s="5">
        <f t="shared" si="18"/>
        <v>0</v>
      </c>
      <c r="V151" s="5">
        <f t="shared" si="18"/>
        <v>0</v>
      </c>
    </row>
    <row r="152" spans="1:22">
      <c r="A152" s="36"/>
      <c r="J152" s="3">
        <f t="shared" si="17"/>
        <v>0</v>
      </c>
      <c r="K152" s="3">
        <f t="shared" si="17"/>
        <v>0</v>
      </c>
      <c r="L152" s="3">
        <f t="shared" si="17"/>
        <v>0</v>
      </c>
      <c r="M152" s="3">
        <f t="shared" si="17"/>
        <v>0</v>
      </c>
      <c r="P152" s="3" t="str">
        <f>IF([1]Patrimonio!C163="","",[1]Patrimonio!C163)</f>
        <v/>
      </c>
      <c r="Q152" s="3" t="str">
        <f t="shared" si="14"/>
        <v/>
      </c>
      <c r="R152" s="57" t="str">
        <f t="shared" si="15"/>
        <v/>
      </c>
      <c r="S152" s="5">
        <f t="shared" si="18"/>
        <v>0</v>
      </c>
      <c r="T152" s="5">
        <f t="shared" si="18"/>
        <v>0</v>
      </c>
      <c r="U152" s="5">
        <f t="shared" si="18"/>
        <v>0</v>
      </c>
      <c r="V152" s="5">
        <f t="shared" si="18"/>
        <v>0</v>
      </c>
    </row>
    <row r="153" spans="1:22">
      <c r="A153" s="36"/>
      <c r="J153" s="3">
        <f t="shared" si="17"/>
        <v>0</v>
      </c>
      <c r="K153" s="3">
        <f t="shared" si="17"/>
        <v>0</v>
      </c>
      <c r="L153" s="3">
        <f t="shared" si="17"/>
        <v>0</v>
      </c>
      <c r="M153" s="3">
        <f t="shared" si="17"/>
        <v>0</v>
      </c>
      <c r="P153" s="3" t="str">
        <f>IF([1]Patrimonio!C164="","",[1]Patrimonio!C164)</f>
        <v/>
      </c>
      <c r="Q153" s="3" t="str">
        <f t="shared" si="14"/>
        <v/>
      </c>
      <c r="R153" s="57" t="str">
        <f t="shared" si="15"/>
        <v/>
      </c>
      <c r="S153" s="5">
        <f t="shared" si="18"/>
        <v>0</v>
      </c>
      <c r="T153" s="5">
        <f t="shared" si="18"/>
        <v>0</v>
      </c>
      <c r="U153" s="5">
        <f t="shared" si="18"/>
        <v>0</v>
      </c>
      <c r="V153" s="5">
        <f t="shared" si="18"/>
        <v>0</v>
      </c>
    </row>
    <row r="154" spans="1:22">
      <c r="A154" s="36"/>
      <c r="J154" s="3">
        <f t="shared" si="17"/>
        <v>0</v>
      </c>
      <c r="K154" s="3">
        <f t="shared" si="17"/>
        <v>0</v>
      </c>
      <c r="L154" s="3">
        <f t="shared" si="17"/>
        <v>0</v>
      </c>
      <c r="M154" s="3">
        <f t="shared" si="17"/>
        <v>0</v>
      </c>
      <c r="P154" s="3" t="str">
        <f>IF([1]Patrimonio!C165="","",[1]Patrimonio!C165)</f>
        <v/>
      </c>
      <c r="Q154" s="3" t="str">
        <f t="shared" si="14"/>
        <v/>
      </c>
      <c r="R154" s="57" t="str">
        <f t="shared" si="15"/>
        <v/>
      </c>
      <c r="S154" s="5">
        <f t="shared" si="18"/>
        <v>0</v>
      </c>
      <c r="T154" s="5">
        <f t="shared" si="18"/>
        <v>0</v>
      </c>
      <c r="U154" s="5">
        <f t="shared" si="18"/>
        <v>0</v>
      </c>
      <c r="V154" s="5">
        <f t="shared" si="18"/>
        <v>0</v>
      </c>
    </row>
    <row r="155" spans="1:22">
      <c r="A155" s="36"/>
      <c r="J155" s="3">
        <f t="shared" si="17"/>
        <v>0</v>
      </c>
      <c r="K155" s="3">
        <f t="shared" si="17"/>
        <v>0</v>
      </c>
      <c r="L155" s="3">
        <f t="shared" si="17"/>
        <v>0</v>
      </c>
      <c r="M155" s="3">
        <f t="shared" si="17"/>
        <v>0</v>
      </c>
      <c r="P155" s="3" t="str">
        <f>IF([1]Patrimonio!C166="","",[1]Patrimonio!C166)</f>
        <v/>
      </c>
      <c r="Q155" s="3" t="str">
        <f t="shared" si="14"/>
        <v/>
      </c>
      <c r="R155" s="57" t="str">
        <f t="shared" si="15"/>
        <v/>
      </c>
      <c r="S155" s="5">
        <f t="shared" si="18"/>
        <v>0</v>
      </c>
      <c r="T155" s="5">
        <f t="shared" si="18"/>
        <v>0</v>
      </c>
      <c r="U155" s="5">
        <f t="shared" si="18"/>
        <v>0</v>
      </c>
      <c r="V155" s="5">
        <f t="shared" si="18"/>
        <v>0</v>
      </c>
    </row>
    <row r="156" spans="1:22">
      <c r="A156" s="36"/>
      <c r="J156" s="3">
        <f t="shared" si="17"/>
        <v>0</v>
      </c>
      <c r="K156" s="3">
        <f t="shared" si="17"/>
        <v>0</v>
      </c>
      <c r="L156" s="3">
        <f t="shared" si="17"/>
        <v>0</v>
      </c>
      <c r="M156" s="3">
        <f t="shared" si="17"/>
        <v>0</v>
      </c>
      <c r="P156" s="3" t="str">
        <f>IF([1]Patrimonio!C167="","",[1]Patrimonio!C167)</f>
        <v/>
      </c>
      <c r="Q156" s="3" t="str">
        <f t="shared" si="14"/>
        <v/>
      </c>
      <c r="R156" s="57" t="str">
        <f t="shared" si="15"/>
        <v/>
      </c>
      <c r="S156" s="5">
        <f t="shared" si="18"/>
        <v>0</v>
      </c>
      <c r="T156" s="5">
        <f t="shared" si="18"/>
        <v>0</v>
      </c>
      <c r="U156" s="5">
        <f t="shared" si="18"/>
        <v>0</v>
      </c>
      <c r="V156" s="5">
        <f t="shared" si="18"/>
        <v>0</v>
      </c>
    </row>
    <row r="157" spans="1:22">
      <c r="A157" s="36"/>
      <c r="J157" s="3">
        <f t="shared" si="17"/>
        <v>0</v>
      </c>
      <c r="K157" s="3">
        <f t="shared" si="17"/>
        <v>0</v>
      </c>
      <c r="L157" s="3">
        <f t="shared" si="17"/>
        <v>0</v>
      </c>
      <c r="M157" s="3">
        <f t="shared" si="17"/>
        <v>0</v>
      </c>
      <c r="P157" s="3" t="str">
        <f>IF([1]Patrimonio!C168="","",[1]Patrimonio!C168)</f>
        <v/>
      </c>
      <c r="Q157" s="3" t="str">
        <f t="shared" si="14"/>
        <v/>
      </c>
      <c r="R157" s="57" t="str">
        <f t="shared" si="15"/>
        <v/>
      </c>
      <c r="S157" s="5">
        <f t="shared" si="18"/>
        <v>0</v>
      </c>
      <c r="T157" s="5">
        <f t="shared" si="18"/>
        <v>0</v>
      </c>
      <c r="U157" s="5">
        <f t="shared" si="18"/>
        <v>0</v>
      </c>
      <c r="V157" s="5">
        <f t="shared" si="18"/>
        <v>0</v>
      </c>
    </row>
    <row r="158" spans="1:22">
      <c r="A158" s="36"/>
      <c r="J158" s="3">
        <f t="shared" si="17"/>
        <v>0</v>
      </c>
      <c r="K158" s="3">
        <f t="shared" si="17"/>
        <v>0</v>
      </c>
      <c r="L158" s="3">
        <f t="shared" si="17"/>
        <v>0</v>
      </c>
      <c r="M158" s="3">
        <f t="shared" si="17"/>
        <v>0</v>
      </c>
      <c r="P158" s="3" t="str">
        <f>IF([1]Patrimonio!C169="","",[1]Patrimonio!C169)</f>
        <v/>
      </c>
      <c r="Q158" s="3" t="str">
        <f t="shared" si="14"/>
        <v/>
      </c>
      <c r="R158" s="57" t="str">
        <f t="shared" si="15"/>
        <v/>
      </c>
      <c r="S158" s="5">
        <f t="shared" si="18"/>
        <v>0</v>
      </c>
      <c r="T158" s="5">
        <f t="shared" si="18"/>
        <v>0</v>
      </c>
      <c r="U158" s="5">
        <f t="shared" si="18"/>
        <v>0</v>
      </c>
      <c r="V158" s="5">
        <f t="shared" si="18"/>
        <v>0</v>
      </c>
    </row>
    <row r="159" spans="1:22">
      <c r="A159" s="36"/>
      <c r="J159" s="3">
        <f t="shared" si="17"/>
        <v>0</v>
      </c>
      <c r="K159" s="3">
        <f t="shared" si="17"/>
        <v>0</v>
      </c>
      <c r="L159" s="3">
        <f t="shared" si="17"/>
        <v>0</v>
      </c>
      <c r="M159" s="3">
        <f t="shared" si="17"/>
        <v>0</v>
      </c>
    </row>
    <row r="160" spans="1:22">
      <c r="A160" s="36"/>
      <c r="J160" s="3">
        <f t="shared" si="17"/>
        <v>0</v>
      </c>
      <c r="K160" s="3">
        <f t="shared" si="17"/>
        <v>0</v>
      </c>
      <c r="L160" s="3">
        <f t="shared" si="17"/>
        <v>0</v>
      </c>
      <c r="M160" s="3">
        <f t="shared" si="17"/>
        <v>0</v>
      </c>
    </row>
    <row r="161" spans="1:13">
      <c r="A161" s="36"/>
      <c r="J161" s="3">
        <f t="shared" si="17"/>
        <v>0</v>
      </c>
      <c r="K161" s="3">
        <f t="shared" si="17"/>
        <v>0</v>
      </c>
      <c r="L161" s="3">
        <f t="shared" si="17"/>
        <v>0</v>
      </c>
      <c r="M161" s="3">
        <f t="shared" si="17"/>
        <v>0</v>
      </c>
    </row>
    <row r="162" spans="1:13">
      <c r="A162" s="36"/>
      <c r="J162" s="3">
        <f t="shared" si="17"/>
        <v>0</v>
      </c>
      <c r="K162" s="3">
        <f t="shared" si="17"/>
        <v>0</v>
      </c>
      <c r="L162" s="3">
        <f t="shared" si="17"/>
        <v>0</v>
      </c>
      <c r="M162" s="3">
        <f t="shared" si="17"/>
        <v>0</v>
      </c>
    </row>
    <row r="163" spans="1:13">
      <c r="A163" s="36"/>
      <c r="J163" s="3">
        <f t="shared" si="17"/>
        <v>0</v>
      </c>
      <c r="K163" s="3">
        <f t="shared" si="17"/>
        <v>0</v>
      </c>
      <c r="L163" s="3">
        <f t="shared" si="17"/>
        <v>0</v>
      </c>
      <c r="M163" s="3">
        <f t="shared" si="17"/>
        <v>0</v>
      </c>
    </row>
    <row r="164" spans="1:13">
      <c r="A164" s="36"/>
      <c r="J164" s="3">
        <f t="shared" si="17"/>
        <v>0</v>
      </c>
      <c r="K164" s="3">
        <f t="shared" si="17"/>
        <v>0</v>
      </c>
      <c r="L164" s="3">
        <f t="shared" si="17"/>
        <v>0</v>
      </c>
      <c r="M164" s="3">
        <f t="shared" si="17"/>
        <v>0</v>
      </c>
    </row>
    <row r="165" spans="1:13">
      <c r="A165" s="36"/>
      <c r="J165" s="3">
        <f t="shared" si="17"/>
        <v>0</v>
      </c>
      <c r="K165" s="3">
        <f t="shared" si="17"/>
        <v>0</v>
      </c>
      <c r="L165" s="3">
        <f t="shared" si="17"/>
        <v>0</v>
      </c>
      <c r="M165" s="3">
        <f t="shared" si="17"/>
        <v>0</v>
      </c>
    </row>
    <row r="166" spans="1:13">
      <c r="A166" s="36"/>
      <c r="J166" s="3">
        <f t="shared" si="17"/>
        <v>0</v>
      </c>
      <c r="K166" s="3">
        <f t="shared" si="17"/>
        <v>0</v>
      </c>
      <c r="L166" s="3">
        <f t="shared" si="17"/>
        <v>0</v>
      </c>
      <c r="M166" s="3">
        <f t="shared" si="17"/>
        <v>0</v>
      </c>
    </row>
    <row r="167" spans="1:13">
      <c r="A167" s="36"/>
      <c r="J167" s="3">
        <f t="shared" si="17"/>
        <v>0</v>
      </c>
      <c r="K167" s="3">
        <f t="shared" si="17"/>
        <v>0</v>
      </c>
      <c r="L167" s="3">
        <f t="shared" si="17"/>
        <v>0</v>
      </c>
      <c r="M167" s="3">
        <f t="shared" si="17"/>
        <v>0</v>
      </c>
    </row>
    <row r="168" spans="1:13">
      <c r="A168" s="36"/>
      <c r="J168" s="3">
        <f t="shared" si="17"/>
        <v>0</v>
      </c>
      <c r="K168" s="3">
        <f t="shared" si="17"/>
        <v>0</v>
      </c>
      <c r="L168" s="3">
        <f t="shared" si="17"/>
        <v>0</v>
      </c>
      <c r="M168" s="3">
        <f t="shared" si="17"/>
        <v>0</v>
      </c>
    </row>
    <row r="169" spans="1:13">
      <c r="A169" s="36"/>
      <c r="J169" s="3">
        <f t="shared" si="17"/>
        <v>0</v>
      </c>
      <c r="K169" s="3">
        <f t="shared" si="17"/>
        <v>0</v>
      </c>
      <c r="L169" s="3">
        <f t="shared" si="17"/>
        <v>0</v>
      </c>
      <c r="M169" s="3">
        <f t="shared" si="17"/>
        <v>0</v>
      </c>
    </row>
    <row r="170" spans="1:13">
      <c r="A170" s="36"/>
      <c r="J170" s="3">
        <f t="shared" si="17"/>
        <v>0</v>
      </c>
      <c r="K170" s="3">
        <f t="shared" si="17"/>
        <v>0</v>
      </c>
      <c r="L170" s="3">
        <f t="shared" si="17"/>
        <v>0</v>
      </c>
      <c r="M170" s="3">
        <f t="shared" si="17"/>
        <v>0</v>
      </c>
    </row>
    <row r="171" spans="1:13">
      <c r="A171" s="36"/>
      <c r="J171" s="3">
        <f t="shared" si="17"/>
        <v>0</v>
      </c>
      <c r="K171" s="3">
        <f t="shared" si="17"/>
        <v>0</v>
      </c>
      <c r="L171" s="3">
        <f t="shared" si="17"/>
        <v>0</v>
      </c>
      <c r="M171" s="3">
        <f t="shared" si="17"/>
        <v>0</v>
      </c>
    </row>
    <row r="172" spans="1:13">
      <c r="A172" s="36"/>
      <c r="J172" s="3">
        <f t="shared" si="17"/>
        <v>0</v>
      </c>
      <c r="K172" s="3">
        <f t="shared" si="17"/>
        <v>0</v>
      </c>
      <c r="L172" s="3">
        <f t="shared" si="17"/>
        <v>0</v>
      </c>
      <c r="M172" s="3">
        <f t="shared" si="17"/>
        <v>0</v>
      </c>
    </row>
    <row r="173" spans="1:13">
      <c r="A173" s="36"/>
    </row>
    <row r="174" spans="1:13">
      <c r="A174" s="36"/>
    </row>
    <row r="175" spans="1:13">
      <c r="A175" s="36"/>
    </row>
    <row r="176" spans="1:13">
      <c r="A176" s="36"/>
    </row>
    <row r="177" spans="1:1">
      <c r="A177" s="36"/>
    </row>
    <row r="178" spans="1:1">
      <c r="A178" s="36"/>
    </row>
    <row r="179" spans="1:1">
      <c r="A179" s="36"/>
    </row>
    <row r="180" spans="1:1">
      <c r="A180" s="36"/>
    </row>
    <row r="181" spans="1:1">
      <c r="A181" s="36"/>
    </row>
    <row r="182" spans="1:1">
      <c r="A182" s="36"/>
    </row>
    <row r="183" spans="1:1">
      <c r="A183" s="36"/>
    </row>
    <row r="184" spans="1:1">
      <c r="A184" s="36"/>
    </row>
    <row r="185" spans="1:1">
      <c r="A185" s="36"/>
    </row>
    <row r="186" spans="1:1">
      <c r="A186" s="36"/>
    </row>
    <row r="187" spans="1:1">
      <c r="A187" s="36"/>
    </row>
    <row r="188" spans="1:1">
      <c r="A188" s="36"/>
    </row>
    <row r="189" spans="1:1">
      <c r="A189" s="36"/>
    </row>
    <row r="190" spans="1:1">
      <c r="A190" s="36"/>
    </row>
    <row r="191" spans="1:1">
      <c r="A191" s="36"/>
    </row>
    <row r="192" spans="1:1">
      <c r="A192" s="36"/>
    </row>
    <row r="193" spans="1:1">
      <c r="A193" s="36"/>
    </row>
    <row r="194" spans="1:1">
      <c r="A194" s="36"/>
    </row>
    <row r="195" spans="1:1">
      <c r="A195" s="36"/>
    </row>
    <row r="196" spans="1:1">
      <c r="A196" s="36"/>
    </row>
    <row r="197" spans="1:1">
      <c r="A197" s="36"/>
    </row>
    <row r="198" spans="1:1">
      <c r="A198" s="36"/>
    </row>
    <row r="199" spans="1:1">
      <c r="A199" s="36"/>
    </row>
    <row r="200" spans="1:1">
      <c r="A200" s="36"/>
    </row>
    <row r="201" spans="1:1">
      <c r="A201" s="36"/>
    </row>
    <row r="202" spans="1:1">
      <c r="A202" s="36"/>
    </row>
    <row r="203" spans="1:1">
      <c r="A203" s="36"/>
    </row>
    <row r="204" spans="1:1">
      <c r="A204" s="36"/>
    </row>
    <row r="205" spans="1:1">
      <c r="A205" s="36"/>
    </row>
    <row r="206" spans="1:1">
      <c r="A206" s="36"/>
    </row>
    <row r="207" spans="1:1">
      <c r="A207" s="36"/>
    </row>
    <row r="208" spans="1:1">
      <c r="A208" s="36"/>
    </row>
    <row r="209" spans="1:1">
      <c r="A209" s="36"/>
    </row>
    <row r="210" spans="1:1">
      <c r="A210" s="36"/>
    </row>
    <row r="211" spans="1:1">
      <c r="A211" s="36"/>
    </row>
    <row r="212" spans="1:1">
      <c r="A212" s="36"/>
    </row>
    <row r="213" spans="1:1">
      <c r="A213" s="36"/>
    </row>
    <row r="214" spans="1:1">
      <c r="A214" s="36"/>
    </row>
    <row r="215" spans="1:1">
      <c r="A215" s="36"/>
    </row>
    <row r="216" spans="1:1">
      <c r="A216" s="36"/>
    </row>
    <row r="217" spans="1:1">
      <c r="A217" s="36"/>
    </row>
    <row r="218" spans="1:1">
      <c r="A218" s="36"/>
    </row>
    <row r="219" spans="1:1">
      <c r="A219" s="36"/>
    </row>
    <row r="220" spans="1:1">
      <c r="A220" s="36"/>
    </row>
    <row r="221" spans="1:1">
      <c r="A221" s="36"/>
    </row>
    <row r="222" spans="1:1">
      <c r="A222" s="36"/>
    </row>
    <row r="223" spans="1:1">
      <c r="A223" s="36"/>
    </row>
    <row r="224" spans="1:1">
      <c r="A224" s="36"/>
    </row>
    <row r="225" spans="1:1">
      <c r="A225" s="36"/>
    </row>
    <row r="226" spans="1:1">
      <c r="A226" s="36"/>
    </row>
    <row r="227" spans="1:1">
      <c r="A227" s="36"/>
    </row>
    <row r="228" spans="1:1">
      <c r="A228" s="36"/>
    </row>
    <row r="229" spans="1:1">
      <c r="A229" s="36"/>
    </row>
    <row r="230" spans="1:1">
      <c r="A230" s="36"/>
    </row>
    <row r="231" spans="1:1">
      <c r="A231" s="36"/>
    </row>
    <row r="232" spans="1:1">
      <c r="A232" s="36"/>
    </row>
    <row r="233" spans="1:1">
      <c r="A233" s="36"/>
    </row>
    <row r="234" spans="1:1">
      <c r="A234" s="36"/>
    </row>
    <row r="235" spans="1:1">
      <c r="A235" s="36"/>
    </row>
    <row r="236" spans="1:1">
      <c r="A236" s="36"/>
    </row>
    <row r="237" spans="1:1">
      <c r="A237" s="36"/>
    </row>
    <row r="238" spans="1:1">
      <c r="A238" s="36"/>
    </row>
    <row r="239" spans="1:1">
      <c r="A239" s="36"/>
    </row>
    <row r="240" spans="1:1">
      <c r="A240" s="36"/>
    </row>
    <row r="241" spans="1:1">
      <c r="A241" s="36"/>
    </row>
    <row r="242" spans="1:1">
      <c r="A242" s="36"/>
    </row>
    <row r="243" spans="1:1">
      <c r="A243" s="36"/>
    </row>
    <row r="244" spans="1:1">
      <c r="A244" s="36"/>
    </row>
    <row r="245" spans="1:1">
      <c r="A245" s="36"/>
    </row>
    <row r="246" spans="1:1">
      <c r="A246" s="36"/>
    </row>
    <row r="247" spans="1:1">
      <c r="A247" s="36"/>
    </row>
    <row r="248" spans="1:1">
      <c r="A248" s="36"/>
    </row>
    <row r="249" spans="1:1">
      <c r="A249" s="36"/>
    </row>
    <row r="250" spans="1:1">
      <c r="A250" s="36"/>
    </row>
    <row r="251" spans="1:1">
      <c r="A251" s="36"/>
    </row>
    <row r="252" spans="1:1">
      <c r="A252" s="36"/>
    </row>
    <row r="253" spans="1:1">
      <c r="A253" s="36"/>
    </row>
    <row r="254" spans="1:1">
      <c r="A254" s="36"/>
    </row>
    <row r="255" spans="1:1">
      <c r="A255" s="36"/>
    </row>
    <row r="256" spans="1:1">
      <c r="A256" s="36"/>
    </row>
    <row r="257" spans="1:1">
      <c r="A257" s="36"/>
    </row>
    <row r="258" spans="1:1">
      <c r="A258" s="36"/>
    </row>
    <row r="259" spans="1:1">
      <c r="A259" s="36"/>
    </row>
    <row r="260" spans="1:1">
      <c r="A260" s="36"/>
    </row>
    <row r="261" spans="1:1">
      <c r="A261" s="36"/>
    </row>
    <row r="262" spans="1:1">
      <c r="A262" s="36"/>
    </row>
    <row r="263" spans="1:1">
      <c r="A263" s="36"/>
    </row>
    <row r="264" spans="1:1">
      <c r="A264" s="36"/>
    </row>
    <row r="265" spans="1:1">
      <c r="A265" s="36"/>
    </row>
    <row r="266" spans="1:1">
      <c r="A266" s="36"/>
    </row>
    <row r="267" spans="1:1">
      <c r="A267" s="36"/>
    </row>
    <row r="268" spans="1:1">
      <c r="A268" s="36"/>
    </row>
    <row r="269" spans="1:1">
      <c r="A269" s="36"/>
    </row>
    <row r="270" spans="1:1">
      <c r="A270" s="36"/>
    </row>
    <row r="271" spans="1:1">
      <c r="A271" s="36"/>
    </row>
    <row r="272" spans="1:1">
      <c r="A272" s="36"/>
    </row>
    <row r="273" spans="1:1">
      <c r="A273" s="36"/>
    </row>
    <row r="274" spans="1:1">
      <c r="A274" s="36"/>
    </row>
    <row r="275" spans="1:1">
      <c r="A275" s="36"/>
    </row>
    <row r="276" spans="1:1">
      <c r="A276" s="36"/>
    </row>
    <row r="277" spans="1:1">
      <c r="A277" s="36"/>
    </row>
    <row r="278" spans="1:1">
      <c r="A278" s="36"/>
    </row>
    <row r="279" spans="1:1">
      <c r="A279" s="36"/>
    </row>
    <row r="280" spans="1:1">
      <c r="A280" s="36"/>
    </row>
    <row r="281" spans="1:1">
      <c r="A281" s="36"/>
    </row>
    <row r="282" spans="1:1">
      <c r="A282" s="36"/>
    </row>
    <row r="283" spans="1:1">
      <c r="A283" s="36"/>
    </row>
    <row r="284" spans="1:1">
      <c r="A284" s="36"/>
    </row>
    <row r="285" spans="1:1">
      <c r="A285" s="36"/>
    </row>
    <row r="286" spans="1:1">
      <c r="A286" s="36"/>
    </row>
    <row r="287" spans="1:1">
      <c r="A287" s="36"/>
    </row>
    <row r="288" spans="1:1">
      <c r="A288" s="36"/>
    </row>
    <row r="289" spans="1:1">
      <c r="A289" s="36"/>
    </row>
    <row r="290" spans="1:1">
      <c r="A290" s="36"/>
    </row>
    <row r="291" spans="1:1">
      <c r="A291" s="36"/>
    </row>
    <row r="292" spans="1:1">
      <c r="A292" s="36"/>
    </row>
    <row r="293" spans="1:1">
      <c r="A293" s="36"/>
    </row>
    <row r="294" spans="1:1">
      <c r="A294" s="36"/>
    </row>
    <row r="295" spans="1:1">
      <c r="A295" s="36"/>
    </row>
    <row r="296" spans="1:1">
      <c r="A296" s="36"/>
    </row>
    <row r="297" spans="1:1">
      <c r="A297" s="36"/>
    </row>
    <row r="298" spans="1:1">
      <c r="A298" s="36"/>
    </row>
    <row r="299" spans="1:1">
      <c r="A299" s="36"/>
    </row>
    <row r="300" spans="1:1">
      <c r="A300" s="36"/>
    </row>
    <row r="301" spans="1:1">
      <c r="A301" s="36"/>
    </row>
    <row r="302" spans="1:1">
      <c r="A302" s="36"/>
    </row>
    <row r="303" spans="1:1">
      <c r="A303" s="36"/>
    </row>
    <row r="304" spans="1:1">
      <c r="A304" s="36"/>
    </row>
    <row r="305" spans="1:1">
      <c r="A305" s="36"/>
    </row>
    <row r="306" spans="1:1">
      <c r="A306" s="36"/>
    </row>
    <row r="307" spans="1:1">
      <c r="A307" s="36"/>
    </row>
    <row r="308" spans="1:1">
      <c r="A308" s="36"/>
    </row>
    <row r="309" spans="1:1">
      <c r="A309" s="36"/>
    </row>
    <row r="310" spans="1:1">
      <c r="A310" s="36"/>
    </row>
    <row r="311" spans="1:1">
      <c r="A311" s="36"/>
    </row>
    <row r="312" spans="1:1">
      <c r="A312" s="36"/>
    </row>
    <row r="313" spans="1:1">
      <c r="A313" s="36"/>
    </row>
    <row r="314" spans="1:1">
      <c r="A314" s="36"/>
    </row>
    <row r="315" spans="1:1">
      <c r="A315" s="36"/>
    </row>
    <row r="316" spans="1:1">
      <c r="A316" s="36"/>
    </row>
    <row r="317" spans="1:1">
      <c r="A317" s="36"/>
    </row>
    <row r="318" spans="1:1">
      <c r="A318" s="36"/>
    </row>
    <row r="319" spans="1:1">
      <c r="A319" s="36"/>
    </row>
    <row r="320" spans="1:1">
      <c r="A320" s="36"/>
    </row>
    <row r="321" spans="1:1">
      <c r="A321" s="36"/>
    </row>
    <row r="322" spans="1:1">
      <c r="A322" s="36"/>
    </row>
    <row r="323" spans="1:1">
      <c r="A323" s="36"/>
    </row>
    <row r="324" spans="1:1">
      <c r="A324" s="36"/>
    </row>
    <row r="325" spans="1:1">
      <c r="A325" s="36"/>
    </row>
    <row r="326" spans="1:1">
      <c r="A326" s="36"/>
    </row>
    <row r="327" spans="1:1">
      <c r="A327" s="36"/>
    </row>
    <row r="328" spans="1:1">
      <c r="A328" s="36"/>
    </row>
    <row r="329" spans="1:1">
      <c r="A329" s="36"/>
    </row>
    <row r="330" spans="1:1">
      <c r="A330" s="36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5"/>
  <dimension ref="A3:E167"/>
  <sheetViews>
    <sheetView topLeftCell="A100" workbookViewId="0">
      <selection activeCell="A111" sqref="A111"/>
    </sheetView>
  </sheetViews>
  <sheetFormatPr defaultRowHeight="15"/>
  <cols>
    <col min="1" max="1" width="17.85546875" bestFit="1" customWidth="1"/>
    <col min="2" max="2" width="16.42578125" bestFit="1" customWidth="1"/>
    <col min="3" max="3" width="13.42578125" bestFit="1" customWidth="1"/>
    <col min="4" max="4" width="13.28515625" bestFit="1" customWidth="1"/>
    <col min="5" max="5" width="7.5703125" customWidth="1"/>
    <col min="6" max="6" width="10.42578125" customWidth="1"/>
  </cols>
  <sheetData>
    <row r="3" spans="1:5">
      <c r="B3" s="1" t="s">
        <v>11</v>
      </c>
    </row>
    <row r="4" spans="1:5">
      <c r="A4" s="1" t="s">
        <v>459</v>
      </c>
      <c r="B4" t="s">
        <v>367</v>
      </c>
      <c r="C4" t="s">
        <v>365</v>
      </c>
      <c r="D4" t="s">
        <v>364</v>
      </c>
      <c r="E4" t="s">
        <v>366</v>
      </c>
    </row>
    <row r="5" spans="1:5">
      <c r="A5" s="2" t="s">
        <v>491</v>
      </c>
      <c r="B5" s="24">
        <v>6.2797499999999999</v>
      </c>
      <c r="C5" s="56">
        <v>0.72745804302911377</v>
      </c>
      <c r="D5" s="24">
        <v>88</v>
      </c>
      <c r="E5" s="56">
        <v>7.1360795454545448E-2</v>
      </c>
    </row>
    <row r="6" spans="1:5">
      <c r="A6" s="2" t="s">
        <v>1</v>
      </c>
      <c r="B6" s="24">
        <v>5.5609335842499998</v>
      </c>
      <c r="C6" s="56">
        <v>0.84225014371489515</v>
      </c>
      <c r="D6" s="24">
        <v>9.24</v>
      </c>
      <c r="E6" s="56">
        <v>0.60183263898809525</v>
      </c>
    </row>
    <row r="7" spans="1:5">
      <c r="A7" s="2" t="s">
        <v>188</v>
      </c>
      <c r="B7" s="24">
        <v>5.0553941675000003</v>
      </c>
      <c r="C7" s="56">
        <v>0.76568194912363652</v>
      </c>
      <c r="D7" s="24">
        <v>11</v>
      </c>
      <c r="E7" s="56">
        <v>0.45958128795454545</v>
      </c>
    </row>
    <row r="8" spans="1:5">
      <c r="A8" s="2" t="s">
        <v>358</v>
      </c>
      <c r="B8" s="24">
        <v>4.2807152464113338</v>
      </c>
      <c r="C8" s="56">
        <v>1.0637552383770628</v>
      </c>
      <c r="D8" s="24">
        <v>45.16</v>
      </c>
      <c r="E8" s="56">
        <v>9.478997445552112E-2</v>
      </c>
    </row>
    <row r="9" spans="1:5">
      <c r="A9" s="2" t="s">
        <v>372</v>
      </c>
      <c r="B9" s="24">
        <v>4.2426323562500006</v>
      </c>
      <c r="C9" s="56">
        <v>0.42680662187286622</v>
      </c>
      <c r="D9" s="24">
        <v>158.99</v>
      </c>
      <c r="E9" s="56">
        <v>2.668490066199132E-2</v>
      </c>
    </row>
    <row r="10" spans="1:5">
      <c r="A10" s="2" t="s">
        <v>231</v>
      </c>
      <c r="B10" s="24">
        <v>4.05448410175</v>
      </c>
      <c r="C10" s="56">
        <v>0.60740107618893502</v>
      </c>
      <c r="D10" s="24">
        <v>47.66</v>
      </c>
      <c r="E10" s="56">
        <v>8.5071005072387754E-2</v>
      </c>
    </row>
    <row r="11" spans="1:5">
      <c r="A11" s="2" t="s">
        <v>176</v>
      </c>
      <c r="B11" s="24">
        <v>3.9568386666666666</v>
      </c>
      <c r="C11" s="56">
        <v>0.70044394399833187</v>
      </c>
      <c r="D11" s="24">
        <v>26.91</v>
      </c>
      <c r="E11" s="56">
        <v>0.14703971262232132</v>
      </c>
    </row>
    <row r="12" spans="1:5">
      <c r="A12" s="2" t="s">
        <v>175</v>
      </c>
      <c r="B12" s="24">
        <v>3.9568386666666666</v>
      </c>
      <c r="C12" s="56">
        <v>0.70044394399833187</v>
      </c>
      <c r="D12" s="24">
        <v>44</v>
      </c>
      <c r="E12" s="56">
        <v>8.9928151515151503E-2</v>
      </c>
    </row>
    <row r="13" spans="1:5">
      <c r="A13" s="2" t="s">
        <v>357</v>
      </c>
      <c r="B13" s="24">
        <v>3.891550224010333</v>
      </c>
      <c r="C13" s="56">
        <v>0.96704817187555625</v>
      </c>
      <c r="D13" s="24">
        <v>40.200000000000003</v>
      </c>
      <c r="E13" s="56">
        <v>9.6804731940555541E-2</v>
      </c>
    </row>
    <row r="14" spans="1:5">
      <c r="A14" s="2" t="s">
        <v>230</v>
      </c>
      <c r="B14" s="24">
        <v>3.68562190425</v>
      </c>
      <c r="C14" s="56">
        <v>0.55210929465239156</v>
      </c>
      <c r="D14" s="24">
        <v>48.5</v>
      </c>
      <c r="E14" s="56">
        <v>7.5992204211340203E-2</v>
      </c>
    </row>
    <row r="15" spans="1:5">
      <c r="A15" s="2" t="s">
        <v>101</v>
      </c>
      <c r="B15" s="24">
        <v>3.522149125166667</v>
      </c>
      <c r="C15" s="56">
        <v>0.61566379005177641</v>
      </c>
      <c r="D15" s="24">
        <v>46</v>
      </c>
      <c r="E15" s="56">
        <v>7.6568459242753628E-2</v>
      </c>
    </row>
    <row r="16" spans="1:5">
      <c r="A16" s="2" t="s">
        <v>86</v>
      </c>
      <c r="B16" s="24">
        <v>3.522149125166667</v>
      </c>
      <c r="C16" s="56">
        <v>0.61566379005177641</v>
      </c>
      <c r="D16" s="24">
        <v>43.19</v>
      </c>
      <c r="E16" s="56">
        <v>8.1550107088832299E-2</v>
      </c>
    </row>
    <row r="17" spans="1:5">
      <c r="A17" s="2" t="s">
        <v>97</v>
      </c>
      <c r="B17" s="24">
        <v>3.4130306894500002</v>
      </c>
      <c r="C17" s="56">
        <v>0.76692732207874426</v>
      </c>
      <c r="D17" s="24">
        <v>32.01</v>
      </c>
      <c r="E17" s="56">
        <v>0.106623889079975</v>
      </c>
    </row>
    <row r="18" spans="1:5">
      <c r="A18" s="2" t="s">
        <v>96</v>
      </c>
      <c r="B18" s="24">
        <v>3.4130306894500002</v>
      </c>
      <c r="C18" s="56">
        <v>0.76692732207874426</v>
      </c>
      <c r="D18" s="24">
        <v>32</v>
      </c>
      <c r="E18" s="56">
        <v>0.10665720904531251</v>
      </c>
    </row>
    <row r="19" spans="1:5">
      <c r="A19" s="2" t="s">
        <v>38</v>
      </c>
      <c r="B19" s="24">
        <v>3.1120916689999998</v>
      </c>
      <c r="C19" s="56">
        <v>1.4411167513828902</v>
      </c>
      <c r="D19" s="24">
        <v>61.99</v>
      </c>
      <c r="E19" s="56">
        <v>5.0203124197451196E-2</v>
      </c>
    </row>
    <row r="20" spans="1:5">
      <c r="A20" s="2" t="s">
        <v>100</v>
      </c>
      <c r="B20" s="24">
        <v>3.0840112499999996</v>
      </c>
      <c r="C20" s="56">
        <v>0.81719301958088741</v>
      </c>
      <c r="D20" s="24">
        <v>21.51</v>
      </c>
      <c r="E20" s="56">
        <v>0.14337569735006972</v>
      </c>
    </row>
    <row r="21" spans="1:5">
      <c r="A21" s="2" t="s">
        <v>183</v>
      </c>
      <c r="B21" s="24">
        <v>2.93737958</v>
      </c>
      <c r="C21" s="56">
        <v>1.2793462988233146</v>
      </c>
      <c r="D21" s="24">
        <v>62.04</v>
      </c>
      <c r="E21" s="56">
        <v>4.7346543842682137E-2</v>
      </c>
    </row>
    <row r="22" spans="1:5">
      <c r="A22" s="2" t="s">
        <v>73</v>
      </c>
      <c r="B22" s="24">
        <v>2.8036235325000001</v>
      </c>
      <c r="C22" s="56">
        <v>0.74283278628036531</v>
      </c>
      <c r="D22" s="24">
        <v>18</v>
      </c>
      <c r="E22" s="56">
        <v>0.15575686291666668</v>
      </c>
    </row>
    <row r="23" spans="1:5">
      <c r="A23" s="2" t="s">
        <v>70</v>
      </c>
      <c r="B23" s="24">
        <v>2.48368460875</v>
      </c>
      <c r="C23" s="56">
        <v>0.83226612425770607</v>
      </c>
      <c r="D23" s="24">
        <v>9.25</v>
      </c>
      <c r="E23" s="56">
        <v>0.35800859225225229</v>
      </c>
    </row>
    <row r="24" spans="1:5">
      <c r="A24" s="2" t="s">
        <v>244</v>
      </c>
      <c r="B24" s="24">
        <v>2.4424743662752499</v>
      </c>
      <c r="C24" s="56">
        <v>0.55176083148968624</v>
      </c>
      <c r="D24" s="24">
        <v>25</v>
      </c>
      <c r="E24" s="56">
        <v>9.769897465100999E-2</v>
      </c>
    </row>
    <row r="25" spans="1:5">
      <c r="A25" s="2" t="s">
        <v>33</v>
      </c>
      <c r="B25" s="24">
        <v>2.4367890512500003</v>
      </c>
      <c r="C25" s="56">
        <v>1.1397628762293932</v>
      </c>
      <c r="D25" s="24">
        <v>19.28</v>
      </c>
      <c r="E25" s="56">
        <v>0.12638947361255187</v>
      </c>
    </row>
    <row r="26" spans="1:5">
      <c r="A26" s="2" t="s">
        <v>455</v>
      </c>
      <c r="B26" s="24">
        <v>2.3844473124999999</v>
      </c>
      <c r="C26" s="56">
        <v>0.29704620053272746</v>
      </c>
      <c r="D26" s="24">
        <v>56.6</v>
      </c>
      <c r="E26" s="56">
        <v>4.2128044390459363E-2</v>
      </c>
    </row>
    <row r="27" spans="1:5">
      <c r="A27" s="2" t="s">
        <v>107</v>
      </c>
      <c r="B27" s="24">
        <v>2.30125</v>
      </c>
      <c r="C27" s="56">
        <v>0.67976520829611575</v>
      </c>
      <c r="D27" s="24">
        <v>30</v>
      </c>
      <c r="E27" s="56">
        <v>7.6708333333333323E-2</v>
      </c>
    </row>
    <row r="28" spans="1:5">
      <c r="A28" s="2" t="s">
        <v>36</v>
      </c>
      <c r="B28" s="24">
        <v>2.2949999999999999</v>
      </c>
      <c r="C28" s="56">
        <v>1.0319469633494387</v>
      </c>
      <c r="D28" s="24">
        <v>25.52</v>
      </c>
      <c r="E28" s="56">
        <v>8.9929467084639503E-2</v>
      </c>
    </row>
    <row r="29" spans="1:5">
      <c r="A29" s="2" t="s">
        <v>303</v>
      </c>
      <c r="B29" s="24">
        <v>2.2866666666666666</v>
      </c>
      <c r="C29" s="56">
        <v>0.80406042099383901</v>
      </c>
      <c r="D29" s="24">
        <v>30.05</v>
      </c>
      <c r="E29" s="56">
        <v>7.6095396561286749E-2</v>
      </c>
    </row>
    <row r="30" spans="1:5">
      <c r="A30" s="2" t="s">
        <v>243</v>
      </c>
      <c r="B30" s="24">
        <v>2.2204312423449997</v>
      </c>
      <c r="C30" s="56">
        <v>0.50160075598307408</v>
      </c>
      <c r="D30" s="24">
        <v>28.74</v>
      </c>
      <c r="E30" s="56">
        <v>7.7259263825504521E-2</v>
      </c>
    </row>
    <row r="31" spans="1:5">
      <c r="A31" s="2" t="s">
        <v>29</v>
      </c>
      <c r="B31" s="24">
        <v>2.2152627737499997</v>
      </c>
      <c r="C31" s="56">
        <v>1.036148069258843</v>
      </c>
      <c r="D31" s="24">
        <v>17.77</v>
      </c>
      <c r="E31" s="56">
        <v>0.1246630711170512</v>
      </c>
    </row>
    <row r="32" spans="1:5">
      <c r="A32" s="2" t="s">
        <v>302</v>
      </c>
      <c r="B32" s="24">
        <v>2.0733333333333333</v>
      </c>
      <c r="C32" s="56">
        <v>0.72895763504872801</v>
      </c>
      <c r="D32" s="24">
        <v>30.01</v>
      </c>
      <c r="E32" s="56">
        <v>6.9088081750527594E-2</v>
      </c>
    </row>
    <row r="33" spans="1:5">
      <c r="A33" s="2" t="s">
        <v>72</v>
      </c>
      <c r="B33" s="24">
        <v>2.0418667500000001</v>
      </c>
      <c r="C33" s="56">
        <v>0.7246803815404973</v>
      </c>
      <c r="D33" s="24">
        <v>17.079999999999998</v>
      </c>
      <c r="E33" s="56">
        <v>0.23909446721311478</v>
      </c>
    </row>
    <row r="34" spans="1:5">
      <c r="A34" s="2" t="s">
        <v>727</v>
      </c>
      <c r="B34" s="24">
        <v>2.0202330000000002</v>
      </c>
      <c r="C34" s="56">
        <v>0.88025940606631048</v>
      </c>
      <c r="D34" s="24">
        <v>14.89</v>
      </c>
      <c r="E34" s="56">
        <v>0.13567716588314305</v>
      </c>
    </row>
    <row r="35" spans="1:5">
      <c r="A35" s="2" t="s">
        <v>32</v>
      </c>
      <c r="B35" s="24">
        <v>1.97007257325</v>
      </c>
      <c r="C35" s="56">
        <v>1.230827463809369</v>
      </c>
      <c r="D35" s="24">
        <v>18.16</v>
      </c>
      <c r="E35" s="56">
        <v>0.10848417253579296</v>
      </c>
    </row>
    <row r="36" spans="1:5">
      <c r="A36" s="2" t="s">
        <v>738</v>
      </c>
      <c r="B36" s="24">
        <v>1.9566666666666663</v>
      </c>
      <c r="C36" s="56">
        <v>0.77123947523638092</v>
      </c>
      <c r="D36" s="24">
        <v>67.040000000000006</v>
      </c>
      <c r="E36" s="56">
        <v>2.9186555290373905E-2</v>
      </c>
    </row>
    <row r="37" spans="1:5">
      <c r="A37" s="2" t="s">
        <v>199</v>
      </c>
      <c r="B37" s="24">
        <v>1.8588783672666667</v>
      </c>
      <c r="C37" s="56">
        <v>0.85565136305393408</v>
      </c>
      <c r="D37" s="24">
        <v>36.01</v>
      </c>
      <c r="E37" s="56">
        <v>5.1621170987688612E-2</v>
      </c>
    </row>
    <row r="38" spans="1:5">
      <c r="A38" s="2" t="s">
        <v>94</v>
      </c>
      <c r="B38" s="24">
        <v>1.8230299609333331</v>
      </c>
      <c r="C38" s="56">
        <v>5.3177960130440907</v>
      </c>
      <c r="D38" s="24">
        <v>23.25</v>
      </c>
      <c r="E38" s="56">
        <v>7.8409890792831546E-2</v>
      </c>
    </row>
    <row r="39" spans="1:5">
      <c r="A39" s="2" t="s">
        <v>479</v>
      </c>
      <c r="B39" s="24">
        <v>1.8195120478</v>
      </c>
      <c r="C39" s="56">
        <v>0.50530256504079152</v>
      </c>
      <c r="D39" s="24">
        <v>31.11</v>
      </c>
      <c r="E39" s="56">
        <v>5.848640462230794E-2</v>
      </c>
    </row>
    <row r="40" spans="1:5">
      <c r="A40" s="2" t="s">
        <v>28</v>
      </c>
      <c r="B40" s="24">
        <v>1.8019270000000001</v>
      </c>
      <c r="C40" s="56">
        <v>1.6072307401235155</v>
      </c>
      <c r="D40" s="24">
        <v>11.14</v>
      </c>
      <c r="E40" s="56">
        <v>0.16175287253141829</v>
      </c>
    </row>
    <row r="41" spans="1:5">
      <c r="A41" s="2" t="s">
        <v>353</v>
      </c>
      <c r="B41" s="24">
        <v>1.6633333333333333</v>
      </c>
      <c r="C41" s="56">
        <v>5.1889142659306664</v>
      </c>
      <c r="D41" s="24">
        <v>4.03</v>
      </c>
      <c r="E41" s="56">
        <v>0.61910669975186106</v>
      </c>
    </row>
    <row r="42" spans="1:5">
      <c r="A42" s="2" t="s">
        <v>352</v>
      </c>
      <c r="B42" s="24">
        <v>1.6633333333333333</v>
      </c>
      <c r="C42" s="56">
        <v>5.1889142659306664</v>
      </c>
      <c r="D42" s="24">
        <v>4.2</v>
      </c>
      <c r="E42" s="56">
        <v>0.59404761904761905</v>
      </c>
    </row>
    <row r="43" spans="1:5">
      <c r="A43" s="2" t="s">
        <v>27</v>
      </c>
      <c r="B43" s="24">
        <v>1.6525109946179999</v>
      </c>
      <c r="C43" s="56">
        <v>3.7191222820393564</v>
      </c>
      <c r="D43" s="24">
        <v>10.119999999999999</v>
      </c>
      <c r="E43" s="56">
        <v>0.16329160025869566</v>
      </c>
    </row>
    <row r="44" spans="1:5">
      <c r="A44" s="2" t="s">
        <v>30</v>
      </c>
      <c r="B44" s="24">
        <v>1.644651375</v>
      </c>
      <c r="C44" s="56">
        <v>0.65026428573600636</v>
      </c>
      <c r="D44" s="24">
        <v>14.01</v>
      </c>
      <c r="E44" s="56">
        <v>0.11739124732334047</v>
      </c>
    </row>
    <row r="45" spans="1:5">
      <c r="A45" s="2" t="s">
        <v>31</v>
      </c>
      <c r="B45" s="24">
        <v>1.644651375</v>
      </c>
      <c r="C45" s="56">
        <v>0.65026428573600636</v>
      </c>
      <c r="D45" s="24">
        <v>14.28</v>
      </c>
      <c r="E45" s="56">
        <v>0.11517166491596639</v>
      </c>
    </row>
    <row r="46" spans="1:5">
      <c r="A46" s="2" t="s">
        <v>56</v>
      </c>
      <c r="B46" s="24">
        <v>1.6266666666666667</v>
      </c>
      <c r="C46" s="56">
        <v>0.79479552403967901</v>
      </c>
      <c r="D46" s="24">
        <v>21.8</v>
      </c>
      <c r="E46" s="56">
        <v>7.4617737003058085E-2</v>
      </c>
    </row>
    <row r="47" spans="1:5">
      <c r="A47" s="2" t="s">
        <v>24</v>
      </c>
      <c r="B47" s="24">
        <v>1.6226054845</v>
      </c>
      <c r="C47" s="56">
        <v>0.40025891489587845</v>
      </c>
      <c r="D47" s="24">
        <v>23.99</v>
      </c>
      <c r="E47" s="56">
        <v>6.7636743830762819E-2</v>
      </c>
    </row>
    <row r="48" spans="1:5">
      <c r="A48" s="2" t="s">
        <v>203</v>
      </c>
      <c r="B48" s="24">
        <v>1.5341</v>
      </c>
      <c r="C48" s="56">
        <v>0.33954720063196125</v>
      </c>
      <c r="D48" s="24">
        <v>35.65</v>
      </c>
      <c r="E48" s="56">
        <v>4.3032258064516132E-2</v>
      </c>
    </row>
    <row r="49" spans="1:5">
      <c r="A49" s="2" t="s">
        <v>57</v>
      </c>
      <c r="B49" s="24">
        <v>1.5274999999999999</v>
      </c>
      <c r="C49" s="56">
        <v>3.6038092899769296</v>
      </c>
      <c r="D49" s="24">
        <v>18.46</v>
      </c>
      <c r="E49" s="56">
        <v>8.2746478873239437E-2</v>
      </c>
    </row>
    <row r="50" spans="1:5">
      <c r="A50" s="2" t="s">
        <v>74</v>
      </c>
      <c r="B50" s="24">
        <v>1.45517012</v>
      </c>
      <c r="C50" s="56">
        <v>0.29963156324701223</v>
      </c>
      <c r="D50" s="24">
        <v>16.98</v>
      </c>
      <c r="E50" s="56">
        <v>0.10712383097762072</v>
      </c>
    </row>
    <row r="51" spans="1:5">
      <c r="A51" s="2" t="s">
        <v>248</v>
      </c>
      <c r="B51" s="24">
        <v>1.4017908450000001</v>
      </c>
      <c r="C51" s="56">
        <v>0.28664546825986631</v>
      </c>
      <c r="D51" s="24">
        <v>29.99</v>
      </c>
      <c r="E51" s="56">
        <v>4.6741942147382462E-2</v>
      </c>
    </row>
    <row r="52" spans="1:5">
      <c r="A52" s="2" t="s">
        <v>98</v>
      </c>
      <c r="B52" s="24">
        <v>1.3360865</v>
      </c>
      <c r="C52" s="56">
        <v>0.47419139568365454</v>
      </c>
      <c r="D52" s="24">
        <v>16.510000000000002</v>
      </c>
      <c r="E52" s="56">
        <v>0.16185178679588128</v>
      </c>
    </row>
    <row r="53" spans="1:5">
      <c r="A53" s="2" t="s">
        <v>360</v>
      </c>
      <c r="B53" s="24">
        <v>1.3106371727500001</v>
      </c>
      <c r="C53" s="56">
        <v>0.37396520131393723</v>
      </c>
      <c r="D53" s="24">
        <v>23.58</v>
      </c>
      <c r="E53" s="56">
        <v>5.5582577300678546E-2</v>
      </c>
    </row>
    <row r="54" spans="1:5">
      <c r="A54" s="2" t="s">
        <v>359</v>
      </c>
      <c r="B54" s="24">
        <v>1.19148833725</v>
      </c>
      <c r="C54" s="56">
        <v>0.33996836443315553</v>
      </c>
      <c r="D54" s="24">
        <v>19.510000000000002</v>
      </c>
      <c r="E54" s="56">
        <v>6.107064773193234E-2</v>
      </c>
    </row>
    <row r="55" spans="1:5">
      <c r="A55" s="2" t="s">
        <v>75</v>
      </c>
      <c r="B55" s="24">
        <v>1.1870487333333333</v>
      </c>
      <c r="C55" s="56">
        <v>3.3879538155207976</v>
      </c>
      <c r="D55" s="24">
        <v>19.989999999999998</v>
      </c>
      <c r="E55" s="56">
        <v>5.938212773053194E-2</v>
      </c>
    </row>
    <row r="56" spans="1:5">
      <c r="A56" s="2" t="s">
        <v>378</v>
      </c>
      <c r="B56" s="24">
        <v>1.1713</v>
      </c>
      <c r="C56" s="56">
        <v>0.19103666588090965</v>
      </c>
      <c r="D56" s="24">
        <v>5.18</v>
      </c>
      <c r="E56" s="56">
        <v>0.22611969111969113</v>
      </c>
    </row>
    <row r="57" spans="1:5">
      <c r="A57" s="2" t="s">
        <v>108</v>
      </c>
      <c r="B57" s="24">
        <v>1.1699200000000001</v>
      </c>
      <c r="C57" s="56">
        <v>0.33582916423156933</v>
      </c>
      <c r="D57" s="24">
        <v>30.22</v>
      </c>
      <c r="E57" s="56">
        <v>3.8713434811383188E-2</v>
      </c>
    </row>
    <row r="58" spans="1:5">
      <c r="A58" s="2" t="s">
        <v>99</v>
      </c>
      <c r="B58" s="24">
        <v>1.1498299999999999</v>
      </c>
      <c r="C58" s="56">
        <v>0.76106388540309444</v>
      </c>
      <c r="D58" s="24">
        <v>25.02</v>
      </c>
      <c r="E58" s="56">
        <v>0.18382573940847322</v>
      </c>
    </row>
    <row r="59" spans="1:5">
      <c r="A59" s="2" t="s">
        <v>95</v>
      </c>
      <c r="B59" s="24">
        <v>1.0913750666666666</v>
      </c>
      <c r="C59" s="56">
        <v>3.0993823198719794</v>
      </c>
      <c r="D59" s="24">
        <v>22.42</v>
      </c>
      <c r="E59" s="56">
        <v>4.8678638120725537E-2</v>
      </c>
    </row>
    <row r="60" spans="1:5">
      <c r="A60" s="2" t="s">
        <v>58</v>
      </c>
      <c r="B60" s="24">
        <v>1.0648325905</v>
      </c>
      <c r="C60" s="56">
        <v>2.3414519788923673</v>
      </c>
      <c r="D60" s="24">
        <v>14.58</v>
      </c>
      <c r="E60" s="56">
        <v>7.3033785356652947E-2</v>
      </c>
    </row>
    <row r="61" spans="1:5">
      <c r="A61" s="2" t="s">
        <v>34</v>
      </c>
      <c r="B61" s="24">
        <v>1.06338</v>
      </c>
      <c r="C61" s="56">
        <v>0.30524903922734314</v>
      </c>
      <c r="D61" s="24">
        <v>22.16</v>
      </c>
      <c r="E61" s="56">
        <v>4.7986462093862814E-2</v>
      </c>
    </row>
    <row r="62" spans="1:5">
      <c r="A62" s="2" t="s">
        <v>226</v>
      </c>
      <c r="B62" s="24">
        <v>0.99430674249999995</v>
      </c>
      <c r="C62" s="56">
        <v>0.41507496875695749</v>
      </c>
      <c r="D62" s="24">
        <v>28.71</v>
      </c>
      <c r="E62" s="56">
        <v>3.4632767067223964E-2</v>
      </c>
    </row>
    <row r="63" spans="1:5">
      <c r="A63" s="2" t="s">
        <v>376</v>
      </c>
      <c r="B63" s="24">
        <v>0.98333333333333339</v>
      </c>
      <c r="C63" s="56">
        <v>0.60454237373323505</v>
      </c>
      <c r="D63" s="24">
        <v>53.47</v>
      </c>
      <c r="E63" s="56">
        <v>1.839037466492114E-2</v>
      </c>
    </row>
    <row r="64" spans="1:5">
      <c r="A64" s="2" t="s">
        <v>484</v>
      </c>
      <c r="B64" s="24">
        <v>0.97407975000000002</v>
      </c>
      <c r="C64" s="56">
        <v>0.90821522332465576</v>
      </c>
      <c r="D64" s="24">
        <v>18.75</v>
      </c>
      <c r="E64" s="56">
        <v>5.1950919999999998E-2</v>
      </c>
    </row>
    <row r="65" spans="1:5">
      <c r="A65" s="2" t="s">
        <v>21</v>
      </c>
      <c r="B65" s="24">
        <v>0.96500000000000008</v>
      </c>
      <c r="C65" s="56">
        <v>0.38236062761569822</v>
      </c>
      <c r="D65" s="24">
        <v>16.440000000000001</v>
      </c>
      <c r="E65" s="56">
        <v>5.8698296836982959E-2</v>
      </c>
    </row>
    <row r="66" spans="1:5">
      <c r="A66" s="2" t="s">
        <v>71</v>
      </c>
      <c r="B66" s="24">
        <v>0.95066520975000013</v>
      </c>
      <c r="C66" s="56">
        <v>0.65697940671349686</v>
      </c>
      <c r="D66" s="24">
        <v>9</v>
      </c>
      <c r="E66" s="56">
        <v>0.10562946775000001</v>
      </c>
    </row>
    <row r="67" spans="1:5">
      <c r="A67" s="2" t="s">
        <v>104</v>
      </c>
      <c r="B67" s="24">
        <v>0.95066520975000013</v>
      </c>
      <c r="C67" s="56">
        <v>0.65697940671349686</v>
      </c>
      <c r="D67" s="24">
        <v>10.119999999999999</v>
      </c>
      <c r="E67" s="56">
        <v>9.3939249975296457E-2</v>
      </c>
    </row>
    <row r="68" spans="1:5">
      <c r="A68" s="2" t="s">
        <v>85</v>
      </c>
      <c r="B68" s="24">
        <v>0.94446666666666668</v>
      </c>
      <c r="C68" s="56">
        <v>0.43273605067700688</v>
      </c>
      <c r="D68" s="24">
        <v>31.64</v>
      </c>
      <c r="E68" s="56">
        <v>2.9850400337126003E-2</v>
      </c>
    </row>
    <row r="69" spans="1:5">
      <c r="A69" s="2" t="s">
        <v>268</v>
      </c>
      <c r="B69" s="24">
        <v>0.94446666666666668</v>
      </c>
      <c r="C69" s="56">
        <v>0.43273605067700688</v>
      </c>
      <c r="D69" s="24">
        <v>29.23</v>
      </c>
      <c r="E69" s="56">
        <v>3.2311552058387503E-2</v>
      </c>
    </row>
    <row r="70" spans="1:5">
      <c r="A70" s="2" t="s">
        <v>368</v>
      </c>
      <c r="B70" s="24">
        <v>0.92388413999999985</v>
      </c>
      <c r="C70" s="56">
        <v>6.7345118256579717</v>
      </c>
      <c r="D70" s="24">
        <v>15.800000000000002</v>
      </c>
      <c r="E70" s="56">
        <v>5.8473679746835448E-2</v>
      </c>
    </row>
    <row r="71" spans="1:5">
      <c r="A71" s="2" t="s">
        <v>225</v>
      </c>
      <c r="B71" s="24">
        <v>0.90391535675000001</v>
      </c>
      <c r="C71" s="56">
        <v>0.37734094800257278</v>
      </c>
      <c r="D71" s="24">
        <v>31.1</v>
      </c>
      <c r="E71" s="56">
        <v>2.9064802467845659E-2</v>
      </c>
    </row>
    <row r="72" spans="1:5">
      <c r="A72" s="2" t="s">
        <v>2</v>
      </c>
      <c r="B72" s="24">
        <v>0.88496643744399994</v>
      </c>
      <c r="C72" s="56">
        <v>1.1348239525562784</v>
      </c>
      <c r="D72" s="24">
        <v>5.95</v>
      </c>
      <c r="E72" s="56">
        <v>0.14873385503260503</v>
      </c>
    </row>
    <row r="73" spans="1:5">
      <c r="A73" s="2" t="s">
        <v>103</v>
      </c>
      <c r="B73" s="24">
        <v>0.86424111299999984</v>
      </c>
      <c r="C73" s="56">
        <v>0.59725401518756449</v>
      </c>
      <c r="D73" s="24">
        <v>9.5</v>
      </c>
      <c r="E73" s="56">
        <v>9.0972748736842093E-2</v>
      </c>
    </row>
    <row r="74" spans="1:5">
      <c r="A74" s="2" t="s">
        <v>102</v>
      </c>
      <c r="B74" s="24">
        <v>0.85</v>
      </c>
      <c r="C74" s="56">
        <v>0.49000251641148956</v>
      </c>
      <c r="D74" s="24">
        <v>14.88</v>
      </c>
      <c r="E74" s="56">
        <v>5.7123655913978492E-2</v>
      </c>
    </row>
    <row r="75" spans="1:5">
      <c r="A75" s="2" t="s">
        <v>20</v>
      </c>
      <c r="B75" s="24">
        <v>0.84250000000000003</v>
      </c>
      <c r="C75" s="56">
        <v>0.30588500522710332</v>
      </c>
      <c r="D75" s="24">
        <v>15.51</v>
      </c>
      <c r="E75" s="56">
        <v>5.4319793681495809E-2</v>
      </c>
    </row>
    <row r="76" spans="1:5">
      <c r="A76" s="2" t="s">
        <v>494</v>
      </c>
      <c r="B76" s="24">
        <v>0.83333333333333337</v>
      </c>
      <c r="C76" s="56">
        <v>0.72124852747572954</v>
      </c>
      <c r="D76" s="24">
        <v>8.68</v>
      </c>
      <c r="E76" s="56">
        <v>9.6006144393241177E-2</v>
      </c>
    </row>
    <row r="77" spans="1:5">
      <c r="A77" s="2" t="s">
        <v>233</v>
      </c>
      <c r="B77" s="24">
        <v>0.82486649999999995</v>
      </c>
      <c r="C77" s="56">
        <v>0.39260782255861065</v>
      </c>
      <c r="D77" s="24">
        <v>15.72</v>
      </c>
      <c r="E77" s="56">
        <v>5.2472423664122136E-2</v>
      </c>
    </row>
    <row r="78" spans="1:5">
      <c r="A78" s="2" t="s">
        <v>23</v>
      </c>
      <c r="B78" s="24">
        <v>0.81929699999999994</v>
      </c>
      <c r="C78" s="56">
        <v>0.38941510854732531</v>
      </c>
      <c r="D78" s="24">
        <v>12.63</v>
      </c>
      <c r="E78" s="56">
        <v>6.4869121140142511E-2</v>
      </c>
    </row>
    <row r="79" spans="1:5">
      <c r="A79" s="2" t="s">
        <v>232</v>
      </c>
      <c r="B79" s="24">
        <v>0.81914299999999995</v>
      </c>
      <c r="C79" s="56">
        <v>0.38934546499886002</v>
      </c>
      <c r="D79" s="24">
        <v>12.58</v>
      </c>
      <c r="E79" s="56">
        <v>6.5114705882352936E-2</v>
      </c>
    </row>
    <row r="80" spans="1:5">
      <c r="A80" s="2" t="s">
        <v>35</v>
      </c>
      <c r="B80" s="24">
        <v>0.81</v>
      </c>
      <c r="C80" s="56">
        <v>0.90036243172799468</v>
      </c>
      <c r="D80" s="24">
        <v>21.92</v>
      </c>
      <c r="E80" s="56">
        <v>3.6952554744525544E-2</v>
      </c>
    </row>
    <row r="81" spans="1:5">
      <c r="A81" s="2" t="s">
        <v>185</v>
      </c>
      <c r="B81" s="24">
        <v>0.79288999999999987</v>
      </c>
      <c r="C81" s="56">
        <v>0.43168732302801038</v>
      </c>
      <c r="D81" s="24">
        <v>49.6</v>
      </c>
      <c r="E81" s="56">
        <v>1.5985685483870967E-2</v>
      </c>
    </row>
    <row r="82" spans="1:5">
      <c r="A82" s="2" t="s">
        <v>78</v>
      </c>
      <c r="B82" s="24">
        <v>0.78970099999999999</v>
      </c>
      <c r="C82" s="56">
        <v>0.66880124529726692</v>
      </c>
      <c r="D82" s="24">
        <v>10.18</v>
      </c>
      <c r="E82" s="56">
        <v>7.7573772102161098E-2</v>
      </c>
    </row>
    <row r="83" spans="1:5">
      <c r="A83" s="2" t="s">
        <v>87</v>
      </c>
      <c r="B83" s="24">
        <v>0.77666666666666673</v>
      </c>
      <c r="C83" s="56">
        <v>0.32355722757326899</v>
      </c>
      <c r="D83" s="24">
        <v>11.68</v>
      </c>
      <c r="E83" s="56">
        <v>6.6495433789954345E-2</v>
      </c>
    </row>
    <row r="84" spans="1:5">
      <c r="A84" s="2" t="s">
        <v>272</v>
      </c>
      <c r="B84" s="24">
        <v>0.75250000000000006</v>
      </c>
      <c r="C84" s="56">
        <v>0.43307716407622709</v>
      </c>
      <c r="D84" s="24">
        <v>29.01</v>
      </c>
      <c r="E84" s="56">
        <v>2.5939331265081009E-2</v>
      </c>
    </row>
    <row r="85" spans="1:5">
      <c r="A85" s="2" t="s">
        <v>689</v>
      </c>
      <c r="B85" s="24">
        <v>0.66933213925000001</v>
      </c>
      <c r="C85" s="56">
        <v>0.46005623926256656</v>
      </c>
      <c r="D85" s="24">
        <v>48.22</v>
      </c>
      <c r="E85" s="56">
        <v>1.3880799237868106E-2</v>
      </c>
    </row>
    <row r="86" spans="1:5">
      <c r="A86" s="2" t="s">
        <v>247</v>
      </c>
      <c r="B86" s="24">
        <v>0.66907336049999999</v>
      </c>
      <c r="C86" s="56">
        <v>0.14691424979139903</v>
      </c>
      <c r="D86" s="24">
        <v>29.02</v>
      </c>
      <c r="E86" s="56">
        <v>2.3055594779462441E-2</v>
      </c>
    </row>
    <row r="87" spans="1:5">
      <c r="A87" s="2" t="s">
        <v>720</v>
      </c>
      <c r="B87" s="24">
        <v>0.66477346933333337</v>
      </c>
      <c r="C87" s="56">
        <v>0.61772022954134342</v>
      </c>
      <c r="D87" s="24">
        <v>17.920000000000002</v>
      </c>
      <c r="E87" s="56">
        <v>3.7096733779761901E-2</v>
      </c>
    </row>
    <row r="88" spans="1:5">
      <c r="A88" s="2" t="s">
        <v>332</v>
      </c>
      <c r="B88" s="24">
        <v>0.61709946266666671</v>
      </c>
      <c r="C88" s="56">
        <v>0.27635601621607192</v>
      </c>
      <c r="D88" s="24">
        <v>37.49</v>
      </c>
      <c r="E88" s="56">
        <v>1.6460375104472302E-2</v>
      </c>
    </row>
    <row r="89" spans="1:5">
      <c r="A89" s="2" t="s">
        <v>15</v>
      </c>
      <c r="B89" s="24">
        <v>0.59754261800000008</v>
      </c>
      <c r="C89" s="56">
        <v>0.50462500883942174</v>
      </c>
      <c r="D89" s="24">
        <v>8</v>
      </c>
      <c r="E89" s="56">
        <v>7.469282725000001E-2</v>
      </c>
    </row>
    <row r="90" spans="1:5">
      <c r="A90" s="2" t="s">
        <v>696</v>
      </c>
      <c r="B90" s="24">
        <v>0.586581927</v>
      </c>
      <c r="C90" s="56">
        <v>0.36698912893465502</v>
      </c>
      <c r="D90" s="24">
        <v>36.78</v>
      </c>
      <c r="E90" s="56">
        <v>2.3922590823817293E-2</v>
      </c>
    </row>
    <row r="91" spans="1:5">
      <c r="A91" s="2" t="s">
        <v>22</v>
      </c>
      <c r="B91" s="24">
        <v>0.5675</v>
      </c>
      <c r="C91" s="56">
        <v>0.38903884611110762</v>
      </c>
      <c r="D91" s="24">
        <v>12.25</v>
      </c>
      <c r="E91" s="56">
        <v>4.6326530612244898E-2</v>
      </c>
    </row>
    <row r="92" spans="1:5">
      <c r="A92" s="2" t="s">
        <v>469</v>
      </c>
      <c r="B92" s="24">
        <v>0.52333333333333332</v>
      </c>
      <c r="C92" s="56">
        <v>1.3030076728553794</v>
      </c>
      <c r="D92" s="24">
        <v>7.7</v>
      </c>
      <c r="E92" s="56">
        <v>6.7965367965367965E-2</v>
      </c>
    </row>
    <row r="93" spans="1:5">
      <c r="A93" s="2" t="s">
        <v>79</v>
      </c>
      <c r="B93" s="24">
        <v>0.52320635333333332</v>
      </c>
      <c r="C93" s="56">
        <v>1.9284904159098553</v>
      </c>
      <c r="D93" s="24">
        <v>2.65</v>
      </c>
      <c r="E93" s="56">
        <v>0.19743635974842766</v>
      </c>
    </row>
    <row r="94" spans="1:5">
      <c r="A94" s="2" t="s">
        <v>10</v>
      </c>
      <c r="B94" s="24">
        <v>0.5174796593333334</v>
      </c>
      <c r="C94" s="56">
        <v>0.69029873873004899</v>
      </c>
      <c r="D94" s="24">
        <v>7.4000000000000012</v>
      </c>
      <c r="E94" s="56">
        <v>6.9929683693693692E-2</v>
      </c>
    </row>
    <row r="95" spans="1:5">
      <c r="A95" s="2" t="s">
        <v>237</v>
      </c>
      <c r="B95" s="24">
        <v>0.5174796593333334</v>
      </c>
      <c r="C95" s="56">
        <v>0.69029873873004899</v>
      </c>
      <c r="D95" s="24">
        <v>9.65</v>
      </c>
      <c r="E95" s="56">
        <v>5.3624835164075992E-2</v>
      </c>
    </row>
    <row r="96" spans="1:5">
      <c r="A96" s="2" t="s">
        <v>707</v>
      </c>
      <c r="B96" s="24">
        <v>0.51104666666666665</v>
      </c>
      <c r="C96" s="56">
        <v>0.3971899422750666</v>
      </c>
      <c r="D96" s="24">
        <v>8.5</v>
      </c>
      <c r="E96" s="56">
        <v>6.0123137254901961E-2</v>
      </c>
    </row>
    <row r="97" spans="1:5">
      <c r="A97" s="2" t="s">
        <v>733</v>
      </c>
      <c r="B97" s="24">
        <v>0.46757133333333334</v>
      </c>
      <c r="C97" s="56">
        <v>0.84727522063961358</v>
      </c>
      <c r="D97" s="24">
        <v>10.38</v>
      </c>
      <c r="E97" s="56">
        <v>4.5045407835581246E-2</v>
      </c>
    </row>
    <row r="98" spans="1:5">
      <c r="A98" s="2" t="s">
        <v>341</v>
      </c>
      <c r="B98" s="24">
        <v>0.44846664133333336</v>
      </c>
      <c r="C98" s="56">
        <v>0.37734950584130339</v>
      </c>
      <c r="D98" s="24">
        <v>47.25</v>
      </c>
      <c r="E98" s="56">
        <v>9.4913574885361566E-3</v>
      </c>
    </row>
    <row r="99" spans="1:5">
      <c r="A99" s="2" t="s">
        <v>81</v>
      </c>
      <c r="B99" s="24">
        <v>0.44583999999999996</v>
      </c>
      <c r="C99" s="56">
        <v>0.60787593639212112</v>
      </c>
      <c r="D99" s="24">
        <v>5.96</v>
      </c>
      <c r="E99" s="56">
        <v>7.4805369127516785E-2</v>
      </c>
    </row>
    <row r="100" spans="1:5">
      <c r="A100" s="2" t="s">
        <v>18</v>
      </c>
      <c r="B100" s="24">
        <v>0.41694999999999999</v>
      </c>
      <c r="C100" s="56">
        <v>1.3752569187945951</v>
      </c>
      <c r="D100" s="24">
        <v>9.2200000000000006</v>
      </c>
      <c r="E100" s="56">
        <v>6.0296456977584956E-2</v>
      </c>
    </row>
    <row r="101" spans="1:5">
      <c r="A101" s="2" t="s">
        <v>213</v>
      </c>
      <c r="B101" s="24">
        <v>0.40475249999999996</v>
      </c>
      <c r="C101" s="56">
        <v>1.3670338527475838</v>
      </c>
      <c r="D101" s="24">
        <v>5.7</v>
      </c>
      <c r="E101" s="56">
        <v>9.4678947368421043E-2</v>
      </c>
    </row>
    <row r="102" spans="1:5">
      <c r="A102" s="2" t="s">
        <v>706</v>
      </c>
      <c r="B102" s="24">
        <v>0.38443333333333335</v>
      </c>
      <c r="C102" s="56">
        <v>0.27169719418566168</v>
      </c>
      <c r="D102" s="24">
        <v>83.91</v>
      </c>
      <c r="E102" s="56">
        <v>4.5814960473523217E-3</v>
      </c>
    </row>
    <row r="103" spans="1:5">
      <c r="A103" s="2" t="s">
        <v>682</v>
      </c>
      <c r="B103" s="24">
        <v>0.36549999999999999</v>
      </c>
      <c r="C103" s="56">
        <v>0.43259017108800807</v>
      </c>
      <c r="D103" s="24">
        <v>21.71</v>
      </c>
      <c r="E103" s="56">
        <v>1.6835559649930908E-2</v>
      </c>
    </row>
    <row r="104" spans="1:5">
      <c r="A104" s="2" t="s">
        <v>222</v>
      </c>
      <c r="B104" s="24">
        <v>0.36027500000000001</v>
      </c>
      <c r="C104" s="56">
        <v>0.45013216229230024</v>
      </c>
      <c r="D104" s="24">
        <v>5.69</v>
      </c>
      <c r="E104" s="56">
        <v>6.3317223198594022E-2</v>
      </c>
    </row>
    <row r="105" spans="1:5">
      <c r="A105" s="2" t="s">
        <v>68</v>
      </c>
      <c r="B105" s="24">
        <v>0.34582848500000002</v>
      </c>
      <c r="C105" s="56">
        <v>0.74003580825491566</v>
      </c>
      <c r="D105" s="24">
        <v>5.95</v>
      </c>
      <c r="E105" s="56">
        <v>5.8122434453781513E-2</v>
      </c>
    </row>
    <row r="106" spans="1:5">
      <c r="A106" s="2" t="s">
        <v>80</v>
      </c>
      <c r="B106" s="24">
        <v>0.34202500000000002</v>
      </c>
      <c r="C106" s="56">
        <v>0.63014566270033845</v>
      </c>
      <c r="D106" s="24">
        <v>6.89</v>
      </c>
      <c r="E106" s="56">
        <v>4.9640783744557326E-2</v>
      </c>
    </row>
    <row r="107" spans="1:5">
      <c r="A107" s="2" t="s">
        <v>334</v>
      </c>
      <c r="B107" s="24">
        <v>0.31374225</v>
      </c>
      <c r="C107" s="56">
        <v>0.3337402763144719</v>
      </c>
      <c r="D107" s="24">
        <v>28.13</v>
      </c>
      <c r="E107" s="56">
        <v>1.115329719161038E-2</v>
      </c>
    </row>
    <row r="108" spans="1:5">
      <c r="A108" s="2" t="s">
        <v>695</v>
      </c>
      <c r="B108" s="24">
        <v>0.31</v>
      </c>
      <c r="C108" s="56">
        <v>0.11521495903029355</v>
      </c>
      <c r="D108" s="24">
        <v>17.98</v>
      </c>
      <c r="E108" s="56">
        <v>1.7241379310344827E-2</v>
      </c>
    </row>
    <row r="109" spans="1:5">
      <c r="A109" s="2" t="s">
        <v>16</v>
      </c>
      <c r="B109" s="24">
        <v>0.30764999999999998</v>
      </c>
      <c r="C109" s="56">
        <v>0.41787587719990676</v>
      </c>
      <c r="D109" s="24">
        <v>8.89</v>
      </c>
      <c r="E109" s="56">
        <v>3.4606299212598425E-2</v>
      </c>
    </row>
    <row r="110" spans="1:5">
      <c r="A110" s="2" t="s">
        <v>270</v>
      </c>
      <c r="B110" s="24">
        <v>0.30764999999999998</v>
      </c>
      <c r="C110" s="56">
        <v>0.41787587719990676</v>
      </c>
      <c r="D110" s="24">
        <v>12</v>
      </c>
      <c r="E110" s="56">
        <v>2.5637500000000001E-2</v>
      </c>
    </row>
    <row r="111" spans="1:5">
      <c r="A111" s="2" t="s">
        <v>737</v>
      </c>
      <c r="B111" s="24">
        <v>0.30445</v>
      </c>
      <c r="C111" s="56">
        <v>0.56851660076308341</v>
      </c>
      <c r="D111" s="24">
        <v>22.97</v>
      </c>
      <c r="E111" s="56">
        <v>1.3254244666956901E-2</v>
      </c>
    </row>
    <row r="112" spans="1:5">
      <c r="A112" s="2" t="s">
        <v>679</v>
      </c>
      <c r="B112" s="24">
        <v>0.29317174299999998</v>
      </c>
      <c r="C112" s="56">
        <v>0.47701052442027075</v>
      </c>
      <c r="D112" s="24">
        <v>21</v>
      </c>
      <c r="E112" s="56">
        <v>4.188167757142857E-2</v>
      </c>
    </row>
    <row r="113" spans="1:5">
      <c r="A113" s="2" t="s">
        <v>83</v>
      </c>
      <c r="B113" s="24">
        <v>0.286269987</v>
      </c>
      <c r="C113" s="56">
        <v>0.24741229164584114</v>
      </c>
      <c r="D113" s="24">
        <v>13.1</v>
      </c>
      <c r="E113" s="56">
        <v>2.185267076335878E-2</v>
      </c>
    </row>
    <row r="114" spans="1:5">
      <c r="A114" s="2" t="s">
        <v>92</v>
      </c>
      <c r="B114" s="24">
        <v>0.27324999999999999</v>
      </c>
      <c r="C114" s="56">
        <v>1.2629191615984803</v>
      </c>
      <c r="D114" s="24">
        <v>12.5</v>
      </c>
      <c r="E114" s="56">
        <v>2.1860000000000004E-2</v>
      </c>
    </row>
    <row r="115" spans="1:5">
      <c r="A115" s="2" t="s">
        <v>673</v>
      </c>
      <c r="B115" s="24">
        <v>0.26999999999999996</v>
      </c>
      <c r="C115" s="56">
        <v>0.11682654188083424</v>
      </c>
      <c r="D115" s="24">
        <v>17.93</v>
      </c>
      <c r="E115" s="56">
        <v>1.5058561070831011E-2</v>
      </c>
    </row>
    <row r="116" spans="1:5">
      <c r="A116" s="2" t="s">
        <v>255</v>
      </c>
      <c r="B116" s="24">
        <v>0.26026749999999998</v>
      </c>
      <c r="C116" s="56">
        <v>0.35489823087446021</v>
      </c>
      <c r="D116" s="24">
        <v>3.6</v>
      </c>
      <c r="E116" s="56">
        <v>7.2296527777777786E-2</v>
      </c>
    </row>
    <row r="117" spans="1:5">
      <c r="A117" s="2" t="s">
        <v>277</v>
      </c>
      <c r="B117" s="24">
        <v>0.26023951633333336</v>
      </c>
      <c r="C117" s="56">
        <v>0.22491646614074809</v>
      </c>
      <c r="D117" s="24">
        <v>19</v>
      </c>
      <c r="E117" s="56">
        <v>1.3696816649122806E-2</v>
      </c>
    </row>
    <row r="118" spans="1:5">
      <c r="A118" s="2" t="s">
        <v>666</v>
      </c>
      <c r="B118" s="24">
        <v>0.25836562705596022</v>
      </c>
      <c r="C118" s="56">
        <v>0.11310764362768161</v>
      </c>
      <c r="D118" s="24">
        <v>16.920000000000002</v>
      </c>
      <c r="E118" s="56">
        <v>1.5269836114418452E-2</v>
      </c>
    </row>
    <row r="119" spans="1:5">
      <c r="A119" s="2" t="s">
        <v>466</v>
      </c>
      <c r="B119" s="24">
        <v>0.25312466666666666</v>
      </c>
      <c r="C119" s="56">
        <v>0.2386150637582162</v>
      </c>
      <c r="D119" s="24">
        <v>6.78</v>
      </c>
      <c r="E119" s="56">
        <v>3.7334021632251718E-2</v>
      </c>
    </row>
    <row r="120" spans="1:5">
      <c r="A120" s="2" t="s">
        <v>25</v>
      </c>
      <c r="B120" s="24">
        <v>0.25</v>
      </c>
      <c r="C120" s="56">
        <v>0.25</v>
      </c>
      <c r="D120" s="24">
        <v>22.92</v>
      </c>
      <c r="E120" s="56">
        <v>1.0907504363001745E-2</v>
      </c>
    </row>
    <row r="121" spans="1:5">
      <c r="A121" s="2" t="s">
        <v>461</v>
      </c>
      <c r="B121" s="24">
        <v>0.23732011250000001</v>
      </c>
      <c r="C121" s="56">
        <v>0.3688272793184682</v>
      </c>
      <c r="D121" s="24">
        <v>12.46</v>
      </c>
      <c r="E121" s="56">
        <v>1.9046557985553773E-2</v>
      </c>
    </row>
    <row r="122" spans="1:5">
      <c r="A122" s="2" t="s">
        <v>715</v>
      </c>
      <c r="B122" s="24">
        <v>0.23067499999999999</v>
      </c>
      <c r="C122" s="56">
        <v>0.32895734501185681</v>
      </c>
      <c r="D122" s="24">
        <v>3.9</v>
      </c>
      <c r="E122" s="56">
        <v>5.9147435897435902E-2</v>
      </c>
    </row>
    <row r="123" spans="1:5">
      <c r="A123" s="2" t="s">
        <v>69</v>
      </c>
      <c r="B123" s="24">
        <v>0.22805</v>
      </c>
      <c r="C123" s="56">
        <v>0.46297228112835515</v>
      </c>
      <c r="D123" s="24">
        <v>6.81</v>
      </c>
      <c r="E123" s="56">
        <v>3.3487518355359763E-2</v>
      </c>
    </row>
    <row r="124" spans="1:5">
      <c r="A124" s="2" t="s">
        <v>257</v>
      </c>
      <c r="B124" s="24">
        <v>0.2231525</v>
      </c>
      <c r="C124" s="56">
        <v>0.3043021650591613</v>
      </c>
      <c r="D124" s="24">
        <v>3.82</v>
      </c>
      <c r="E124" s="56">
        <v>5.8416884816753931E-2</v>
      </c>
    </row>
    <row r="125" spans="1:5">
      <c r="A125" s="2" t="s">
        <v>349</v>
      </c>
      <c r="B125" s="24">
        <v>0.21000000000000002</v>
      </c>
      <c r="C125" s="56">
        <v>0.31662042253674527</v>
      </c>
      <c r="D125" s="24">
        <v>13.26</v>
      </c>
      <c r="E125" s="56">
        <v>1.5837104072398189E-2</v>
      </c>
    </row>
    <row r="126" spans="1:5">
      <c r="A126" s="2" t="s">
        <v>324</v>
      </c>
      <c r="B126" s="24">
        <v>0.208311785</v>
      </c>
      <c r="C126" s="56">
        <v>0.35050699967240423</v>
      </c>
      <c r="D126" s="24">
        <v>16.3</v>
      </c>
      <c r="E126" s="56">
        <v>5.1119456441717788E-2</v>
      </c>
    </row>
    <row r="127" spans="1:5">
      <c r="A127" s="2" t="s">
        <v>325</v>
      </c>
      <c r="B127" s="24">
        <v>0.208311785</v>
      </c>
      <c r="C127" s="56">
        <v>0.35050699967240423</v>
      </c>
      <c r="D127" s="24">
        <v>20.38</v>
      </c>
      <c r="E127" s="56">
        <v>4.0885531894013741E-2</v>
      </c>
    </row>
    <row r="128" spans="1:5">
      <c r="A128" s="2" t="s">
        <v>205</v>
      </c>
      <c r="B128" s="24">
        <v>0.20735000000000001</v>
      </c>
      <c r="C128" s="56">
        <v>0.42096174698699207</v>
      </c>
      <c r="D128" s="24">
        <v>8.19</v>
      </c>
      <c r="E128" s="56">
        <v>2.5317460317460318E-2</v>
      </c>
    </row>
    <row r="129" spans="1:5">
      <c r="A129" s="2" t="s">
        <v>387</v>
      </c>
      <c r="B129" s="24">
        <v>0.188233649</v>
      </c>
      <c r="C129" s="56">
        <v>1.6736510200308279</v>
      </c>
      <c r="D129" s="24">
        <v>6.81</v>
      </c>
      <c r="E129" s="56">
        <v>2.7640770778267255E-2</v>
      </c>
    </row>
    <row r="130" spans="1:5">
      <c r="A130" s="2" t="s">
        <v>254</v>
      </c>
      <c r="B130" s="24">
        <v>0.18603750000000002</v>
      </c>
      <c r="C130" s="56">
        <v>0.25370503766276303</v>
      </c>
      <c r="D130" s="24">
        <v>3.27</v>
      </c>
      <c r="E130" s="56">
        <v>5.6892201834862384E-2</v>
      </c>
    </row>
    <row r="131" spans="1:5">
      <c r="A131" s="2" t="s">
        <v>256</v>
      </c>
      <c r="B131" s="24">
        <v>0.18603750000000002</v>
      </c>
      <c r="C131" s="56">
        <v>0.25370503766276303</v>
      </c>
      <c r="D131" s="24">
        <v>3.8</v>
      </c>
      <c r="E131" s="56">
        <v>4.8957236842105262E-2</v>
      </c>
    </row>
    <row r="132" spans="1:5">
      <c r="A132" s="2" t="s">
        <v>652</v>
      </c>
      <c r="B132" s="24">
        <v>0.17528990324999999</v>
      </c>
      <c r="C132" s="56">
        <v>0.31390723596420989</v>
      </c>
      <c r="D132" s="24">
        <v>18.2</v>
      </c>
      <c r="E132" s="56">
        <v>9.6313133653846156E-3</v>
      </c>
    </row>
    <row r="133" spans="1:5">
      <c r="A133" s="2" t="s">
        <v>55</v>
      </c>
      <c r="B133" s="24">
        <v>0.17460000000000001</v>
      </c>
      <c r="C133" s="56">
        <v>0.43406605496565737</v>
      </c>
      <c r="D133" s="24">
        <v>11.87</v>
      </c>
      <c r="E133" s="56">
        <v>1.4709351305812975E-2</v>
      </c>
    </row>
    <row r="134" spans="1:5">
      <c r="A134" s="2" t="s">
        <v>714</v>
      </c>
      <c r="B134" s="24">
        <v>0.1731</v>
      </c>
      <c r="C134" s="56">
        <v>0.2407568567064774</v>
      </c>
      <c r="D134" s="24">
        <v>3.99</v>
      </c>
      <c r="E134" s="56">
        <v>4.3383458646616538E-2</v>
      </c>
    </row>
    <row r="135" spans="1:5">
      <c r="A135" s="2" t="s">
        <v>211</v>
      </c>
      <c r="B135" s="24">
        <v>0.15873333333333331</v>
      </c>
      <c r="C135" s="56">
        <v>0.39457960469026815</v>
      </c>
      <c r="D135" s="24">
        <v>11</v>
      </c>
      <c r="E135" s="56">
        <v>1.4430303030303029E-2</v>
      </c>
    </row>
    <row r="136" spans="1:5">
      <c r="A136" s="2" t="s">
        <v>326</v>
      </c>
      <c r="B136" s="24">
        <v>0.15049707600000001</v>
      </c>
      <c r="C136" s="56">
        <v>0.25322752895727813</v>
      </c>
      <c r="D136" s="24">
        <v>10.1</v>
      </c>
      <c r="E136" s="56">
        <v>5.9602802376237628E-2</v>
      </c>
    </row>
    <row r="137" spans="1:5">
      <c r="A137" s="2" t="s">
        <v>221</v>
      </c>
      <c r="B137" s="24">
        <v>0.13652500000000001</v>
      </c>
      <c r="C137" s="56">
        <v>0.16455420283136202</v>
      </c>
      <c r="D137" s="24">
        <v>6.61</v>
      </c>
      <c r="E137" s="56">
        <v>2.0654311649016641E-2</v>
      </c>
    </row>
    <row r="138" spans="1:5">
      <c r="A138" s="2" t="s">
        <v>318</v>
      </c>
      <c r="B138" s="24">
        <v>0.11705875</v>
      </c>
      <c r="C138" s="56">
        <v>0.23695478536753822</v>
      </c>
      <c r="D138" s="24">
        <v>10.91</v>
      </c>
      <c r="E138" s="56">
        <v>1.0729491292392302E-2</v>
      </c>
    </row>
    <row r="139" spans="1:5">
      <c r="A139" s="2" t="s">
        <v>317</v>
      </c>
      <c r="B139" s="24">
        <v>0.11655875</v>
      </c>
      <c r="C139" s="56">
        <v>0.27024411411752097</v>
      </c>
      <c r="D139" s="24">
        <v>10</v>
      </c>
      <c r="E139" s="56">
        <v>1.5541166666666668E-2</v>
      </c>
    </row>
    <row r="140" spans="1:5">
      <c r="A140" s="2" t="s">
        <v>67</v>
      </c>
      <c r="B140" s="24">
        <v>0.11424999999999999</v>
      </c>
      <c r="C140" s="56">
        <v>0.58097440486745289</v>
      </c>
      <c r="D140" s="24">
        <v>2.4</v>
      </c>
      <c r="E140" s="56">
        <v>4.760416666666667E-2</v>
      </c>
    </row>
    <row r="141" spans="1:5">
      <c r="A141" s="2" t="s">
        <v>192</v>
      </c>
      <c r="B141" s="24">
        <v>0.11424999999999999</v>
      </c>
      <c r="C141" s="56">
        <v>0.58097440486745289</v>
      </c>
      <c r="D141" s="24">
        <v>3.15</v>
      </c>
      <c r="E141" s="56">
        <v>3.6269841269841271E-2</v>
      </c>
    </row>
    <row r="142" spans="1:5">
      <c r="A142" s="2" t="s">
        <v>190</v>
      </c>
      <c r="B142" s="24">
        <v>9.0543612039999999E-2</v>
      </c>
      <c r="C142" s="56">
        <v>0.23175290878610291</v>
      </c>
      <c r="D142" s="24">
        <v>5.75</v>
      </c>
      <c r="E142" s="56">
        <v>3.936678784347826E-2</v>
      </c>
    </row>
    <row r="143" spans="1:5">
      <c r="A143" s="2" t="s">
        <v>208</v>
      </c>
      <c r="B143" s="24">
        <v>6.4696666666666666E-2</v>
      </c>
      <c r="C143" s="56">
        <v>0.63120967245066673</v>
      </c>
      <c r="D143" s="24">
        <v>3.24</v>
      </c>
      <c r="E143" s="56">
        <v>1.9968106995884766E-2</v>
      </c>
    </row>
    <row r="144" spans="1:5">
      <c r="A144" s="2" t="s">
        <v>337</v>
      </c>
      <c r="B144" s="24">
        <v>6.4000000000000001E-2</v>
      </c>
      <c r="C144" s="56">
        <v>0.22362663562799309</v>
      </c>
      <c r="D144" s="24">
        <v>15.09</v>
      </c>
      <c r="E144" s="56">
        <v>5.6549591340843827E-3</v>
      </c>
    </row>
    <row r="145" spans="1:5">
      <c r="A145" s="2" t="s">
        <v>207</v>
      </c>
      <c r="B145" s="24">
        <v>6.0693333333333328E-2</v>
      </c>
      <c r="C145" s="56">
        <v>0.5857126326415365</v>
      </c>
      <c r="D145" s="24">
        <v>3.2000000000000006</v>
      </c>
      <c r="E145" s="56">
        <v>1.8966666666666663E-2</v>
      </c>
    </row>
    <row r="146" spans="1:5">
      <c r="A146" s="2" t="s">
        <v>299</v>
      </c>
      <c r="B146" s="24">
        <v>6.0580666666666672E-2</v>
      </c>
      <c r="C146" s="56">
        <v>0.45238397622744686</v>
      </c>
      <c r="D146" s="24">
        <v>9.35</v>
      </c>
      <c r="E146" s="56">
        <v>6.4792156862745103E-3</v>
      </c>
    </row>
    <row r="147" spans="1:5">
      <c r="A147" s="2" t="s">
        <v>336</v>
      </c>
      <c r="B147" s="24">
        <v>5.8182499999999998E-2</v>
      </c>
      <c r="C147" s="56">
        <v>0.2032996796183045</v>
      </c>
      <c r="D147" s="24">
        <v>7.08</v>
      </c>
      <c r="E147" s="56">
        <v>1.0957156308851225E-2</v>
      </c>
    </row>
    <row r="148" spans="1:5">
      <c r="A148" s="2" t="s">
        <v>106</v>
      </c>
      <c r="B148" s="24">
        <v>0.05</v>
      </c>
      <c r="C148" s="56">
        <v>0.43917014853198871</v>
      </c>
      <c r="D148" s="24">
        <v>1.67</v>
      </c>
      <c r="E148" s="56">
        <v>5.9880239520958091E-2</v>
      </c>
    </row>
    <row r="149" spans="1:5">
      <c r="A149" s="2" t="s">
        <v>105</v>
      </c>
      <c r="B149" s="24">
        <v>0.05</v>
      </c>
      <c r="C149" s="56">
        <v>0.43917014853198871</v>
      </c>
      <c r="D149" s="24">
        <v>1.59</v>
      </c>
      <c r="E149" s="56">
        <v>6.2893081761006289E-2</v>
      </c>
    </row>
    <row r="150" spans="1:5">
      <c r="A150" s="2" t="s">
        <v>258</v>
      </c>
      <c r="B150" s="24">
        <v>3.7802500000000003E-2</v>
      </c>
      <c r="C150" s="56">
        <v>5.4484299057845742E-2</v>
      </c>
      <c r="D150" s="24">
        <v>4</v>
      </c>
      <c r="E150" s="56">
        <v>9.4506250000000007E-3</v>
      </c>
    </row>
    <row r="151" spans="1:5">
      <c r="A151" s="2" t="s">
        <v>82</v>
      </c>
      <c r="B151" s="24">
        <v>3.3100000000000004E-2</v>
      </c>
      <c r="C151" s="56">
        <v>0.27744555988769093</v>
      </c>
      <c r="D151" s="24">
        <v>2.44</v>
      </c>
      <c r="E151" s="56">
        <v>2.7131147540983606E-2</v>
      </c>
    </row>
    <row r="152" spans="1:5">
      <c r="A152" s="2" t="s">
        <v>253</v>
      </c>
      <c r="B152" s="24">
        <v>3.2697500000000004E-2</v>
      </c>
      <c r="C152" s="56">
        <v>4.7361278676921532E-2</v>
      </c>
      <c r="D152" s="24">
        <v>4.2</v>
      </c>
      <c r="E152" s="56">
        <v>7.7851190476190468E-3</v>
      </c>
    </row>
    <row r="153" spans="1:5">
      <c r="A153" s="2" t="s">
        <v>64</v>
      </c>
      <c r="B153" s="24">
        <v>3.0225333333333337E-2</v>
      </c>
      <c r="C153" s="56">
        <v>0.75262718633546799</v>
      </c>
      <c r="D153" s="24">
        <v>0.32</v>
      </c>
      <c r="E153" s="56">
        <v>9.4454166666666672E-2</v>
      </c>
    </row>
    <row r="154" spans="1:5">
      <c r="A154" s="2" t="s">
        <v>473</v>
      </c>
      <c r="B154" s="24">
        <v>2.9176796666666668E-2</v>
      </c>
      <c r="C154" s="56">
        <v>0.16275155588949558</v>
      </c>
      <c r="D154" s="24">
        <v>5.8499999999999988</v>
      </c>
      <c r="E154" s="56">
        <v>7.4812299145299143E-3</v>
      </c>
    </row>
    <row r="155" spans="1:5">
      <c r="A155" s="2" t="s">
        <v>60</v>
      </c>
      <c r="B155" s="24">
        <v>2.4738618169999997E-2</v>
      </c>
      <c r="C155" s="56">
        <v>0.36351567797691797</v>
      </c>
      <c r="D155" s="24">
        <v>0.49</v>
      </c>
      <c r="E155" s="56">
        <v>5.0486975857142853E-2</v>
      </c>
    </row>
    <row r="156" spans="1:5">
      <c r="A156" s="2" t="s">
        <v>61</v>
      </c>
      <c r="B156" s="24">
        <v>2.4738618169999997E-2</v>
      </c>
      <c r="C156" s="56">
        <v>0.36351567797691797</v>
      </c>
      <c r="D156" s="24">
        <v>0.46</v>
      </c>
      <c r="E156" s="56">
        <v>5.3779604717391301E-2</v>
      </c>
    </row>
    <row r="157" spans="1:5">
      <c r="A157" s="2" t="s">
        <v>344</v>
      </c>
      <c r="B157" s="24">
        <v>1.9335241333333333E-2</v>
      </c>
      <c r="C157" s="56">
        <v>0.23749999886663223</v>
      </c>
      <c r="D157" s="24">
        <v>8.3699999999999992</v>
      </c>
      <c r="E157" s="56">
        <v>6.9301940262843495E-3</v>
      </c>
    </row>
    <row r="158" spans="1:5">
      <c r="A158" s="2" t="s">
        <v>346</v>
      </c>
      <c r="B158" s="24">
        <v>1.6233333333333332E-2</v>
      </c>
      <c r="C158" s="56">
        <v>0.23785571475872622</v>
      </c>
      <c r="D158" s="24">
        <v>8.39</v>
      </c>
      <c r="E158" s="56">
        <v>5.8045292014302736E-3</v>
      </c>
    </row>
    <row r="159" spans="1:5">
      <c r="A159" s="2" t="s">
        <v>196</v>
      </c>
      <c r="B159" s="24">
        <v>1.210196285E-2</v>
      </c>
      <c r="C159" s="56">
        <v>0.8237247935120684</v>
      </c>
      <c r="D159" s="24">
        <v>0.15</v>
      </c>
      <c r="E159" s="56">
        <v>8.0679752333333341E-2</v>
      </c>
    </row>
    <row r="160" spans="1:5">
      <c r="A160" s="2" t="s">
        <v>63</v>
      </c>
      <c r="B160" s="24">
        <v>1.1270833333333334E-2</v>
      </c>
      <c r="C160" s="56">
        <v>0.49690562667042543</v>
      </c>
      <c r="D160" s="24">
        <v>0.26</v>
      </c>
      <c r="E160" s="56">
        <v>4.334935897435898E-2</v>
      </c>
    </row>
    <row r="161" spans="1:5">
      <c r="A161" s="2" t="s">
        <v>195</v>
      </c>
      <c r="B161" s="24">
        <v>1.0995352599999999E-2</v>
      </c>
      <c r="C161" s="56">
        <v>0.74850005072085457</v>
      </c>
      <c r="D161" s="24">
        <v>0.14000000000000001</v>
      </c>
      <c r="E161" s="56">
        <v>7.8538232857142842E-2</v>
      </c>
    </row>
    <row r="162" spans="1:5">
      <c r="A162" s="2" t="s">
        <v>217</v>
      </c>
      <c r="B162" s="24">
        <v>1.0652499999999999E-2</v>
      </c>
      <c r="C162" s="56">
        <v>2.9204663914363771E-2</v>
      </c>
      <c r="D162" s="24">
        <v>2.83</v>
      </c>
      <c r="E162" s="56">
        <v>5.0188457008244992E-3</v>
      </c>
    </row>
    <row r="163" spans="1:5">
      <c r="A163" s="2" t="s">
        <v>216</v>
      </c>
      <c r="B163" s="24">
        <v>9.6800000000000011E-3</v>
      </c>
      <c r="C163" s="56">
        <v>2.6538214988206538E-2</v>
      </c>
      <c r="D163" s="24">
        <v>3.08</v>
      </c>
      <c r="E163" s="56">
        <v>4.1904761904761906E-3</v>
      </c>
    </row>
    <row r="164" spans="1:5">
      <c r="A164" s="2" t="s">
        <v>241</v>
      </c>
      <c r="B164" s="24">
        <v>7.3033333333333327E-3</v>
      </c>
      <c r="C164" s="56">
        <v>0.29293027940656419</v>
      </c>
      <c r="D164" s="24">
        <v>1.1000000000000001</v>
      </c>
      <c r="E164" s="56">
        <v>6.639393939393938E-3</v>
      </c>
    </row>
    <row r="165" spans="1:5">
      <c r="A165" s="2" t="s">
        <v>201</v>
      </c>
      <c r="B165" s="24">
        <v>5.56801E-3</v>
      </c>
      <c r="C165" s="56">
        <v>0.26641697668818037</v>
      </c>
      <c r="D165" s="24">
        <v>4.12</v>
      </c>
      <c r="E165" s="56">
        <v>1.8019449838187701E-3</v>
      </c>
    </row>
    <row r="166" spans="1:5">
      <c r="A166" s="2" t="s">
        <v>39</v>
      </c>
      <c r="B166" s="24">
        <v>3.2266666666666663E-3</v>
      </c>
      <c r="C166" s="56">
        <v>0.20588880617740807</v>
      </c>
      <c r="D166" s="24">
        <v>0.51</v>
      </c>
      <c r="E166" s="56">
        <v>1.8980392156862744E-2</v>
      </c>
    </row>
    <row r="167" spans="1:5">
      <c r="A167" s="2" t="s">
        <v>460</v>
      </c>
      <c r="B167" s="24">
        <v>1.1202239072517159</v>
      </c>
      <c r="C167" s="56">
        <v>0.74895167124257422</v>
      </c>
      <c r="D167" s="24">
        <v>19.224031141868505</v>
      </c>
      <c r="E167" s="56">
        <v>7.2570781527173223E-2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6"/>
  <dimension ref="A1:N579"/>
  <sheetViews>
    <sheetView topLeftCell="A178" workbookViewId="0">
      <selection activeCell="F190" sqref="F190:F192"/>
    </sheetView>
  </sheetViews>
  <sheetFormatPr defaultRowHeight="11.25"/>
  <cols>
    <col min="1" max="1" width="6.7109375" style="3" bestFit="1" customWidth="1"/>
    <col min="2" max="2" width="9.140625" style="3"/>
    <col min="3" max="3" width="16.85546875" style="5" bestFit="1" customWidth="1"/>
    <col min="4" max="4" width="12.5703125" style="3" bestFit="1" customWidth="1"/>
    <col min="5" max="6" width="15.7109375" style="3" bestFit="1" customWidth="1"/>
    <col min="7" max="7" width="7.85546875" style="5" bestFit="1" customWidth="1"/>
    <col min="8" max="8" width="9.140625" style="18"/>
    <col min="9" max="9" width="9.140625" style="3" customWidth="1"/>
    <col min="10" max="10" width="18.85546875" style="3" hidden="1" customWidth="1"/>
    <col min="11" max="11" width="9.7109375" style="3" hidden="1" customWidth="1"/>
    <col min="12" max="12" width="12.5703125" style="3" hidden="1" customWidth="1"/>
    <col min="13" max="13" width="14" style="3" bestFit="1" customWidth="1"/>
    <col min="14" max="14" width="14.85546875" style="3" bestFit="1" customWidth="1"/>
    <col min="15" max="16384" width="9.140625" style="3"/>
  </cols>
  <sheetData>
    <row r="1" spans="1:13">
      <c r="A1" s="3" t="s">
        <v>0</v>
      </c>
      <c r="B1" s="3" t="s">
        <v>88</v>
      </c>
      <c r="C1" s="5" t="s">
        <v>53</v>
      </c>
      <c r="D1" s="62" t="s">
        <v>4</v>
      </c>
      <c r="E1" s="63" t="s">
        <v>90</v>
      </c>
      <c r="F1" s="63" t="s">
        <v>91</v>
      </c>
      <c r="G1" s="18" t="s">
        <v>76</v>
      </c>
      <c r="H1" s="5" t="s">
        <v>6</v>
      </c>
      <c r="I1" s="18" t="s">
        <v>93</v>
      </c>
      <c r="J1" s="18" t="s">
        <v>295</v>
      </c>
      <c r="K1" s="18" t="s">
        <v>296</v>
      </c>
    </row>
    <row r="2" spans="1:13">
      <c r="A2" s="4" t="s">
        <v>22</v>
      </c>
      <c r="B2" s="4">
        <v>2012</v>
      </c>
      <c r="C2" s="6">
        <v>226618835.09</v>
      </c>
      <c r="D2" s="8">
        <f>SUMPRODUCT(N(Tabela3[PAPEL]=Tabela2[[#This Row],[Ativo]]),Tabela3[Total Ações])</f>
        <v>147232649</v>
      </c>
      <c r="E2" s="66">
        <f>(Tabela2[[#This Row],[Lucro Líquido]])/Tabela2[[#This Row],[Total Ações]]</f>
        <v>1.5391887372073296</v>
      </c>
      <c r="F2" s="66">
        <v>0.62</v>
      </c>
      <c r="G2" s="46">
        <f>IF(AND(Tabela2[[#This Row],[Dividendo / Ação]]&gt;0,Tabela2[[#This Row],[Lucro por ação]]&gt;0),Tabela2[[#This Row],[Dividendo / Ação]]/Tabela2[[#This Row],[Lucro por ação]],"")</f>
        <v>0.40280960028652135</v>
      </c>
      <c r="H2" s="6">
        <f>MAX(Tabela2[[#This Row],[Cotação 1]],Tabela2[[#This Row],[Cotação 2]])</f>
        <v>12.26</v>
      </c>
      <c r="I2" s="19">
        <f>IF(Tabela2[[#This Row],[Dividendo / Ação]]&gt;0,Tabela2[[#This Row],[Dividendo / Ação]]/Tabela2[[#This Row],[Cotação]],"")</f>
        <v>5.0570962479608482E-2</v>
      </c>
      <c r="J2" s="6">
        <f>SUMPRODUCT(N(Tabela1[Código]=Tabela2[[#This Row],[Ativo]]),Tabela1[Fechamento])</f>
        <v>12.26</v>
      </c>
      <c r="K2" s="6">
        <f>SUMPRODUCT(N(Tabela17[Código]=Tabela2[[#This Row],[Ativo]]),Tabela17[Fechamento])</f>
        <v>0</v>
      </c>
    </row>
    <row r="3" spans="1:13">
      <c r="A3" s="4" t="s">
        <v>22</v>
      </c>
      <c r="B3" s="4">
        <v>2011</v>
      </c>
      <c r="C3" s="6">
        <v>259319392</v>
      </c>
      <c r="D3" s="8">
        <f>SUMPRODUCT(N(Tabela3[PAPEL]=Tabela2[[#This Row],[Ativo]]),Tabela3[Total Ações])</f>
        <v>147232649</v>
      </c>
      <c r="E3" s="66">
        <f>(Tabela2[[#This Row],[Lucro Líquido]])/Tabela2[[#This Row],[Total Ações]]</f>
        <v>1.7612899975738399</v>
      </c>
      <c r="F3" s="66">
        <v>0.6</v>
      </c>
      <c r="G3" s="46">
        <f>IF(AND(Tabela2[[#This Row],[Dividendo / Ação]]&gt;0,Tabela2[[#This Row],[Lucro por ação]]&gt;0),Tabela2[[#This Row],[Dividendo / Ação]]/Tabela2[[#This Row],[Lucro por ação]],"")</f>
        <v>0.34065940352042778</v>
      </c>
      <c r="H3" s="6">
        <f>MAX(Tabela2[[#This Row],[Cotação 1]],Tabela2[[#This Row],[Cotação 2]])</f>
        <v>12.26</v>
      </c>
      <c r="I3" s="19">
        <f>IF(Tabela2[[#This Row],[Dividendo / Ação]]&gt;0,Tabela2[[#This Row],[Dividendo / Ação]]/Tabela2[[#This Row],[Cotação]],"")</f>
        <v>4.8939641109298528E-2</v>
      </c>
      <c r="J3" s="61">
        <f>SUMPRODUCT(N(Tabela1[Código]=Tabela2[[#This Row],[Ativo]]),Tabela1[Fechamento])</f>
        <v>12.26</v>
      </c>
      <c r="K3" s="61">
        <f>SUMPRODUCT(N(Tabela17[Código]=Tabela2[[#This Row],[Ativo]]),Tabela17[Fechamento])</f>
        <v>0</v>
      </c>
    </row>
    <row r="4" spans="1:13">
      <c r="A4" s="4" t="s">
        <v>22</v>
      </c>
      <c r="B4" s="4">
        <v>2010</v>
      </c>
      <c r="C4" s="6">
        <v>221437904</v>
      </c>
      <c r="D4" s="8">
        <f>SUMPRODUCT(N(Tabela3[PAPEL]=Tabela2[[#This Row],[Ativo]]),Tabela3[Total Ações])</f>
        <v>147232649</v>
      </c>
      <c r="E4" s="66">
        <f>(Tabela2[[#This Row],[Lucro Líquido]])/Tabela2[[#This Row],[Total Ações]]</f>
        <v>1.5039999993479707</v>
      </c>
      <c r="F4" s="66">
        <v>0.54</v>
      </c>
      <c r="G4" s="46">
        <f>IF(AND(Tabela2[[#This Row],[Dividendo / Ação]]&gt;0,Tabela2[[#This Row],[Lucro por ação]]&gt;0),Tabela2[[#This Row],[Dividendo / Ação]]/Tabela2[[#This Row],[Lucro por ação]],"")</f>
        <v>0.35904255334714513</v>
      </c>
      <c r="H4" s="6">
        <f>MAX(Tabela2[[#This Row],[Cotação 1]],Tabela2[[#This Row],[Cotação 2]])</f>
        <v>12.26</v>
      </c>
      <c r="I4" s="19">
        <f>IF(Tabela2[[#This Row],[Dividendo / Ação]]&gt;0,Tabela2[[#This Row],[Dividendo / Ação]]/Tabela2[[#This Row],[Cotação]],"")</f>
        <v>4.4045676998368685E-2</v>
      </c>
      <c r="J4" s="61">
        <f>SUMPRODUCT(N(Tabela1[Código]=Tabela2[[#This Row],[Ativo]]),Tabela1[Fechamento])</f>
        <v>12.26</v>
      </c>
      <c r="K4" s="61">
        <f>SUMPRODUCT(N(Tabela17[Código]=Tabela2[[#This Row],[Ativo]]),Tabela17[Fechamento])</f>
        <v>0</v>
      </c>
    </row>
    <row r="5" spans="1:13">
      <c r="A5" s="4" t="s">
        <v>22</v>
      </c>
      <c r="B5" s="4">
        <v>2009</v>
      </c>
      <c r="C5" s="6">
        <v>165523361</v>
      </c>
      <c r="D5" s="8">
        <f>SUMPRODUCT(N(Tabela3[PAPEL]=Tabela2[[#This Row],[Ativo]]),Tabela3[Total Ações])</f>
        <v>147232649</v>
      </c>
      <c r="E5" s="66">
        <f>(Tabela2[[#This Row],[Lucro Líquido]])/Tabela2[[#This Row],[Total Ações]]</f>
        <v>1.1242300001000458</v>
      </c>
      <c r="F5" s="66">
        <v>0.51</v>
      </c>
      <c r="G5" s="46">
        <f>IF(AND(Tabela2[[#This Row],[Dividendo / Ação]]&gt;0,Tabela2[[#This Row],[Lucro por ação]]&gt;0),Tabela2[[#This Row],[Dividendo / Ação]]/Tabela2[[#This Row],[Lucro por ação]],"")</f>
        <v>0.45364382729033637</v>
      </c>
      <c r="H5" s="6">
        <f>MAX(Tabela2[[#This Row],[Cotação 1]],Tabela2[[#This Row],[Cotação 2]])</f>
        <v>12.26</v>
      </c>
      <c r="I5" s="19">
        <f>IF(Tabela2[[#This Row],[Dividendo / Ação]]&gt;0,Tabela2[[#This Row],[Dividendo / Ação]]/Tabela2[[#This Row],[Cotação]],"")</f>
        <v>4.1598694942903754E-2</v>
      </c>
      <c r="J5" s="61">
        <f>SUMPRODUCT(N(Tabela1[Código]=Tabela2[[#This Row],[Ativo]]),Tabela1[Fechamento])</f>
        <v>12.26</v>
      </c>
      <c r="K5" s="61">
        <f>SUMPRODUCT(N(Tabela17[Código]=Tabela2[[#This Row],[Ativo]]),Tabela17[Fechamento])</f>
        <v>0</v>
      </c>
      <c r="M5" s="3">
        <v>0</v>
      </c>
    </row>
    <row r="6" spans="1:13">
      <c r="A6" s="4" t="s">
        <v>70</v>
      </c>
      <c r="B6" s="4">
        <v>2012</v>
      </c>
      <c r="C6" s="6">
        <v>-30675397.18</v>
      </c>
      <c r="D6" s="8">
        <f>SUMPRODUCT(N(Tabela3[PAPEL]=Tabela2[[#This Row],[Ativo]]),Tabela3[Total Ações])</f>
        <v>95061053</v>
      </c>
      <c r="E6" s="66">
        <f>(Tabela2[[#This Row],[Lucro Líquido]])/Tabela2[[#This Row],[Total Ações]]</f>
        <v>-0.32269153572283699</v>
      </c>
      <c r="F6" s="66">
        <v>0</v>
      </c>
      <c r="G6" s="46" t="str">
        <f>IF(AND(Tabela2[[#This Row],[Dividendo / Ação]]&gt;0,Tabela2[[#This Row],[Lucro por ação]]&gt;0),Tabela2[[#This Row],[Dividendo / Ação]]/Tabela2[[#This Row],[Lucro por ação]],"")</f>
        <v/>
      </c>
      <c r="H6" s="6">
        <f>MAX(Tabela2[[#This Row],[Cotação 1]],Tabela2[[#This Row],[Cotação 2]])</f>
        <v>9.25</v>
      </c>
      <c r="I6" s="19" t="str">
        <f>IF(Tabela2[[#This Row],[Dividendo / Ação]]&gt;0,Tabela2[[#This Row],[Dividendo / Ação]]/Tabela2[[#This Row],[Cotação]],"")</f>
        <v/>
      </c>
      <c r="J6" s="61">
        <f>SUMPRODUCT(N(Tabela1[Código]=Tabela2[[#This Row],[Ativo]]),Tabela1[Fechamento])</f>
        <v>9.25</v>
      </c>
      <c r="K6" s="61">
        <f>SUMPRODUCT(N(Tabela17[Código]=Tabela2[[#This Row],[Ativo]]),Tabela17[Fechamento])</f>
        <v>0</v>
      </c>
      <c r="M6" s="3">
        <v>0.2341796592</v>
      </c>
    </row>
    <row r="7" spans="1:13">
      <c r="A7" s="4" t="s">
        <v>70</v>
      </c>
      <c r="B7" s="4">
        <v>2011</v>
      </c>
      <c r="C7" s="6">
        <v>436885000</v>
      </c>
      <c r="D7" s="8">
        <f>SUMPRODUCT(N(Tabela3[PAPEL]=Tabela2[[#This Row],[Ativo]]),Tabela3[Total Ações])</f>
        <v>95061053</v>
      </c>
      <c r="E7" s="64">
        <f>(Tabela2[[#This Row],[Lucro Líquido]])/Tabela2[[#This Row],[Total Ações]]</f>
        <v>4.5958358992720187</v>
      </c>
      <c r="F7" s="64">
        <v>3.2228539679999999</v>
      </c>
      <c r="G7" s="19">
        <f>IF(AND(Tabela2[[#This Row],[Dividendo / Ação]]&gt;0,Tabela2[[#This Row],[Lucro por ação]]&gt;0),Tabela2[[#This Row],[Dividendo / Ação]]/Tabela2[[#This Row],[Lucro por ação]],"")</f>
        <v>0.70125523161314363</v>
      </c>
      <c r="H7" s="6">
        <f>MAX(Tabela2[[#This Row],[Cotação 1]],Tabela2[[#This Row],[Cotação 2]])</f>
        <v>9.25</v>
      </c>
      <c r="I7" s="18">
        <f>IF(Tabela2[[#This Row],[Dividendo / Ação]]&gt;0,Tabela2[[#This Row],[Dividendo / Ação]]/Tabela2[[#This Row],[Cotação]],"")</f>
        <v>0.34841664518918919</v>
      </c>
      <c r="J7" s="60">
        <f>SUMPRODUCT(N(Tabela1[Código]=Tabela2[[#This Row],[Ativo]]),Tabela1[Fechamento])</f>
        <v>9.25</v>
      </c>
      <c r="K7" s="60">
        <f>SUMPRODUCT(N(Tabela17[Código]=Tabela2[[#This Row],[Ativo]]),Tabela17[Fechamento])</f>
        <v>0</v>
      </c>
      <c r="M7" s="3">
        <v>2.9647335659</v>
      </c>
    </row>
    <row r="8" spans="1:13">
      <c r="A8" s="4" t="s">
        <v>70</v>
      </c>
      <c r="B8" s="4">
        <v>2010</v>
      </c>
      <c r="C8" s="5">
        <v>376137000</v>
      </c>
      <c r="D8" s="62">
        <f>SUMPRODUCT(N(Tabela3[PAPEL]=Tabela2[[#This Row],[Ativo]]),Tabela3[Total Ações])</f>
        <v>95061053</v>
      </c>
      <c r="E8" s="63">
        <f>(Tabela2[[#This Row],[Lucro Líquido]])/Tabela2[[#This Row],[Total Ações]]</f>
        <v>3.9567939564061003</v>
      </c>
      <c r="F8" s="63">
        <v>3.5129712419999999</v>
      </c>
      <c r="G8" s="18">
        <f>IF(AND(Tabela2[[#This Row],[Dividendo / Ação]]&gt;0,Tabela2[[#This Row],[Lucro por ação]]&gt;0),Tabela2[[#This Row],[Dividendo / Ação]]/Tabela2[[#This Row],[Lucro por ação]],"")</f>
        <v>0.8878327455773769</v>
      </c>
      <c r="H8" s="5">
        <f>MAX(Tabela2[[#This Row],[Cotação 1]],Tabela2[[#This Row],[Cotação 2]])</f>
        <v>9.25</v>
      </c>
      <c r="I8" s="18">
        <f>IF(Tabela2[[#This Row],[Dividendo / Ação]]&gt;0,Tabela2[[#This Row],[Dividendo / Ação]]/Tabela2[[#This Row],[Cotação]],"")</f>
        <v>0.37978067481081079</v>
      </c>
      <c r="J8" s="60">
        <f>SUMPRODUCT(N(Tabela1[Código]=Tabela2[[#This Row],[Ativo]]),Tabela1[Fechamento])</f>
        <v>9.25</v>
      </c>
      <c r="K8" s="60">
        <f>SUMPRODUCT(N(Tabela17[Código]=Tabela2[[#This Row],[Ativo]]),Tabela17[Fechamento])</f>
        <v>0</v>
      </c>
      <c r="M8" s="3">
        <f>SUM(M5:M7)</f>
        <v>3.1989132251000001</v>
      </c>
    </row>
    <row r="9" spans="1:13">
      <c r="A9" s="4" t="s">
        <v>70</v>
      </c>
      <c r="B9" s="4">
        <v>2009</v>
      </c>
      <c r="C9" s="5">
        <v>335010000</v>
      </c>
      <c r="D9" s="62">
        <f>SUMPRODUCT(N(Tabela3[PAPEL]=Tabela2[[#This Row],[Ativo]]),Tabela3[Total Ações])</f>
        <v>95061053</v>
      </c>
      <c r="E9" s="63">
        <f>(Tabela2[[#This Row],[Lucro Líquido]])/Tabela2[[#This Row],[Total Ações]]</f>
        <v>3.5241562072744976</v>
      </c>
      <c r="F9" s="63">
        <v>3.1989132250000001</v>
      </c>
      <c r="G9" s="18">
        <f>IF(AND(Tabela2[[#This Row],[Dividendo / Ação]]&gt;0,Tabela2[[#This Row],[Lucro por ação]]&gt;0),Tabela2[[#This Row],[Dividendo / Ação]]/Tabela2[[#This Row],[Lucro por ação]],"")</f>
        <v>0.90771039558259736</v>
      </c>
      <c r="H9" s="5">
        <f>MAX(Tabela2[[#This Row],[Cotação 1]],Tabela2[[#This Row],[Cotação 2]])</f>
        <v>9.25</v>
      </c>
      <c r="I9" s="18">
        <f>IF(Tabela2[[#This Row],[Dividendo / Ação]]&gt;0,Tabela2[[#This Row],[Dividendo / Ação]]/Tabela2[[#This Row],[Cotação]],"")</f>
        <v>0.34582845675675677</v>
      </c>
      <c r="J9" s="60">
        <f>SUMPRODUCT(N(Tabela1[Código]=Tabela2[[#This Row],[Ativo]]),Tabela1[Fechamento])</f>
        <v>9.25</v>
      </c>
      <c r="K9" s="60">
        <f>SUMPRODUCT(N(Tabela17[Código]=Tabela2[[#This Row],[Ativo]]),Tabela17[Fechamento])</f>
        <v>0</v>
      </c>
    </row>
    <row r="10" spans="1:13">
      <c r="A10" s="4" t="s">
        <v>652</v>
      </c>
      <c r="B10" s="4">
        <v>2012</v>
      </c>
      <c r="C10" s="6">
        <v>127417790.75</v>
      </c>
      <c r="D10" s="91">
        <f>SUMPRODUCT(N(Tabela3[PAPEL]=Tabela2[[#This Row],[Ativo]]),Tabela3[Total Ações])</f>
        <v>159025920</v>
      </c>
      <c r="E10" s="66">
        <f>(Tabela2[[#This Row],[Lucro Líquido]])/Tabela2[[#This Row],[Total Ações]]</f>
        <v>0.80123913604775876</v>
      </c>
      <c r="F10" s="66">
        <v>0.346085953</v>
      </c>
      <c r="G10" s="45">
        <f>IF(AND(Tabela2[[#This Row],[Dividendo / Ação]]&gt;0,Tabela2[[#This Row],[Lucro por ação]]&gt;0),Tabela2[[#This Row],[Dividendo / Ação]]/Tabela2[[#This Row],[Lucro por ação]],"")</f>
        <v>0.43193840319274063</v>
      </c>
      <c r="H10" s="61">
        <f>MAX(Tabela2[[#This Row],[Cotação 1]],Tabela2[[#This Row],[Cotação 2]])</f>
        <v>18.2</v>
      </c>
      <c r="I10" s="46">
        <f>IF(Tabela2[[#This Row],[Dividendo / Ação]]&gt;0,Tabela2[[#This Row],[Dividendo / Ação]]/Tabela2[[#This Row],[Cotação]],"")</f>
        <v>1.9015711703296703E-2</v>
      </c>
      <c r="J10" s="17">
        <f>SUMPRODUCT(N(Tabela1[Código]=Tabela2[[#This Row],[Ativo]]),Tabela1[Fechamento])</f>
        <v>0</v>
      </c>
      <c r="K10" s="17">
        <f>SUMPRODUCT(N(Tabela17[Código]=Tabela2[[#This Row],[Ativo]]),Tabela17[Fechamento])</f>
        <v>18.2</v>
      </c>
    </row>
    <row r="11" spans="1:13">
      <c r="A11" s="4" t="s">
        <v>652</v>
      </c>
      <c r="B11" s="4">
        <v>2011</v>
      </c>
      <c r="C11" s="6">
        <v>101417617.86</v>
      </c>
      <c r="D11" s="91">
        <f>SUMPRODUCT(N(Tabela3[PAPEL]=Tabela2[[#This Row],[Ativo]]),Tabela3[Total Ações])</f>
        <v>159025920</v>
      </c>
      <c r="E11" s="66">
        <f>(Tabela2[[#This Row],[Lucro Líquido]])/Tabela2[[#This Row],[Total Ações]]</f>
        <v>0.63774268911634024</v>
      </c>
      <c r="F11" s="66">
        <v>0.18179478700000001</v>
      </c>
      <c r="G11" s="45">
        <f>IF(AND(Tabela2[[#This Row],[Dividendo / Ação]]&gt;0,Tabela2[[#This Row],[Lucro por ação]]&gt;0),Tabela2[[#This Row],[Dividendo / Ação]]/Tabela2[[#This Row],[Lucro por ação]],"")</f>
        <v>0.28505977426710427</v>
      </c>
      <c r="H11" s="61">
        <f>MAX(Tabela2[[#This Row],[Cotação 1]],Tabela2[[#This Row],[Cotação 2]])</f>
        <v>18.2</v>
      </c>
      <c r="I11" s="46">
        <f>IF(Tabela2[[#This Row],[Dividendo / Ação]]&gt;0,Tabela2[[#This Row],[Dividendo / Ação]]/Tabela2[[#This Row],[Cotação]],"")</f>
        <v>9.988724560439562E-3</v>
      </c>
      <c r="J11" s="17">
        <f>SUMPRODUCT(N(Tabela1[Código]=Tabela2[[#This Row],[Ativo]]),Tabela1[Fechamento])</f>
        <v>0</v>
      </c>
      <c r="K11" s="17">
        <f>SUMPRODUCT(N(Tabela17[Código]=Tabela2[[#This Row],[Ativo]]),Tabela17[Fechamento])</f>
        <v>18.2</v>
      </c>
    </row>
    <row r="12" spans="1:13">
      <c r="A12" s="4" t="s">
        <v>652</v>
      </c>
      <c r="B12" s="4">
        <v>2010</v>
      </c>
      <c r="C12" s="6">
        <v>54564689.799999997</v>
      </c>
      <c r="D12" s="91">
        <f>SUMPRODUCT(N(Tabela3[PAPEL]=Tabela2[[#This Row],[Ativo]]),Tabela3[Total Ações])</f>
        <v>159025920</v>
      </c>
      <c r="E12" s="66">
        <f>(Tabela2[[#This Row],[Lucro Líquido]])/Tabela2[[#This Row],[Total Ações]]</f>
        <v>0.34311821494257033</v>
      </c>
      <c r="F12" s="66">
        <v>9.2918793E-2</v>
      </c>
      <c r="G12" s="45">
        <f>IF(AND(Tabela2[[#This Row],[Dividendo / Ação]]&gt;0,Tabela2[[#This Row],[Lucro por ação]]&gt;0),Tabela2[[#This Row],[Dividendo / Ação]]/Tabela2[[#This Row],[Lucro por ação]],"")</f>
        <v>0.27080693753187179</v>
      </c>
      <c r="H12" s="61">
        <f>MAX(Tabela2[[#This Row],[Cotação 1]],Tabela2[[#This Row],[Cotação 2]])</f>
        <v>18.2</v>
      </c>
      <c r="I12" s="46">
        <f>IF(Tabela2[[#This Row],[Dividendo / Ação]]&gt;0,Tabela2[[#This Row],[Dividendo / Ação]]/Tabela2[[#This Row],[Cotação]],"")</f>
        <v>5.1054281868131868E-3</v>
      </c>
      <c r="J12" s="17">
        <f>SUMPRODUCT(N(Tabela1[Código]=Tabela2[[#This Row],[Ativo]]),Tabela1[Fechamento])</f>
        <v>0</v>
      </c>
      <c r="K12" s="17">
        <f>SUMPRODUCT(N(Tabela17[Código]=Tabela2[[#This Row],[Ativo]]),Tabela17[Fechamento])</f>
        <v>18.2</v>
      </c>
    </row>
    <row r="13" spans="1:13">
      <c r="A13" s="4" t="s">
        <v>652</v>
      </c>
      <c r="B13" s="4">
        <v>2009</v>
      </c>
      <c r="C13" s="6">
        <v>47715454.25</v>
      </c>
      <c r="D13" s="91">
        <f>SUMPRODUCT(N(Tabela3[PAPEL]=Tabela2[[#This Row],[Ativo]]),Tabela3[Total Ações])</f>
        <v>159025920</v>
      </c>
      <c r="E13" s="66">
        <f>(Tabela2[[#This Row],[Lucro Líquido]])/Tabela2[[#This Row],[Total Ações]]</f>
        <v>0.30004828300946162</v>
      </c>
      <c r="F13" s="66">
        <v>8.036008E-2</v>
      </c>
      <c r="G13" s="45">
        <f>IF(AND(Tabela2[[#This Row],[Dividendo / Ação]]&gt;0,Tabela2[[#This Row],[Lucro por ação]]&gt;0),Tabela2[[#This Row],[Dividendo / Ação]]/Tabela2[[#This Row],[Lucro por ação]],"")</f>
        <v>0.26782382886512285</v>
      </c>
      <c r="H13" s="61">
        <f>MAX(Tabela2[[#This Row],[Cotação 1]],Tabela2[[#This Row],[Cotação 2]])</f>
        <v>18.2</v>
      </c>
      <c r="I13" s="46">
        <f>IF(Tabela2[[#This Row],[Dividendo / Ação]]&gt;0,Tabela2[[#This Row],[Dividendo / Ação]]/Tabela2[[#This Row],[Cotação]],"")</f>
        <v>4.4153890109890114E-3</v>
      </c>
      <c r="J13" s="17">
        <f>SUMPRODUCT(N(Tabela1[Código]=Tabela2[[#This Row],[Ativo]]),Tabela1[Fechamento])</f>
        <v>0</v>
      </c>
      <c r="K13" s="17">
        <f>SUMPRODUCT(N(Tabela17[Código]=Tabela2[[#This Row],[Ativo]]),Tabela17[Fechamento])</f>
        <v>18.2</v>
      </c>
    </row>
    <row r="14" spans="1:13">
      <c r="A14" s="3" t="s">
        <v>378</v>
      </c>
      <c r="B14" s="3">
        <v>2012</v>
      </c>
      <c r="C14" s="5">
        <v>-2048000</v>
      </c>
      <c r="D14" s="62">
        <f>SUMPRODUCT(N(Tabela3[PAPEL]=Tabela2[[#This Row],[Ativo]]),Tabela3[Total Ações])</f>
        <v>5996334</v>
      </c>
      <c r="E14" s="65">
        <f>(Tabela2[[#This Row],[Lucro Líquido]])/Tabela2[[#This Row],[Total Ações]]</f>
        <v>-0.34154201550480678</v>
      </c>
      <c r="F14" s="65">
        <v>1</v>
      </c>
      <c r="G14" s="22" t="str">
        <f>IF(AND(Tabela2[[#This Row],[Dividendo / Ação]]&gt;0,Tabela2[[#This Row],[Lucro por ação]]&gt;0),Tabela2[[#This Row],[Dividendo / Ação]]/Tabela2[[#This Row],[Lucro por ação]],"")</f>
        <v/>
      </c>
      <c r="H14" s="51">
        <f>MAX(Tabela2[[#This Row],[Cotação 1]],Tabela2[[#This Row],[Cotação 2]])</f>
        <v>5.18</v>
      </c>
      <c r="I14" s="18">
        <f>IF(Tabela2[[#This Row],[Dividendo / Ação]]&gt;0,Tabela2[[#This Row],[Dividendo / Ação]]/Tabela2[[#This Row],[Cotação]],"")</f>
        <v>0.19305019305019305</v>
      </c>
      <c r="J14" s="7">
        <f>SUMPRODUCT(N(Tabela1[Código]=Tabela2[[#This Row],[Ativo]]),Tabela1[Fechamento])</f>
        <v>0</v>
      </c>
      <c r="K14" s="7">
        <f>SUMPRODUCT(N(Tabela17[Código]=Tabela2[[#This Row],[Ativo]]),Tabela17[Fechamento])</f>
        <v>5.18</v>
      </c>
    </row>
    <row r="15" spans="1:13">
      <c r="A15" s="3" t="s">
        <v>378</v>
      </c>
      <c r="B15" s="3">
        <v>2011</v>
      </c>
      <c r="C15" s="5">
        <v>-2767000</v>
      </c>
      <c r="D15" s="62">
        <f>SUMPRODUCT(N(Tabela3[PAPEL]=Tabela2[[#This Row],[Ativo]]),Tabela3[Total Ações])</f>
        <v>5996334</v>
      </c>
      <c r="E15" s="65">
        <f>(Tabela2[[#This Row],[Lucro Líquido]])/Tabela2[[#This Row],[Total Ações]]</f>
        <v>-0.4614486117684572</v>
      </c>
      <c r="F15" s="65">
        <v>1</v>
      </c>
      <c r="G15" s="22" t="str">
        <f>IF(AND(Tabela2[[#This Row],[Dividendo / Ação]]&gt;0,Tabela2[[#This Row],[Lucro por ação]]&gt;0),Tabela2[[#This Row],[Dividendo / Ação]]/Tabela2[[#This Row],[Lucro por ação]],"")</f>
        <v/>
      </c>
      <c r="H15" s="51">
        <f>MAX(Tabela2[[#This Row],[Cotação 1]],Tabela2[[#This Row],[Cotação 2]])</f>
        <v>5.18</v>
      </c>
      <c r="I15" s="18">
        <f>IF(Tabela2[[#This Row],[Dividendo / Ação]]&gt;0,Tabela2[[#This Row],[Dividendo / Ação]]/Tabela2[[#This Row],[Cotação]],"")</f>
        <v>0.19305019305019305</v>
      </c>
      <c r="J15" s="7">
        <f>SUMPRODUCT(N(Tabela1[Código]=Tabela2[[#This Row],[Ativo]]),Tabela1[Fechamento])</f>
        <v>0</v>
      </c>
      <c r="K15" s="7">
        <f>SUMPRODUCT(N(Tabela17[Código]=Tabela2[[#This Row],[Ativo]]),Tabela17[Fechamento])</f>
        <v>5.18</v>
      </c>
    </row>
    <row r="16" spans="1:13">
      <c r="A16" s="3" t="s">
        <v>378</v>
      </c>
      <c r="B16" s="3">
        <v>2010</v>
      </c>
      <c r="C16" s="5">
        <v>47518888.590000004</v>
      </c>
      <c r="D16" s="62">
        <f>SUMPRODUCT(N(Tabela3[PAPEL]=Tabela2[[#This Row],[Ativo]]),Tabela3[Total Ações])</f>
        <v>5996334</v>
      </c>
      <c r="E16" s="65">
        <f>(Tabela2[[#This Row],[Lucro Líquido]])/Tabela2[[#This Row],[Total Ações]]</f>
        <v>7.9246567302621909</v>
      </c>
      <c r="F16" s="65">
        <v>1.5139</v>
      </c>
      <c r="G16" s="22">
        <f>IF(AND(Tabela2[[#This Row],[Dividendo / Ação]]&gt;0,Tabela2[[#This Row],[Lucro por ação]]&gt;0),Tabela2[[#This Row],[Dividendo / Ação]]/Tabela2[[#This Row],[Lucro por ação]],"")</f>
        <v>0.19103666588090965</v>
      </c>
      <c r="H16" s="51">
        <f>MAX(Tabela2[[#This Row],[Cotação 1]],Tabela2[[#This Row],[Cotação 2]])</f>
        <v>5.18</v>
      </c>
      <c r="I16" s="18">
        <f>IF(Tabela2[[#This Row],[Dividendo / Ação]]&gt;0,Tabela2[[#This Row],[Dividendo / Ação]]/Tabela2[[#This Row],[Cotação]],"")</f>
        <v>0.29225868725868726</v>
      </c>
      <c r="J16" s="7">
        <f>SUMPRODUCT(N(Tabela1[Código]=Tabela2[[#This Row],[Ativo]]),Tabela1[Fechamento])</f>
        <v>0</v>
      </c>
      <c r="K16" s="7">
        <f>SUMPRODUCT(N(Tabela17[Código]=Tabela2[[#This Row],[Ativo]]),Tabela17[Fechamento])</f>
        <v>5.18</v>
      </c>
    </row>
    <row r="17" spans="1:11">
      <c r="A17" s="4" t="s">
        <v>64</v>
      </c>
      <c r="B17" s="4">
        <v>2012</v>
      </c>
      <c r="C17" s="6">
        <v>165948458.28999999</v>
      </c>
      <c r="D17" s="8">
        <f>SUMPRODUCT(N(Tabela3[PAPEL]=Tabela2[[#This Row],[Ativo]]),Tabela3[Total Ações])</f>
        <v>2964596762</v>
      </c>
      <c r="E17" s="66">
        <f>(Tabela2[[#This Row],[Lucro Líquido]])/Tabela2[[#This Row],[Total Ações]]</f>
        <v>5.5976738697524085E-2</v>
      </c>
      <c r="F17" s="66">
        <v>2.6766000000000002E-2</v>
      </c>
      <c r="G17" s="46">
        <f>IF(AND(Tabela2[[#This Row],[Dividendo / Ação]]&gt;0,Tabela2[[#This Row],[Lucro por ação]]&gt;0),Tabela2[[#This Row],[Dividendo / Ação]]/Tabela2[[#This Row],[Lucro por ação]],"")</f>
        <v>0.47816290521376681</v>
      </c>
      <c r="H17" s="6">
        <f>MAX(Tabela2[[#This Row],[Cotação 1]],Tabela2[[#This Row],[Cotação 2]])</f>
        <v>0.32</v>
      </c>
      <c r="I17" s="19">
        <f>IF(Tabela2[[#This Row],[Dividendo / Ação]]&gt;0,Tabela2[[#This Row],[Dividendo / Ação]]/Tabela2[[#This Row],[Cotação]],"")</f>
        <v>8.3643750000000003E-2</v>
      </c>
      <c r="J17" s="61">
        <f>SUMPRODUCT(N(Tabela1[Código]=Tabela2[[#This Row],[Ativo]]),Tabela1[Fechamento])</f>
        <v>0.32</v>
      </c>
      <c r="K17" s="61">
        <f>SUMPRODUCT(N(Tabela17[Código]=Tabela2[[#This Row],[Ativo]]),Tabela17[Fechamento])</f>
        <v>0</v>
      </c>
    </row>
    <row r="18" spans="1:11">
      <c r="A18" s="4" t="s">
        <v>64</v>
      </c>
      <c r="B18" s="4">
        <v>2011</v>
      </c>
      <c r="C18" s="6">
        <v>78567508.840000004</v>
      </c>
      <c r="D18" s="8">
        <f>SUMPRODUCT(N(Tabela3[PAPEL]=Tabela2[[#This Row],[Ativo]]),Tabela3[Total Ações])</f>
        <v>2964596762</v>
      </c>
      <c r="E18" s="66">
        <f>(Tabela2[[#This Row],[Lucro Líquido]])/Tabela2[[#This Row],[Total Ações]]</f>
        <v>2.6501920884173184E-2</v>
      </c>
      <c r="F18" s="66">
        <v>2.648E-2</v>
      </c>
      <c r="G18" s="46">
        <f>IF(AND(Tabela2[[#This Row],[Dividendo / Ação]]&gt;0,Tabela2[[#This Row],[Lucro por ação]]&gt;0),Tabela2[[#This Row],[Dividendo / Ação]]/Tabela2[[#This Row],[Lucro por ação]],"")</f>
        <v>0.99917285678011836</v>
      </c>
      <c r="H18" s="6">
        <f>MAX(Tabela2[[#This Row],[Cotação 1]],Tabela2[[#This Row],[Cotação 2]])</f>
        <v>0.32</v>
      </c>
      <c r="I18" s="19">
        <f>IF(Tabela2[[#This Row],[Dividendo / Ação]]&gt;0,Tabela2[[#This Row],[Dividendo / Ação]]/Tabela2[[#This Row],[Cotação]],"")</f>
        <v>8.2750000000000004E-2</v>
      </c>
      <c r="J18" s="61">
        <f>SUMPRODUCT(N(Tabela1[Código]=Tabela2[[#This Row],[Ativo]]),Tabela1[Fechamento])</f>
        <v>0.32</v>
      </c>
      <c r="K18" s="61">
        <f>SUMPRODUCT(N(Tabela17[Código]=Tabela2[[#This Row],[Ativo]]),Tabela17[Fechamento])</f>
        <v>0</v>
      </c>
    </row>
    <row r="19" spans="1:11">
      <c r="A19" s="4" t="s">
        <v>64</v>
      </c>
      <c r="B19" s="4">
        <v>2010</v>
      </c>
      <c r="C19" s="6">
        <v>142163159.71000001</v>
      </c>
      <c r="D19" s="8">
        <f>SUMPRODUCT(N(Tabela3[PAPEL]=Tabela2[[#This Row],[Ativo]]),Tabela3[Total Ações])</f>
        <v>2964596762</v>
      </c>
      <c r="E19" s="66">
        <f>(Tabela2[[#This Row],[Lucro Líquido]])/Tabela2[[#This Row],[Total Ações]]</f>
        <v>4.7953624429547294E-2</v>
      </c>
      <c r="F19" s="66">
        <v>3.7429999999999998E-2</v>
      </c>
      <c r="G19" s="46">
        <f>IF(AND(Tabela2[[#This Row],[Dividendo / Ação]]&gt;0,Tabela2[[#This Row],[Lucro por ação]]&gt;0),Tabela2[[#This Row],[Dividendo / Ação]]/Tabela2[[#This Row],[Lucro por ação]],"")</f>
        <v>0.78054579701251903</v>
      </c>
      <c r="H19" s="6">
        <f>MAX(Tabela2[[#This Row],[Cotação 1]],Tabela2[[#This Row],[Cotação 2]])</f>
        <v>0.32</v>
      </c>
      <c r="I19" s="19">
        <f>IF(Tabela2[[#This Row],[Dividendo / Ação]]&gt;0,Tabela2[[#This Row],[Dividendo / Ação]]/Tabela2[[#This Row],[Cotação]],"")</f>
        <v>0.11696875</v>
      </c>
      <c r="J19" s="61">
        <f>SUMPRODUCT(N(Tabela1[Código]=Tabela2[[#This Row],[Ativo]]),Tabela1[Fechamento])</f>
        <v>0.32</v>
      </c>
      <c r="K19" s="61">
        <f>SUMPRODUCT(N(Tabela17[Código]=Tabela2[[#This Row],[Ativo]]),Tabela17[Fechamento])</f>
        <v>0</v>
      </c>
    </row>
    <row r="20" spans="1:11">
      <c r="A20" s="4" t="s">
        <v>24</v>
      </c>
      <c r="B20" s="4">
        <v>2012</v>
      </c>
      <c r="C20" s="6">
        <v>12309870442.799999</v>
      </c>
      <c r="D20" s="8">
        <f>SUMPRODUCT(N(Tabela3[PAPEL]=Tabela2[[#This Row],[Ativo]]),Tabela3[Total Ações])</f>
        <v>2865417020</v>
      </c>
      <c r="E20" s="66">
        <f>(Tabela2[[#This Row],[Lucro Líquido]])/Tabela2[[#This Row],[Total Ações]]</f>
        <v>4.2960135843682536</v>
      </c>
      <c r="F20" s="66">
        <v>1.722</v>
      </c>
      <c r="G20" s="46">
        <f>IF(AND(Tabela2[[#This Row],[Dividendo / Ação]]&gt;0,Tabela2[[#This Row],[Lucro por ação]]&gt;0),Tabela2[[#This Row],[Dividendo / Ação]]/Tabela2[[#This Row],[Lucro por ação]],"")</f>
        <v>0.40083672134226433</v>
      </c>
      <c r="H20" s="6">
        <f>MAX(Tabela2[[#This Row],[Cotação 1]],Tabela2[[#This Row],[Cotação 2]])</f>
        <v>23.69</v>
      </c>
      <c r="I20" s="19">
        <f>IF(Tabela2[[#This Row],[Dividendo / Ação]]&gt;0,Tabela2[[#This Row],[Dividendo / Ação]]/Tabela2[[#This Row],[Cotação]],"")</f>
        <v>7.2688898269311936E-2</v>
      </c>
      <c r="J20" s="61">
        <f>SUMPRODUCT(N(Tabela1[Código]=Tabela2[[#This Row],[Ativo]]),Tabela1[Fechamento])</f>
        <v>23.69</v>
      </c>
      <c r="K20" s="61">
        <f>SUMPRODUCT(N(Tabela17[Código]=Tabela2[[#This Row],[Ativo]]),Tabela17[Fechamento])</f>
        <v>0</v>
      </c>
    </row>
    <row r="21" spans="1:11">
      <c r="A21" s="4" t="s">
        <v>24</v>
      </c>
      <c r="B21" s="4">
        <v>2011</v>
      </c>
      <c r="C21" s="6">
        <v>12247330314.43</v>
      </c>
      <c r="D21" s="8">
        <f>SUMPRODUCT(N(Tabela3[PAPEL]=Tabela2[[#This Row],[Ativo]]),Tabela3[Total Ações])</f>
        <v>2865417020</v>
      </c>
      <c r="E21" s="66">
        <f>(Tabela2[[#This Row],[Lucro Líquido]])/Tabela2[[#This Row],[Total Ações]]</f>
        <v>4.2741877461277875</v>
      </c>
      <c r="F21" s="66">
        <v>1.7096750979999999</v>
      </c>
      <c r="G21" s="46">
        <f>IF(AND(Tabela2[[#This Row],[Dividendo / Ação]]&gt;0,Tabela2[[#This Row],[Lucro por ação]]&gt;0),Tabela2[[#This Row],[Dividendo / Ação]]/Tabela2[[#This Row],[Lucro por ação]],"")</f>
        <v>0.39999999989445595</v>
      </c>
      <c r="H21" s="6">
        <f>MAX(Tabela2[[#This Row],[Cotação 1]],Tabela2[[#This Row],[Cotação 2]])</f>
        <v>23.69</v>
      </c>
      <c r="I21" s="19">
        <f>IF(Tabela2[[#This Row],[Dividendo / Ação]]&gt;0,Tabela2[[#This Row],[Dividendo / Ação]]/Tabela2[[#This Row],[Cotação]],"")</f>
        <v>7.2168640692275215E-2</v>
      </c>
      <c r="J21" s="61">
        <f>SUMPRODUCT(N(Tabela1[Código]=Tabela2[[#This Row],[Ativo]]),Tabela1[Fechamento])</f>
        <v>23.69</v>
      </c>
      <c r="K21" s="61">
        <f>SUMPRODUCT(N(Tabela17[Código]=Tabela2[[#This Row],[Ativo]]),Tabela17[Fechamento])</f>
        <v>0</v>
      </c>
    </row>
    <row r="22" spans="1:11">
      <c r="A22" s="4" t="s">
        <v>24</v>
      </c>
      <c r="B22" s="4">
        <v>2010</v>
      </c>
      <c r="C22" s="6">
        <v>11758093384.549999</v>
      </c>
      <c r="D22" s="8">
        <f>SUMPRODUCT(N(Tabela3[PAPEL]=Tabela2[[#This Row],[Ativo]]),Tabela3[Total Ações])</f>
        <v>2865417020</v>
      </c>
      <c r="E22" s="66">
        <f>(Tabela2[[#This Row],[Lucro Líquido]])/Tabela2[[#This Row],[Total Ações]]</f>
        <v>4.1034492719492537</v>
      </c>
      <c r="F22" s="66">
        <v>1.6421960419999999</v>
      </c>
      <c r="G22" s="46">
        <f>IF(AND(Tabela2[[#This Row],[Dividendo / Ação]]&gt;0,Tabela2[[#This Row],[Lucro por ação]]&gt;0),Tabela2[[#This Row],[Dividendo / Ação]]/Tabela2[[#This Row],[Lucro por ação]],"")</f>
        <v>0.40019893829951275</v>
      </c>
      <c r="H22" s="6">
        <f>MAX(Tabela2[[#This Row],[Cotação 1]],Tabela2[[#This Row],[Cotação 2]])</f>
        <v>23.69</v>
      </c>
      <c r="I22" s="19">
        <f>IF(Tabela2[[#This Row],[Dividendo / Ação]]&gt;0,Tabela2[[#This Row],[Dividendo / Ação]]/Tabela2[[#This Row],[Cotação]],"")</f>
        <v>6.932022127479949E-2</v>
      </c>
      <c r="J22" s="61">
        <f>SUMPRODUCT(N(Tabela1[Código]=Tabela2[[#This Row],[Ativo]]),Tabela1[Fechamento])</f>
        <v>23.69</v>
      </c>
      <c r="K22" s="61">
        <f>SUMPRODUCT(N(Tabela17[Código]=Tabela2[[#This Row],[Ativo]]),Tabela17[Fechamento])</f>
        <v>0</v>
      </c>
    </row>
    <row r="23" spans="1:11">
      <c r="A23" s="4" t="s">
        <v>24</v>
      </c>
      <c r="B23" s="4">
        <v>2009</v>
      </c>
      <c r="C23" s="6">
        <v>10147521914.51</v>
      </c>
      <c r="D23" s="8">
        <f>SUMPRODUCT(N(Tabela3[PAPEL]=Tabela2[[#This Row],[Ativo]]),Tabela3[Total Ações])</f>
        <v>2865417020</v>
      </c>
      <c r="E23" s="66">
        <f>(Tabela2[[#This Row],[Lucro Líquido]])/Tabela2[[#This Row],[Total Ações]]</f>
        <v>3.5413769945814031</v>
      </c>
      <c r="F23" s="66">
        <v>1.4165507980000001</v>
      </c>
      <c r="G23" s="46">
        <f>IF(AND(Tabela2[[#This Row],[Dividendo / Ação]]&gt;0,Tabela2[[#This Row],[Lucro por ação]]&gt;0),Tabela2[[#This Row],[Dividendo / Ação]]/Tabela2[[#This Row],[Lucro por ação]],"")</f>
        <v>0.4000000000472807</v>
      </c>
      <c r="H23" s="6">
        <f>MAX(Tabela2[[#This Row],[Cotação 1]],Tabela2[[#This Row],[Cotação 2]])</f>
        <v>23.69</v>
      </c>
      <c r="I23" s="19">
        <f>IF(Tabela2[[#This Row],[Dividendo / Ação]]&gt;0,Tabela2[[#This Row],[Dividendo / Ação]]/Tabela2[[#This Row],[Cotação]],"")</f>
        <v>5.979530595187843E-2</v>
      </c>
      <c r="J23" s="61">
        <f>SUMPRODUCT(N(Tabela1[Código]=Tabela2[[#This Row],[Ativo]]),Tabela1[Fechamento])</f>
        <v>23.69</v>
      </c>
      <c r="K23" s="61">
        <f>SUMPRODUCT(N(Tabela17[Código]=Tabela2[[#This Row],[Ativo]]),Tabela17[Fechamento])</f>
        <v>0</v>
      </c>
    </row>
    <row r="24" spans="1:11">
      <c r="A24" s="4" t="s">
        <v>225</v>
      </c>
      <c r="B24" s="4">
        <v>2012</v>
      </c>
      <c r="C24" s="6">
        <v>11381244459.27</v>
      </c>
      <c r="D24" s="8">
        <f>SUMPRODUCT(N(Tabela3[PAPEL]=Tabela2[[#This Row],[Ativo]]),Tabela3[Total Ações])</f>
        <v>4207274039</v>
      </c>
      <c r="E24" s="66">
        <f>(Tabela2[[#This Row],[Lucro Líquido]])/Tabela2[[#This Row],[Total Ações]]</f>
        <v>2.705135047959732</v>
      </c>
      <c r="F24" s="66">
        <v>0.97174542699999999</v>
      </c>
      <c r="G24" s="46">
        <f>IF(AND(Tabela2[[#This Row],[Dividendo / Ação]]&gt;0,Tabela2[[#This Row],[Lucro por ação]]&gt;0),Tabela2[[#This Row],[Dividendo / Ação]]/Tabela2[[#This Row],[Lucro por ação]],"")</f>
        <v>0.35922251930930776</v>
      </c>
      <c r="H24" s="6">
        <f>MAX(Tabela2[[#This Row],[Cotação 1]],Tabela2[[#This Row],[Cotação 2]])</f>
        <v>31.06</v>
      </c>
      <c r="I24" s="19">
        <f>IF(Tabela2[[#This Row],[Dividendo / Ação]]&gt;0,Tabela2[[#This Row],[Dividendo / Ação]]/Tabela2[[#This Row],[Cotação]],"")</f>
        <v>3.1286072987765617E-2</v>
      </c>
      <c r="J24" s="61">
        <f>SUMPRODUCT(N(Tabela1[Código]=Tabela2[[#This Row],[Ativo]]),Tabela1[Fechamento])</f>
        <v>31.06</v>
      </c>
      <c r="K24" s="61">
        <f>SUMPRODUCT(N(Tabela17[Código]=Tabela2[[#This Row],[Ativo]]),Tabela17[Fechamento])</f>
        <v>0</v>
      </c>
    </row>
    <row r="25" spans="1:11">
      <c r="A25" s="4" t="s">
        <v>225</v>
      </c>
      <c r="B25" s="3">
        <v>2011</v>
      </c>
      <c r="C25" s="5">
        <v>11037515599</v>
      </c>
      <c r="D25" s="62">
        <f>SUMPRODUCT(N(Tabela3[PAPEL]=Tabela2[[#This Row],[Ativo]]),Tabela3[Total Ações])</f>
        <v>4207274039</v>
      </c>
      <c r="E25" s="65">
        <f>(Tabela2[[#This Row],[Lucro Líquido]])/Tabela2[[#This Row],[Total Ações]]</f>
        <v>2.6234363382765142</v>
      </c>
      <c r="F25" s="65">
        <v>0.933388</v>
      </c>
      <c r="G25" s="22">
        <f>IF(AND(Tabela2[[#This Row],[Dividendo / Ação]]&gt;0,Tabela2[[#This Row],[Lucro por ação]]&gt;0),Tabela2[[#This Row],[Dividendo / Ação]]/Tabela2[[#This Row],[Lucro por ação]],"")</f>
        <v>0.35578831717075171</v>
      </c>
      <c r="H25" s="5">
        <f>MAX(Tabela2[[#This Row],[Cotação 1]],Tabela2[[#This Row],[Cotação 2]])</f>
        <v>31.06</v>
      </c>
      <c r="I25" s="18">
        <f>IF(Tabela2[[#This Row],[Dividendo / Ação]]&gt;0,Tabela2[[#This Row],[Dividendo / Ação]]/Tabela2[[#This Row],[Cotação]],"")</f>
        <v>3.0051126851255636E-2</v>
      </c>
      <c r="J25" s="60">
        <f>SUMPRODUCT(N(Tabela1[Código]=Tabela2[[#This Row],[Ativo]]),Tabela1[Fechamento])</f>
        <v>31.06</v>
      </c>
      <c r="K25" s="60">
        <f>SUMPRODUCT(N(Tabela17[Código]=Tabela2[[#This Row],[Ativo]]),Tabela17[Fechamento])</f>
        <v>0</v>
      </c>
    </row>
    <row r="26" spans="1:11">
      <c r="A26" s="4" t="s">
        <v>225</v>
      </c>
      <c r="B26" s="3">
        <v>2010</v>
      </c>
      <c r="C26" s="5">
        <v>10159097403</v>
      </c>
      <c r="D26" s="62">
        <f>SUMPRODUCT(N(Tabela3[PAPEL]=Tabela2[[#This Row],[Ativo]]),Tabela3[Total Ações])</f>
        <v>4207274039</v>
      </c>
      <c r="E26" s="65">
        <f>(Tabela2[[#This Row],[Lucro Líquido]])/Tabela2[[#This Row],[Total Ações]]</f>
        <v>2.4146507474503967</v>
      </c>
      <c r="F26" s="65">
        <v>0.87638400000000005</v>
      </c>
      <c r="G26" s="22">
        <f>IF(AND(Tabela2[[#This Row],[Dividendo / Ação]]&gt;0,Tabela2[[#This Row],[Lucro por ação]]&gt;0),Tabela2[[#This Row],[Dividendo / Ação]]/Tabela2[[#This Row],[Lucro por ação]],"")</f>
        <v>0.36294441377303294</v>
      </c>
      <c r="H26" s="5">
        <f>MAX(Tabela2[[#This Row],[Cotação 1]],Tabela2[[#This Row],[Cotação 2]])</f>
        <v>31.06</v>
      </c>
      <c r="I26" s="18">
        <f>IF(Tabela2[[#This Row],[Dividendo / Ação]]&gt;0,Tabela2[[#This Row],[Dividendo / Ação]]/Tabela2[[#This Row],[Cotação]],"")</f>
        <v>2.8215840309079206E-2</v>
      </c>
      <c r="J26" s="60">
        <f>SUMPRODUCT(N(Tabela1[Código]=Tabela2[[#This Row],[Ativo]]),Tabela1[Fechamento])</f>
        <v>31.06</v>
      </c>
      <c r="K26" s="60">
        <f>SUMPRODUCT(N(Tabela17[Código]=Tabela2[[#This Row],[Ativo]]),Tabela17[Fechamento])</f>
        <v>0</v>
      </c>
    </row>
    <row r="27" spans="1:11">
      <c r="A27" s="4" t="s">
        <v>225</v>
      </c>
      <c r="B27" s="3">
        <v>2009</v>
      </c>
      <c r="C27" s="5">
        <v>8134916341</v>
      </c>
      <c r="D27" s="62">
        <f>SUMPRODUCT(N(Tabela3[PAPEL]=Tabela2[[#This Row],[Ativo]]),Tabela3[Total Ações])</f>
        <v>4207274039</v>
      </c>
      <c r="E27" s="65">
        <f>(Tabela2[[#This Row],[Lucro Líquido]])/Tabela2[[#This Row],[Total Ações]]</f>
        <v>1.933536124719258</v>
      </c>
      <c r="F27" s="65">
        <v>0.834144</v>
      </c>
      <c r="G27" s="22">
        <f>IF(AND(Tabela2[[#This Row],[Dividendo / Ação]]&gt;0,Tabela2[[#This Row],[Lucro por ação]]&gt;0),Tabela2[[#This Row],[Dividendo / Ação]]/Tabela2[[#This Row],[Lucro por ação]],"")</f>
        <v>0.43140854175719862</v>
      </c>
      <c r="H27" s="5">
        <f>MAX(Tabela2[[#This Row],[Cotação 1]],Tabela2[[#This Row],[Cotação 2]])</f>
        <v>31.06</v>
      </c>
      <c r="I27" s="18">
        <f>IF(Tabela2[[#This Row],[Dividendo / Ação]]&gt;0,Tabela2[[#This Row],[Dividendo / Ação]]/Tabela2[[#This Row],[Cotação]],"")</f>
        <v>2.685589182227946E-2</v>
      </c>
      <c r="J27" s="60">
        <f>SUMPRODUCT(N(Tabela1[Código]=Tabela2[[#This Row],[Ativo]]),Tabela1[Fechamento])</f>
        <v>31.06</v>
      </c>
      <c r="K27" s="60">
        <f>SUMPRODUCT(N(Tabela17[Código]=Tabela2[[#This Row],[Ativo]]),Tabela17[Fechamento])</f>
        <v>0</v>
      </c>
    </row>
    <row r="28" spans="1:11">
      <c r="A28" s="4" t="s">
        <v>226</v>
      </c>
      <c r="B28" s="4">
        <v>2012</v>
      </c>
      <c r="C28" s="6">
        <v>11381244459.27</v>
      </c>
      <c r="D28" s="8">
        <f>SUMPRODUCT(N(Tabela3[PAPEL]=Tabela2[[#This Row],[Ativo]]),Tabela3[Total Ações])</f>
        <v>4207274039</v>
      </c>
      <c r="E28" s="66">
        <f>(Tabela2[[#This Row],[Lucro Líquido]])/Tabela2[[#This Row],[Total Ações]]</f>
        <v>2.705135047959732</v>
      </c>
      <c r="F28" s="66">
        <v>1.0689199700000001</v>
      </c>
      <c r="G28" s="46">
        <f>IF(AND(Tabela2[[#This Row],[Dividendo / Ação]]&gt;0,Tabela2[[#This Row],[Lucro por ação]]&gt;0),Tabela2[[#This Row],[Dividendo / Ação]]/Tabela2[[#This Row],[Lucro por ação]],"")</f>
        <v>0.39514477135113873</v>
      </c>
      <c r="H28" s="6">
        <f>MAX(Tabela2[[#This Row],[Cotação 1]],Tabela2[[#This Row],[Cotação 2]])</f>
        <v>28.71</v>
      </c>
      <c r="I28" s="19">
        <f>IF(Tabela2[[#This Row],[Dividendo / Ação]]&gt;0,Tabela2[[#This Row],[Dividendo / Ação]]/Tabela2[[#This Row],[Cotação]],"")</f>
        <v>3.7231625566004879E-2</v>
      </c>
      <c r="J28" s="61">
        <f>SUMPRODUCT(N(Tabela1[Código]=Tabela2[[#This Row],[Ativo]]),Tabela1[Fechamento])</f>
        <v>28.71</v>
      </c>
      <c r="K28" s="61">
        <f>SUMPRODUCT(N(Tabela17[Código]=Tabela2[[#This Row],[Ativo]]),Tabela17[Fechamento])</f>
        <v>0</v>
      </c>
    </row>
    <row r="29" spans="1:11">
      <c r="A29" s="4" t="s">
        <v>226</v>
      </c>
      <c r="B29" s="4">
        <v>2011</v>
      </c>
      <c r="C29" s="5">
        <v>11037515599</v>
      </c>
      <c r="D29" s="8">
        <f>SUMPRODUCT(N(Tabela3[PAPEL]=Tabela2[[#This Row],[Ativo]]),Tabela3[Total Ações])</f>
        <v>4207274039</v>
      </c>
      <c r="E29" s="66">
        <f>(Tabela2[[#This Row],[Lucro Líquido]])/Tabela2[[#This Row],[Total Ações]]</f>
        <v>2.6234363382765142</v>
      </c>
      <c r="F29" s="66">
        <v>1.0267269999999999</v>
      </c>
      <c r="G29" s="46">
        <f>IF(AND(Tabela2[[#This Row],[Dividendo / Ação]]&gt;0,Tabela2[[#This Row],[Lucro por ação]]&gt;0),Tabela2[[#This Row],[Dividendo / Ação]]/Tabela2[[#This Row],[Lucro por ação]],"")</f>
        <v>0.3913672251237153</v>
      </c>
      <c r="H29" s="6">
        <f>MAX(Tabela2[[#This Row],[Cotação 1]],Tabela2[[#This Row],[Cotação 2]])</f>
        <v>28.71</v>
      </c>
      <c r="I29" s="19">
        <f>IF(Tabela2[[#This Row],[Dividendo / Ação]]&gt;0,Tabela2[[#This Row],[Dividendo / Ação]]/Tabela2[[#This Row],[Cotação]],"")</f>
        <v>3.576199930337861E-2</v>
      </c>
      <c r="J29" s="61">
        <f>SUMPRODUCT(N(Tabela1[Código]=Tabela2[[#This Row],[Ativo]]),Tabela1[Fechamento])</f>
        <v>28.71</v>
      </c>
      <c r="K29" s="61">
        <f>SUMPRODUCT(N(Tabela17[Código]=Tabela2[[#This Row],[Ativo]]),Tabela17[Fechamento])</f>
        <v>0</v>
      </c>
    </row>
    <row r="30" spans="1:11">
      <c r="A30" s="4" t="s">
        <v>226</v>
      </c>
      <c r="B30" s="4">
        <v>2010</v>
      </c>
      <c r="C30" s="5">
        <v>10159097403</v>
      </c>
      <c r="D30" s="8">
        <f>SUMPRODUCT(N(Tabela3[PAPEL]=Tabela2[[#This Row],[Ativo]]),Tabela3[Total Ações])</f>
        <v>4207274039</v>
      </c>
      <c r="E30" s="66">
        <f>(Tabela2[[#This Row],[Lucro Líquido]])/Tabela2[[#This Row],[Total Ações]]</f>
        <v>2.4146507474503967</v>
      </c>
      <c r="F30" s="66">
        <v>0.96402200000000005</v>
      </c>
      <c r="G30" s="46">
        <f>IF(AND(Tabela2[[#This Row],[Dividendo / Ação]]&gt;0,Tabela2[[#This Row],[Lucro por ação]]&gt;0),Tabela2[[#This Row],[Dividendo / Ação]]/Tabela2[[#This Row],[Lucro por ação]],"")</f>
        <v>0.39923868949490948</v>
      </c>
      <c r="H30" s="6">
        <f>MAX(Tabela2[[#This Row],[Cotação 1]],Tabela2[[#This Row],[Cotação 2]])</f>
        <v>28.71</v>
      </c>
      <c r="I30" s="19">
        <f>IF(Tabela2[[#This Row],[Dividendo / Ação]]&gt;0,Tabela2[[#This Row],[Dividendo / Ação]]/Tabela2[[#This Row],[Cotação]],"")</f>
        <v>3.3577917102055037E-2</v>
      </c>
      <c r="J30" s="61">
        <f>SUMPRODUCT(N(Tabela1[Código]=Tabela2[[#This Row],[Ativo]]),Tabela1[Fechamento])</f>
        <v>28.71</v>
      </c>
      <c r="K30" s="61">
        <f>SUMPRODUCT(N(Tabela17[Código]=Tabela2[[#This Row],[Ativo]]),Tabela17[Fechamento])</f>
        <v>0</v>
      </c>
    </row>
    <row r="31" spans="1:11">
      <c r="A31" s="4" t="s">
        <v>226</v>
      </c>
      <c r="B31" s="4">
        <v>2009</v>
      </c>
      <c r="C31" s="5">
        <v>8134916341</v>
      </c>
      <c r="D31" s="8">
        <f>SUMPRODUCT(N(Tabela3[PAPEL]=Tabela2[[#This Row],[Ativo]]),Tabela3[Total Ações])</f>
        <v>4207274039</v>
      </c>
      <c r="E31" s="66">
        <f>(Tabela2[[#This Row],[Lucro Líquido]])/Tabela2[[#This Row],[Total Ações]]</f>
        <v>1.933536124719258</v>
      </c>
      <c r="F31" s="66">
        <v>0.91755799999999998</v>
      </c>
      <c r="G31" s="46">
        <f>IF(AND(Tabela2[[#This Row],[Dividendo / Ação]]&gt;0,Tabela2[[#This Row],[Lucro por ação]]&gt;0),Tabela2[[#This Row],[Dividendo / Ação]]/Tabela2[[#This Row],[Lucro por ação]],"")</f>
        <v>0.47454918905806631</v>
      </c>
      <c r="H31" s="6">
        <f>MAX(Tabela2[[#This Row],[Cotação 1]],Tabela2[[#This Row],[Cotação 2]])</f>
        <v>28.71</v>
      </c>
      <c r="I31" s="19">
        <f>IF(Tabela2[[#This Row],[Dividendo / Ação]]&gt;0,Tabela2[[#This Row],[Dividendo / Ação]]/Tabela2[[#This Row],[Cotação]],"")</f>
        <v>3.1959526297457332E-2</v>
      </c>
      <c r="J31" s="61">
        <f>SUMPRODUCT(N(Tabela1[Código]=Tabela2[[#This Row],[Ativo]]),Tabela1[Fechamento])</f>
        <v>28.71</v>
      </c>
      <c r="K31" s="61">
        <f>SUMPRODUCT(N(Tabela17[Código]=Tabela2[[#This Row],[Ativo]]),Tabela17[Fechamento])</f>
        <v>0</v>
      </c>
    </row>
    <row r="32" spans="1:11">
      <c r="A32" s="4" t="s">
        <v>25</v>
      </c>
      <c r="B32" s="4">
        <v>2012</v>
      </c>
      <c r="C32" s="6">
        <v>2000000000</v>
      </c>
      <c r="D32" s="8">
        <f>SUMPRODUCT(N(Tabela3[PAPEL]=Tabela2[[#This Row],[Ativo]]),Tabela3[Total Ações])</f>
        <v>2000000000</v>
      </c>
      <c r="E32" s="66">
        <f>(Tabela2[[#This Row],[Lucro Líquido]])/Tabela2[[#This Row],[Total Ações]]</f>
        <v>1</v>
      </c>
      <c r="F32" s="66">
        <v>0.25</v>
      </c>
      <c r="G32" s="46">
        <f>IF(AND(Tabela2[[#This Row],[Dividendo / Ação]]&gt;0,Tabela2[[#This Row],[Lucro por ação]]&gt;0),Tabela2[[#This Row],[Dividendo / Ação]]/Tabela2[[#This Row],[Lucro por ação]],"")</f>
        <v>0.25</v>
      </c>
      <c r="H32" s="13">
        <f>MAX(Tabela2[[#This Row],[Cotação 1]],Tabela2[[#This Row],[Cotação 2]])</f>
        <v>22.95</v>
      </c>
      <c r="I32" s="19">
        <f>IF(Tabela2[[#This Row],[Dividendo / Ação]]&gt;0,Tabela2[[#This Row],[Dividendo / Ação]]/Tabela2[[#This Row],[Cotação]],"")</f>
        <v>1.0893246187363835E-2</v>
      </c>
      <c r="J32" s="17">
        <f>SUMPRODUCT(N(Tabela1[Código]=Tabela2[[#This Row],[Ativo]]),Tabela1[Fechamento])</f>
        <v>0</v>
      </c>
      <c r="K32" s="17">
        <f>SUMPRODUCT(N(Tabela17[Código]=Tabela2[[#This Row],[Ativo]]),Tabela17[Fechamento])</f>
        <v>22.95</v>
      </c>
    </row>
    <row r="33" spans="1:11">
      <c r="A33" s="4" t="s">
        <v>60</v>
      </c>
      <c r="B33" s="4">
        <v>2012</v>
      </c>
      <c r="C33" s="6">
        <v>81395000</v>
      </c>
      <c r="D33" s="8">
        <f>SUMPRODUCT(N(Tabela3[PAPEL]=Tabela2[[#This Row],[Ativo]]),Tabela3[Total Ações])</f>
        <v>1579564303</v>
      </c>
      <c r="E33" s="66">
        <f>(Tabela2[[#This Row],[Lucro Líquido]])/Tabela2[[#This Row],[Total Ações]]</f>
        <v>5.153003258266213E-2</v>
      </c>
      <c r="F33" s="66">
        <v>2.0200094799999999E-2</v>
      </c>
      <c r="G33" s="46">
        <f>IF(AND(Tabela2[[#This Row],[Dividendo / Ação]]&gt;0,Tabela2[[#This Row],[Lucro por ação]]&gt;0),Tabela2[[#This Row],[Dividendo / Ação]]/Tabela2[[#This Row],[Lucro por ação]],"")</f>
        <v>0.39200624931870415</v>
      </c>
      <c r="H33" s="6">
        <f>MAX(Tabela2[[#This Row],[Cotação 1]],Tabela2[[#This Row],[Cotação 2]])</f>
        <v>0.48</v>
      </c>
      <c r="I33" s="19">
        <f>IF(Tabela2[[#This Row],[Dividendo / Ação]]&gt;0,Tabela2[[#This Row],[Dividendo / Ação]]/Tabela2[[#This Row],[Cotação]],"")</f>
        <v>4.2083530833333334E-2</v>
      </c>
      <c r="J33" s="61">
        <f>SUMPRODUCT(N(Tabela1[Código]=Tabela2[[#This Row],[Ativo]]),Tabela1[Fechamento])</f>
        <v>0.48</v>
      </c>
      <c r="K33" s="61">
        <f>SUMPRODUCT(N(Tabela17[Código]=Tabela2[[#This Row],[Ativo]]),Tabela17[Fechamento])</f>
        <v>0</v>
      </c>
    </row>
    <row r="34" spans="1:11">
      <c r="A34" s="4" t="s">
        <v>60</v>
      </c>
      <c r="B34" s="3">
        <v>2011</v>
      </c>
      <c r="C34" s="5">
        <v>87892000</v>
      </c>
      <c r="D34" s="62">
        <f>SUMPRODUCT(N(Tabela3[PAPEL]=Tabela2[[#This Row],[Ativo]]),Tabela3[Total Ações])</f>
        <v>1579564303</v>
      </c>
      <c r="E34" s="65">
        <f>(Tabela2[[#This Row],[Lucro Líquido]])/Tabela2[[#This Row],[Total Ações]]</f>
        <v>5.5643192134103327E-2</v>
      </c>
      <c r="F34" s="65">
        <v>3.1132696000000001E-2</v>
      </c>
      <c r="G34" s="22">
        <f>IF(AND(Tabela2[[#This Row],[Dividendo / Ação]]&gt;0,Tabela2[[#This Row],[Lucro por ação]]&gt;0),Tabela2[[#This Row],[Dividendo / Ação]]/Tabela2[[#This Row],[Lucro por ação]],"")</f>
        <v>0.55950593066207266</v>
      </c>
      <c r="H34" s="5">
        <f>MAX(Tabela2[[#This Row],[Cotação 1]],Tabela2[[#This Row],[Cotação 2]])</f>
        <v>0.48</v>
      </c>
      <c r="I34" s="18">
        <f>IF(Tabela2[[#This Row],[Dividendo / Ação]]&gt;0,Tabela2[[#This Row],[Dividendo / Ação]]/Tabela2[[#This Row],[Cotação]],"")</f>
        <v>6.4859783333333337E-2</v>
      </c>
      <c r="J34" s="60">
        <f>SUMPRODUCT(N(Tabela1[Código]=Tabela2[[#This Row],[Ativo]]),Tabela1[Fechamento])</f>
        <v>0.48</v>
      </c>
      <c r="K34" s="60">
        <f>SUMPRODUCT(N(Tabela17[Código]=Tabela2[[#This Row],[Ativo]]),Tabela17[Fechamento])</f>
        <v>0</v>
      </c>
    </row>
    <row r="35" spans="1:11">
      <c r="A35" s="4" t="s">
        <v>60</v>
      </c>
      <c r="B35" s="3">
        <v>2010</v>
      </c>
      <c r="C35" s="5">
        <v>167023000</v>
      </c>
      <c r="D35" s="62">
        <f>SUMPRODUCT(N(Tabela3[PAPEL]=Tabela2[[#This Row],[Ativo]]),Tabela3[Total Ações])</f>
        <v>1579564303</v>
      </c>
      <c r="E35" s="65">
        <f>(Tabela2[[#This Row],[Lucro Líquido]])/Tabela2[[#This Row],[Total Ações]]</f>
        <v>0.1057399180791692</v>
      </c>
      <c r="F35" s="65">
        <v>2.6446688999999999E-2</v>
      </c>
      <c r="G35" s="22">
        <f>IF(AND(Tabela2[[#This Row],[Dividendo / Ação]]&gt;0,Tabela2[[#This Row],[Lucro por ação]]&gt;0),Tabela2[[#This Row],[Dividendo / Ação]]/Tabela2[[#This Row],[Lucro por ação]],"")</f>
        <v>0.25011073850273774</v>
      </c>
      <c r="H35" s="5">
        <f>MAX(Tabela2[[#This Row],[Cotação 1]],Tabela2[[#This Row],[Cotação 2]])</f>
        <v>0.48</v>
      </c>
      <c r="I35" s="18">
        <f>IF(Tabela2[[#This Row],[Dividendo / Ação]]&gt;0,Tabela2[[#This Row],[Dividendo / Ação]]/Tabela2[[#This Row],[Cotação]],"")</f>
        <v>5.5097268749999997E-2</v>
      </c>
      <c r="J35" s="60">
        <f>SUMPRODUCT(N(Tabela1[Código]=Tabela2[[#This Row],[Ativo]]),Tabela1[Fechamento])</f>
        <v>0.48</v>
      </c>
      <c r="K35" s="60">
        <f>SUMPRODUCT(N(Tabela17[Código]=Tabela2[[#This Row],[Ativo]]),Tabela17[Fechamento])</f>
        <v>0</v>
      </c>
    </row>
    <row r="36" spans="1:11">
      <c r="A36" s="4" t="s">
        <v>60</v>
      </c>
      <c r="B36" s="3">
        <v>2009</v>
      </c>
      <c r="C36" s="5">
        <v>132496000</v>
      </c>
      <c r="D36" s="62">
        <f>SUMPRODUCT(N(Tabela3[PAPEL]=Tabela2[[#This Row],[Ativo]]),Tabela3[Total Ações])</f>
        <v>1579564303</v>
      </c>
      <c r="E36" s="65">
        <f>(Tabela2[[#This Row],[Lucro Líquido]])/Tabela2[[#This Row],[Total Ações]]</f>
        <v>8.3881358769855668E-2</v>
      </c>
      <c r="F36" s="65">
        <v>2.117499288E-2</v>
      </c>
      <c r="G36" s="22">
        <f>IF(AND(Tabela2[[#This Row],[Dividendo / Ação]]&gt;0,Tabela2[[#This Row],[Lucro por ação]]&gt;0),Tabela2[[#This Row],[Dividendo / Ação]]/Tabela2[[#This Row],[Lucro por ação]],"")</f>
        <v>0.2524397934241574</v>
      </c>
      <c r="H36" s="5">
        <f>MAX(Tabela2[[#This Row],[Cotação 1]],Tabela2[[#This Row],[Cotação 2]])</f>
        <v>0.48</v>
      </c>
      <c r="I36" s="18">
        <f>IF(Tabela2[[#This Row],[Dividendo / Ação]]&gt;0,Tabela2[[#This Row],[Dividendo / Ação]]/Tabela2[[#This Row],[Cotação]],"")</f>
        <v>4.41145685E-2</v>
      </c>
      <c r="J36" s="60">
        <f>SUMPRODUCT(N(Tabela1[Código]=Tabela2[[#This Row],[Ativo]]),Tabela1[Fechamento])</f>
        <v>0.48</v>
      </c>
      <c r="K36" s="60">
        <f>SUMPRODUCT(N(Tabela17[Código]=Tabela2[[#This Row],[Ativo]]),Tabela17[Fechamento])</f>
        <v>0</v>
      </c>
    </row>
    <row r="37" spans="1:11">
      <c r="A37" s="4" t="s">
        <v>61</v>
      </c>
      <c r="B37" s="4">
        <v>2012</v>
      </c>
      <c r="C37" s="6">
        <v>81395000</v>
      </c>
      <c r="D37" s="8">
        <f>SUMPRODUCT(N(Tabela3[PAPEL]=Tabela2[[#This Row],[Ativo]]),Tabela3[Total Ações])</f>
        <v>1579564303</v>
      </c>
      <c r="E37" s="66">
        <f>(Tabela2[[#This Row],[Lucro Líquido]])/Tabela2[[#This Row],[Total Ações]]</f>
        <v>5.153003258266213E-2</v>
      </c>
      <c r="F37" s="66">
        <v>2.0200094799999999E-2</v>
      </c>
      <c r="G37" s="46">
        <f>IF(AND(Tabela2[[#This Row],[Dividendo / Ação]]&gt;0,Tabela2[[#This Row],[Lucro por ação]]&gt;0),Tabela2[[#This Row],[Dividendo / Ação]]/Tabela2[[#This Row],[Lucro por ação]],"")</f>
        <v>0.39200624931870415</v>
      </c>
      <c r="H37" s="6">
        <f>MAX(Tabela2[[#This Row],[Cotação 1]],Tabela2[[#This Row],[Cotação 2]])</f>
        <v>0.46</v>
      </c>
      <c r="I37" s="19">
        <f>IF(Tabela2[[#This Row],[Dividendo / Ação]]&gt;0,Tabela2[[#This Row],[Dividendo / Ação]]/Tabela2[[#This Row],[Cotação]],"")</f>
        <v>4.3913249565217388E-2</v>
      </c>
      <c r="J37" s="61">
        <f>SUMPRODUCT(N(Tabela1[Código]=Tabela2[[#This Row],[Ativo]]),Tabela1[Fechamento])</f>
        <v>0.46</v>
      </c>
      <c r="K37" s="61">
        <f>SUMPRODUCT(N(Tabela17[Código]=Tabela2[[#This Row],[Ativo]]),Tabela17[Fechamento])</f>
        <v>0</v>
      </c>
    </row>
    <row r="38" spans="1:11">
      <c r="A38" s="4" t="s">
        <v>61</v>
      </c>
      <c r="B38" s="4">
        <v>2011</v>
      </c>
      <c r="C38" s="5">
        <v>87892000</v>
      </c>
      <c r="D38" s="8">
        <f>SUMPRODUCT(N(Tabela3[PAPEL]=Tabela2[[#This Row],[Ativo]]),Tabela3[Total Ações])</f>
        <v>1579564303</v>
      </c>
      <c r="E38" s="66">
        <f>(Tabela2[[#This Row],[Lucro Líquido]])/Tabela2[[#This Row],[Total Ações]]</f>
        <v>5.5643192134103327E-2</v>
      </c>
      <c r="F38" s="65">
        <v>3.1132696000000001E-2</v>
      </c>
      <c r="G38" s="46">
        <f>IF(AND(Tabela2[[#This Row],[Dividendo / Ação]]&gt;0,Tabela2[[#This Row],[Lucro por ação]]&gt;0),Tabela2[[#This Row],[Dividendo / Ação]]/Tabela2[[#This Row],[Lucro por ação]],"")</f>
        <v>0.55950593066207266</v>
      </c>
      <c r="H38" s="6">
        <f>MAX(Tabela2[[#This Row],[Cotação 1]],Tabela2[[#This Row],[Cotação 2]])</f>
        <v>0.46</v>
      </c>
      <c r="I38" s="19">
        <f>IF(Tabela2[[#This Row],[Dividendo / Ação]]&gt;0,Tabela2[[#This Row],[Dividendo / Ação]]/Tabela2[[#This Row],[Cotação]],"")</f>
        <v>6.7679773913043473E-2</v>
      </c>
      <c r="J38" s="61">
        <f>SUMPRODUCT(N(Tabela1[Código]=Tabela2[[#This Row],[Ativo]]),Tabela1[Fechamento])</f>
        <v>0.46</v>
      </c>
      <c r="K38" s="61">
        <f>SUMPRODUCT(N(Tabela17[Código]=Tabela2[[#This Row],[Ativo]]),Tabela17[Fechamento])</f>
        <v>0</v>
      </c>
    </row>
    <row r="39" spans="1:11">
      <c r="A39" s="4" t="s">
        <v>61</v>
      </c>
      <c r="B39" s="4">
        <v>2010</v>
      </c>
      <c r="C39" s="5">
        <v>167023000</v>
      </c>
      <c r="D39" s="8">
        <f>SUMPRODUCT(N(Tabela3[PAPEL]=Tabela2[[#This Row],[Ativo]]),Tabela3[Total Ações])</f>
        <v>1579564303</v>
      </c>
      <c r="E39" s="66">
        <f>(Tabela2[[#This Row],[Lucro Líquido]])/Tabela2[[#This Row],[Total Ações]]</f>
        <v>0.1057399180791692</v>
      </c>
      <c r="F39" s="65">
        <v>2.6446688999999999E-2</v>
      </c>
      <c r="G39" s="46">
        <f>IF(AND(Tabela2[[#This Row],[Dividendo / Ação]]&gt;0,Tabela2[[#This Row],[Lucro por ação]]&gt;0),Tabela2[[#This Row],[Dividendo / Ação]]/Tabela2[[#This Row],[Lucro por ação]],"")</f>
        <v>0.25011073850273774</v>
      </c>
      <c r="H39" s="6">
        <f>MAX(Tabela2[[#This Row],[Cotação 1]],Tabela2[[#This Row],[Cotação 2]])</f>
        <v>0.46</v>
      </c>
      <c r="I39" s="19">
        <f>IF(Tabela2[[#This Row],[Dividendo / Ação]]&gt;0,Tabela2[[#This Row],[Dividendo / Ação]]/Tabela2[[#This Row],[Cotação]],"")</f>
        <v>5.7492802173913039E-2</v>
      </c>
      <c r="J39" s="61">
        <f>SUMPRODUCT(N(Tabela1[Código]=Tabela2[[#This Row],[Ativo]]),Tabela1[Fechamento])</f>
        <v>0.46</v>
      </c>
      <c r="K39" s="61">
        <f>SUMPRODUCT(N(Tabela17[Código]=Tabela2[[#This Row],[Ativo]]),Tabela17[Fechamento])</f>
        <v>0</v>
      </c>
    </row>
    <row r="40" spans="1:11">
      <c r="A40" s="4" t="s">
        <v>61</v>
      </c>
      <c r="B40" s="4">
        <v>2009</v>
      </c>
      <c r="C40" s="5">
        <v>132496000</v>
      </c>
      <c r="D40" s="8">
        <f>SUMPRODUCT(N(Tabela3[PAPEL]=Tabela2[[#This Row],[Ativo]]),Tabela3[Total Ações])</f>
        <v>1579564303</v>
      </c>
      <c r="E40" s="66">
        <f>(Tabela2[[#This Row],[Lucro Líquido]])/Tabela2[[#This Row],[Total Ações]]</f>
        <v>8.3881358769855668E-2</v>
      </c>
      <c r="F40" s="65">
        <v>2.117499288E-2</v>
      </c>
      <c r="G40" s="46">
        <f>IF(AND(Tabela2[[#This Row],[Dividendo / Ação]]&gt;0,Tabela2[[#This Row],[Lucro por ação]]&gt;0),Tabela2[[#This Row],[Dividendo / Ação]]/Tabela2[[#This Row],[Lucro por ação]],"")</f>
        <v>0.2524397934241574</v>
      </c>
      <c r="H40" s="6">
        <f>MAX(Tabela2[[#This Row],[Cotação 1]],Tabela2[[#This Row],[Cotação 2]])</f>
        <v>0.46</v>
      </c>
      <c r="I40" s="19">
        <f>IF(Tabela2[[#This Row],[Dividendo / Ação]]&gt;0,Tabela2[[#This Row],[Dividendo / Ação]]/Tabela2[[#This Row],[Cotação]],"")</f>
        <v>4.6032593217391303E-2</v>
      </c>
      <c r="J40" s="61">
        <f>SUMPRODUCT(N(Tabela1[Código]=Tabela2[[#This Row],[Ativo]]),Tabela1[Fechamento])</f>
        <v>0.46</v>
      </c>
      <c r="K40" s="61">
        <f>SUMPRODUCT(N(Tabela17[Código]=Tabela2[[#This Row],[Ativo]]),Tabela17[Fechamento])</f>
        <v>0</v>
      </c>
    </row>
    <row r="41" spans="1:11">
      <c r="A41" s="14" t="s">
        <v>230</v>
      </c>
      <c r="B41" s="3">
        <v>2012</v>
      </c>
      <c r="C41" s="5">
        <v>87990976.469999999</v>
      </c>
      <c r="D41" s="62">
        <f>SUMPRODUCT(N(Tabela3[PAPEL]=Tabela2[[#This Row],[Ativo]]),Tabela3[Total Ações])</f>
        <v>10541442</v>
      </c>
      <c r="E41" s="65">
        <f>(Tabela2[[#This Row],[Lucro Líquido]])/Tabela2[[#This Row],[Total Ações]]</f>
        <v>8.3471479964505804</v>
      </c>
      <c r="F41" s="65">
        <v>4.946395323</v>
      </c>
      <c r="G41" s="22">
        <f>IF(AND(Tabela2[[#This Row],[Dividendo / Ação]]&gt;0,Tabela2[[#This Row],[Lucro por ação]]&gt;0),Tabela2[[#This Row],[Dividendo / Ação]]/Tabela2[[#This Row],[Lucro por ação]],"")</f>
        <v>0.5925850751781726</v>
      </c>
      <c r="H41" s="5">
        <f>MAX(Tabela2[[#This Row],[Cotação 1]],Tabela2[[#This Row],[Cotação 2]])</f>
        <v>48.5</v>
      </c>
      <c r="I41" s="18">
        <f>IF(Tabela2[[#This Row],[Dividendo / Ação]]&gt;0,Tabela2[[#This Row],[Dividendo / Ação]]/Tabela2[[#This Row],[Cotação]],"")</f>
        <v>0.10198753243298969</v>
      </c>
      <c r="J41" s="60">
        <f>SUMPRODUCT(N(Tabela1[Código]=Tabela2[[#This Row],[Ativo]]),Tabela1[Fechamento])</f>
        <v>48.5</v>
      </c>
      <c r="K41" s="60">
        <f>SUMPRODUCT(N(Tabela17[Código]=Tabela2[[#This Row],[Ativo]]),Tabela17[Fechamento])</f>
        <v>0</v>
      </c>
    </row>
    <row r="42" spans="1:11">
      <c r="A42" s="14" t="s">
        <v>230</v>
      </c>
      <c r="B42" s="3">
        <v>2011</v>
      </c>
      <c r="C42" s="5">
        <v>90962523.890000001</v>
      </c>
      <c r="D42" s="62">
        <f>SUMPRODUCT(N(Tabela3[PAPEL]=Tabela2[[#This Row],[Ativo]]),Tabela3[Total Ações])</f>
        <v>10541442</v>
      </c>
      <c r="E42" s="65">
        <f>(Tabela2[[#This Row],[Lucro Líquido]])/Tabela2[[#This Row],[Total Ações]]</f>
        <v>8.6290399254675023</v>
      </c>
      <c r="F42" s="65">
        <v>5.5438895290000003</v>
      </c>
      <c r="G42" s="22">
        <f>IF(AND(Tabela2[[#This Row],[Dividendo / Ação]]&gt;0,Tabela2[[#This Row],[Lucro por ação]]&gt;0),Tabela2[[#This Row],[Dividendo / Ação]]/Tabela2[[#This Row],[Lucro por ação]],"")</f>
        <v>0.64246886987252461</v>
      </c>
      <c r="H42" s="5">
        <f>MAX(Tabela2[[#This Row],[Cotação 1]],Tabela2[[#This Row],[Cotação 2]])</f>
        <v>48.5</v>
      </c>
      <c r="I42" s="18">
        <f>IF(Tabela2[[#This Row],[Dividendo / Ação]]&gt;0,Tabela2[[#This Row],[Dividendo / Ação]]/Tabela2[[#This Row],[Cotação]],"")</f>
        <v>0.11430700059793815</v>
      </c>
      <c r="J42" s="60">
        <f>SUMPRODUCT(N(Tabela1[Código]=Tabela2[[#This Row],[Ativo]]),Tabela1[Fechamento])</f>
        <v>48.5</v>
      </c>
      <c r="K42" s="60">
        <f>SUMPRODUCT(N(Tabela17[Código]=Tabela2[[#This Row],[Ativo]]),Tabela17[Fechamento])</f>
        <v>0</v>
      </c>
    </row>
    <row r="43" spans="1:11">
      <c r="A43" s="14" t="s">
        <v>230</v>
      </c>
      <c r="B43" s="3">
        <v>2010</v>
      </c>
      <c r="C43" s="5">
        <v>54465018.079999998</v>
      </c>
      <c r="D43" s="62">
        <f>SUMPRODUCT(N(Tabela3[PAPEL]=Tabela2[[#This Row],[Ativo]]),Tabela3[Total Ações])</f>
        <v>10541442</v>
      </c>
      <c r="E43" s="65">
        <f>(Tabela2[[#This Row],[Lucro Líquido]])/Tabela2[[#This Row],[Total Ações]]</f>
        <v>5.1667521464330965</v>
      </c>
      <c r="F43" s="65">
        <v>2.2723217359999999</v>
      </c>
      <c r="G43" s="22">
        <f>IF(AND(Tabela2[[#This Row],[Dividendo / Ação]]&gt;0,Tabela2[[#This Row],[Lucro por ação]]&gt;0),Tabela2[[#This Row],[Dividendo / Ação]]/Tabela2[[#This Row],[Lucro por ação]],"")</f>
        <v>0.43979693076020943</v>
      </c>
      <c r="H43" s="5">
        <f>MAX(Tabela2[[#This Row],[Cotação 1]],Tabela2[[#This Row],[Cotação 2]])</f>
        <v>48.5</v>
      </c>
      <c r="I43" s="18">
        <f>IF(Tabela2[[#This Row],[Dividendo / Ação]]&gt;0,Tabela2[[#This Row],[Dividendo / Ação]]/Tabela2[[#This Row],[Cotação]],"")</f>
        <v>4.6851994556701027E-2</v>
      </c>
      <c r="J43" s="60">
        <f>SUMPRODUCT(N(Tabela1[Código]=Tabela2[[#This Row],[Ativo]]),Tabela1[Fechamento])</f>
        <v>48.5</v>
      </c>
      <c r="K43" s="60">
        <f>SUMPRODUCT(N(Tabela17[Código]=Tabela2[[#This Row],[Ativo]]),Tabela17[Fechamento])</f>
        <v>0</v>
      </c>
    </row>
    <row r="44" spans="1:11">
      <c r="A44" s="14" t="s">
        <v>230</v>
      </c>
      <c r="B44" s="3">
        <v>2009</v>
      </c>
      <c r="C44" s="5">
        <v>39114199.380000003</v>
      </c>
      <c r="D44" s="62">
        <f>SUMPRODUCT(N(Tabela3[PAPEL]=Tabela2[[#This Row],[Ativo]]),Tabela3[Total Ações])</f>
        <v>10541442</v>
      </c>
      <c r="E44" s="65">
        <f>(Tabela2[[#This Row],[Lucro Líquido]])/Tabela2[[#This Row],[Total Ações]]</f>
        <v>3.7105169653259966</v>
      </c>
      <c r="F44" s="65">
        <v>1.979881029</v>
      </c>
      <c r="G44" s="22">
        <f>IF(AND(Tabela2[[#This Row],[Dividendo / Ação]]&gt;0,Tabela2[[#This Row],[Lucro por ação]]&gt;0),Tabela2[[#This Row],[Dividendo / Ação]]/Tabela2[[#This Row],[Lucro por ação]],"")</f>
        <v>0.53358630279865937</v>
      </c>
      <c r="H44" s="5">
        <f>MAX(Tabela2[[#This Row],[Cotação 1]],Tabela2[[#This Row],[Cotação 2]])</f>
        <v>48.5</v>
      </c>
      <c r="I44" s="18">
        <f>IF(Tabela2[[#This Row],[Dividendo / Ação]]&gt;0,Tabela2[[#This Row],[Dividendo / Ação]]/Tabela2[[#This Row],[Cotação]],"")</f>
        <v>4.0822289257731958E-2</v>
      </c>
      <c r="J44" s="60">
        <f>SUMPRODUCT(N(Tabela1[Código]=Tabela2[[#This Row],[Ativo]]),Tabela1[Fechamento])</f>
        <v>48.5</v>
      </c>
      <c r="K44" s="60">
        <f>SUMPRODUCT(N(Tabela17[Código]=Tabela2[[#This Row],[Ativo]]),Tabela17[Fechamento])</f>
        <v>0</v>
      </c>
    </row>
    <row r="45" spans="1:11">
      <c r="A45" s="14" t="s">
        <v>231</v>
      </c>
      <c r="B45" s="4">
        <v>2012</v>
      </c>
      <c r="C45" s="5">
        <v>87990976.469999999</v>
      </c>
      <c r="D45" s="8">
        <f>SUMPRODUCT(N(Tabela3[PAPEL]=Tabela2[[#This Row],[Ativo]]),Tabela3[Total Ações])</f>
        <v>10541442</v>
      </c>
      <c r="E45" s="66">
        <f>(Tabela2[[#This Row],[Lucro Líquido]])/Tabela2[[#This Row],[Total Ações]]</f>
        <v>8.3471479964505804</v>
      </c>
      <c r="F45" s="66">
        <v>5.4410348859999997</v>
      </c>
      <c r="G45" s="46">
        <f>IF(AND(Tabela2[[#This Row],[Dividendo / Ação]]&gt;0,Tabela2[[#This Row],[Lucro por ação]]&gt;0),Tabela2[[#This Row],[Dividendo / Ação]]/Tabela2[[#This Row],[Lucro por ação]],"")</f>
        <v>0.65184358637389272</v>
      </c>
      <c r="H45" s="6">
        <f>MAX(Tabela2[[#This Row],[Cotação 1]],Tabela2[[#This Row],[Cotação 2]])</f>
        <v>49.99</v>
      </c>
      <c r="I45" s="19">
        <f>IF(Tabela2[[#This Row],[Dividendo / Ação]]&gt;0,Tabela2[[#This Row],[Dividendo / Ação]]/Tabela2[[#This Row],[Cotação]],"")</f>
        <v>0.10884246621324264</v>
      </c>
      <c r="J45" s="61">
        <f>SUMPRODUCT(N(Tabela1[Código]=Tabela2[[#This Row],[Ativo]]),Tabela1[Fechamento])</f>
        <v>49.99</v>
      </c>
      <c r="K45" s="61">
        <f>SUMPRODUCT(N(Tabela17[Código]=Tabela2[[#This Row],[Ativo]]),Tabela17[Fechamento])</f>
        <v>0</v>
      </c>
    </row>
    <row r="46" spans="1:11">
      <c r="A46" s="14" t="s">
        <v>231</v>
      </c>
      <c r="B46" s="4">
        <v>2011</v>
      </c>
      <c r="C46" s="5">
        <v>90962523.890000001</v>
      </c>
      <c r="D46" s="8">
        <f>SUMPRODUCT(N(Tabela3[PAPEL]=Tabela2[[#This Row],[Ativo]]),Tabela3[Total Ações])</f>
        <v>10541442</v>
      </c>
      <c r="E46" s="66">
        <f>(Tabela2[[#This Row],[Lucro Líquido]])/Tabela2[[#This Row],[Total Ações]]</f>
        <v>8.6290399254675023</v>
      </c>
      <c r="F46" s="66">
        <v>6.0982784810000004</v>
      </c>
      <c r="G46" s="46">
        <f>IF(AND(Tabela2[[#This Row],[Dividendo / Ação]]&gt;0,Tabela2[[#This Row],[Lucro por ação]]&gt;0),Tabela2[[#This Row],[Dividendo / Ação]]/Tabela2[[#This Row],[Lucro por ação]],"")</f>
        <v>0.70671575675547815</v>
      </c>
      <c r="H46" s="6">
        <f>MAX(Tabela2[[#This Row],[Cotação 1]],Tabela2[[#This Row],[Cotação 2]])</f>
        <v>49.99</v>
      </c>
      <c r="I46" s="19">
        <f>IF(Tabela2[[#This Row],[Dividendo / Ação]]&gt;0,Tabela2[[#This Row],[Dividendo / Ação]]/Tabela2[[#This Row],[Cotação]],"")</f>
        <v>0.12198996761352271</v>
      </c>
      <c r="J46" s="61">
        <f>SUMPRODUCT(N(Tabela1[Código]=Tabela2[[#This Row],[Ativo]]),Tabela1[Fechamento])</f>
        <v>49.99</v>
      </c>
      <c r="K46" s="61">
        <f>SUMPRODUCT(N(Tabela17[Código]=Tabela2[[#This Row],[Ativo]]),Tabela17[Fechamento])</f>
        <v>0</v>
      </c>
    </row>
    <row r="47" spans="1:11">
      <c r="A47" s="14" t="s">
        <v>231</v>
      </c>
      <c r="B47" s="4">
        <v>2010</v>
      </c>
      <c r="C47" s="5">
        <v>54465018.079999998</v>
      </c>
      <c r="D47" s="8">
        <f>SUMPRODUCT(N(Tabela3[PAPEL]=Tabela2[[#This Row],[Ativo]]),Tabela3[Total Ações])</f>
        <v>10541442</v>
      </c>
      <c r="E47" s="66">
        <f>(Tabela2[[#This Row],[Lucro Líquido]])/Tabela2[[#This Row],[Total Ações]]</f>
        <v>5.1667521464330965</v>
      </c>
      <c r="F47" s="66">
        <v>2.4995539089999999</v>
      </c>
      <c r="G47" s="46">
        <f>IF(AND(Tabela2[[#This Row],[Dividendo / Ação]]&gt;0,Tabela2[[#This Row],[Lucro por ação]]&gt;0),Tabela2[[#This Row],[Dividendo / Ação]]/Tabela2[[#This Row],[Lucro por ação]],"")</f>
        <v>0.48377662372010322</v>
      </c>
      <c r="H47" s="6">
        <f>MAX(Tabela2[[#This Row],[Cotação 1]],Tabela2[[#This Row],[Cotação 2]])</f>
        <v>49.99</v>
      </c>
      <c r="I47" s="19">
        <f>IF(Tabela2[[#This Row],[Dividendo / Ação]]&gt;0,Tabela2[[#This Row],[Dividendo / Ação]]/Tabela2[[#This Row],[Cotação]],"")</f>
        <v>5.0001078395679133E-2</v>
      </c>
      <c r="J47" s="61">
        <f>SUMPRODUCT(N(Tabela1[Código]=Tabela2[[#This Row],[Ativo]]),Tabela1[Fechamento])</f>
        <v>49.99</v>
      </c>
      <c r="K47" s="61">
        <f>SUMPRODUCT(N(Tabela17[Código]=Tabela2[[#This Row],[Ativo]]),Tabela17[Fechamento])</f>
        <v>0</v>
      </c>
    </row>
    <row r="48" spans="1:11">
      <c r="A48" s="14" t="s">
        <v>231</v>
      </c>
      <c r="B48" s="4">
        <v>2009</v>
      </c>
      <c r="C48" s="5">
        <v>39114199.380000003</v>
      </c>
      <c r="D48" s="8">
        <f>SUMPRODUCT(N(Tabela3[PAPEL]=Tabela2[[#This Row],[Ativo]]),Tabela3[Total Ações])</f>
        <v>10541442</v>
      </c>
      <c r="E48" s="66">
        <f>(Tabela2[[#This Row],[Lucro Líquido]])/Tabela2[[#This Row],[Total Ações]]</f>
        <v>3.7105169653259966</v>
      </c>
      <c r="F48" s="66">
        <v>2.1790691309999999</v>
      </c>
      <c r="G48" s="46">
        <f>IF(AND(Tabela2[[#This Row],[Dividendo / Ação]]&gt;0,Tabela2[[#This Row],[Lucro por ação]]&gt;0),Tabela2[[#This Row],[Dividendo / Ação]]/Tabela2[[#This Row],[Lucro por ação]],"")</f>
        <v>0.58726833790626598</v>
      </c>
      <c r="H48" s="6">
        <f>MAX(Tabela2[[#This Row],[Cotação 1]],Tabela2[[#This Row],[Cotação 2]])</f>
        <v>49.99</v>
      </c>
      <c r="I48" s="19">
        <f>IF(Tabela2[[#This Row],[Dividendo / Ação]]&gt;0,Tabela2[[#This Row],[Dividendo / Ação]]/Tabela2[[#This Row],[Cotação]],"")</f>
        <v>4.359010064012802E-2</v>
      </c>
      <c r="J48" s="61">
        <f>SUMPRODUCT(N(Tabela1[Código]=Tabela2[[#This Row],[Ativo]]),Tabela1[Fechamento])</f>
        <v>49.99</v>
      </c>
      <c r="K48" s="61">
        <f>SUMPRODUCT(N(Tabela17[Código]=Tabela2[[#This Row],[Ativo]]),Tabela17[Fechamento])</f>
        <v>0</v>
      </c>
    </row>
    <row r="49" spans="1:11">
      <c r="A49" s="4" t="s">
        <v>237</v>
      </c>
      <c r="B49" s="4">
        <v>2012</v>
      </c>
      <c r="C49" s="6">
        <v>108819511.64</v>
      </c>
      <c r="D49" s="8">
        <f>SUMPRODUCT(N(Tabela3[PAPEL]=Tabela2[[#This Row],[Ativo]]),Tabela3[Total Ações])</f>
        <v>252903569</v>
      </c>
      <c r="E49" s="66">
        <f>(Tabela2[[#This Row],[Lucro Líquido]])/Tabela2[[#This Row],[Total Ações]]</f>
        <v>0.43028064835257424</v>
      </c>
      <c r="F49" s="66">
        <v>0.48572491200000001</v>
      </c>
      <c r="G49" s="46">
        <f>IF(AND(Tabela2[[#This Row],[Dividendo / Ação]]&gt;0,Tabela2[[#This Row],[Lucro por ação]]&gt;0),Tabela2[[#This Row],[Dividendo / Ação]]/Tabela2[[#This Row],[Lucro por ação]],"")</f>
        <v>1.1288560474650824</v>
      </c>
      <c r="H49" s="6">
        <f>MAX(Tabela2[[#This Row],[Cotação 1]],Tabela2[[#This Row],[Cotação 2]])</f>
        <v>9.65</v>
      </c>
      <c r="I49" s="19">
        <f>IF(Tabela2[[#This Row],[Dividendo / Ação]]&gt;0,Tabela2[[#This Row],[Dividendo / Ação]]/Tabela2[[#This Row],[Cotação]],"")</f>
        <v>5.0334187772020728E-2</v>
      </c>
      <c r="J49" s="61">
        <f>SUMPRODUCT(N(Tabela1[Código]=Tabela2[[#This Row],[Ativo]]),Tabela1[Fechamento])</f>
        <v>9.65</v>
      </c>
      <c r="K49" s="61">
        <f>SUMPRODUCT(N(Tabela17[Código]=Tabela2[[#This Row],[Ativo]]),Tabela17[Fechamento])</f>
        <v>0</v>
      </c>
    </row>
    <row r="50" spans="1:11">
      <c r="A50" s="4" t="s">
        <v>237</v>
      </c>
      <c r="B50" s="3">
        <v>2011</v>
      </c>
      <c r="C50" s="5">
        <v>232542541</v>
      </c>
      <c r="D50" s="62">
        <f>SUMPRODUCT(N(Tabela3[PAPEL]=Tabela2[[#This Row],[Ativo]]),Tabela3[Total Ações])</f>
        <v>252903569</v>
      </c>
      <c r="E50" s="66">
        <f>(Tabela2[[#This Row],[Lucro Líquido]])/Tabela2[[#This Row],[Total Ações]]</f>
        <v>0.91949094241528873</v>
      </c>
      <c r="F50" s="65">
        <v>0.46371743599999998</v>
      </c>
      <c r="G50" s="22">
        <f>IF(AND(Tabela2[[#This Row],[Dividendo / Ação]]&gt;0,Tabela2[[#This Row],[Lucro por ação]]&gt;0),Tabela2[[#This Row],[Dividendo / Ação]]/Tabela2[[#This Row],[Lucro por ação]],"")</f>
        <v>0.50431974325045792</v>
      </c>
      <c r="H50" s="5">
        <f>MAX(Tabela2[[#This Row],[Cotação 1]],Tabela2[[#This Row],[Cotação 2]])</f>
        <v>9.65</v>
      </c>
      <c r="I50" s="18">
        <f>IF(Tabela2[[#This Row],[Dividendo / Ação]]&gt;0,Tabela2[[#This Row],[Dividendo / Ação]]/Tabela2[[#This Row],[Cotação]],"")</f>
        <v>4.8053620310880826E-2</v>
      </c>
      <c r="J50" s="60">
        <f>SUMPRODUCT(N(Tabela1[Código]=Tabela2[[#This Row],[Ativo]]),Tabela1[Fechamento])</f>
        <v>9.65</v>
      </c>
      <c r="K50" s="60">
        <f>SUMPRODUCT(N(Tabela17[Código]=Tabela2[[#This Row],[Ativo]]),Tabela17[Fechamento])</f>
        <v>0</v>
      </c>
    </row>
    <row r="51" spans="1:11">
      <c r="A51" s="4" t="s">
        <v>237</v>
      </c>
      <c r="B51" s="3">
        <v>2010</v>
      </c>
      <c r="C51" s="5">
        <v>348395895.98000002</v>
      </c>
      <c r="D51" s="62">
        <f>SUMPRODUCT(N(Tabela3[PAPEL]=Tabela2[[#This Row],[Ativo]]),Tabela3[Total Ações])</f>
        <v>252903569</v>
      </c>
      <c r="E51" s="66">
        <f>(Tabela2[[#This Row],[Lucro Líquido]])/Tabela2[[#This Row],[Total Ações]]</f>
        <v>1.3775839437837274</v>
      </c>
      <c r="F51" s="65">
        <v>0.60299663000000003</v>
      </c>
      <c r="G51" s="22">
        <f>IF(AND(Tabela2[[#This Row],[Dividendo / Ação]]&gt;0,Tabela2[[#This Row],[Lucro por ação]]&gt;0),Tabela2[[#This Row],[Dividendo / Ação]]/Tabela2[[#This Row],[Lucro por ação]],"")</f>
        <v>0.43772042547460682</v>
      </c>
      <c r="H51" s="5">
        <f>MAX(Tabela2[[#This Row],[Cotação 1]],Tabela2[[#This Row],[Cotação 2]])</f>
        <v>9.65</v>
      </c>
      <c r="I51" s="18">
        <f>IF(Tabela2[[#This Row],[Dividendo / Ação]]&gt;0,Tabela2[[#This Row],[Dividendo / Ação]]/Tabela2[[#This Row],[Cotação]],"")</f>
        <v>6.2486697409326428E-2</v>
      </c>
      <c r="J51" s="60">
        <f>SUMPRODUCT(N(Tabela1[Código]=Tabela2[[#This Row],[Ativo]]),Tabela1[Fechamento])</f>
        <v>9.65</v>
      </c>
      <c r="K51" s="60">
        <f>SUMPRODUCT(N(Tabela17[Código]=Tabela2[[#This Row],[Ativo]]),Tabela17[Fechamento])</f>
        <v>0</v>
      </c>
    </row>
    <row r="52" spans="1:11">
      <c r="A52" s="4" t="s">
        <v>10</v>
      </c>
      <c r="B52" s="4">
        <v>2012</v>
      </c>
      <c r="C52" s="6">
        <v>108819511.64</v>
      </c>
      <c r="D52" s="8">
        <f>SUMPRODUCT(N(Tabela3[PAPEL]=Tabela2[[#This Row],[Ativo]]),Tabela3[Total Ações])</f>
        <v>252903569</v>
      </c>
      <c r="E52" s="66">
        <f>(Tabela2[[#This Row],[Lucro Líquido]])/Tabela2[[#This Row],[Total Ações]]</f>
        <v>0.43028064835257424</v>
      </c>
      <c r="F52" s="66">
        <v>0.48572491200000001</v>
      </c>
      <c r="G52" s="46">
        <f>IF(AND(Tabela2[[#This Row],[Dividendo / Ação]]&gt;0,Tabela2[[#This Row],[Lucro por ação]]&gt;0),Tabela2[[#This Row],[Dividendo / Ação]]/Tabela2[[#This Row],[Lucro por ação]],"")</f>
        <v>1.1288560474650824</v>
      </c>
      <c r="H52" s="6">
        <f>MAX(Tabela2[[#This Row],[Cotação 1]],Tabela2[[#This Row],[Cotação 2]])</f>
        <v>7.4</v>
      </c>
      <c r="I52" s="19">
        <f>IF(Tabela2[[#This Row],[Dividendo / Ação]]&gt;0,Tabela2[[#This Row],[Dividendo / Ação]]/Tabela2[[#This Row],[Cotação]],"")</f>
        <v>6.5638501621621617E-2</v>
      </c>
      <c r="J52" s="61">
        <f>SUMPRODUCT(N(Tabela1[Código]=Tabela2[[#This Row],[Ativo]]),Tabela1[Fechamento])</f>
        <v>7.4</v>
      </c>
      <c r="K52" s="61">
        <f>SUMPRODUCT(N(Tabela17[Código]=Tabela2[[#This Row],[Ativo]]),Tabela17[Fechamento])</f>
        <v>0</v>
      </c>
    </row>
    <row r="53" spans="1:11">
      <c r="A53" s="4" t="s">
        <v>10</v>
      </c>
      <c r="B53" s="4">
        <v>2011</v>
      </c>
      <c r="C53" s="5">
        <v>232542541</v>
      </c>
      <c r="D53" s="8">
        <f>SUMPRODUCT(N(Tabela3[PAPEL]=Tabela2[[#This Row],[Ativo]]),Tabela3[Total Ações])</f>
        <v>252903569</v>
      </c>
      <c r="E53" s="66">
        <f>(Tabela2[[#This Row],[Lucro Líquido]])/Tabela2[[#This Row],[Total Ações]]</f>
        <v>0.91949094241528873</v>
      </c>
      <c r="F53" s="65">
        <v>0.46371743599999998</v>
      </c>
      <c r="G53" s="46">
        <f>IF(AND(Tabela2[[#This Row],[Dividendo / Ação]]&gt;0,Tabela2[[#This Row],[Lucro por ação]]&gt;0),Tabela2[[#This Row],[Dividendo / Ação]]/Tabela2[[#This Row],[Lucro por ação]],"")</f>
        <v>0.50431974325045792</v>
      </c>
      <c r="H53" s="6">
        <f>MAX(Tabela2[[#This Row],[Cotação 1]],Tabela2[[#This Row],[Cotação 2]])</f>
        <v>7.4</v>
      </c>
      <c r="I53" s="19">
        <f>IF(Tabela2[[#This Row],[Dividendo / Ação]]&gt;0,Tabela2[[#This Row],[Dividendo / Ação]]/Tabela2[[#This Row],[Cotação]],"")</f>
        <v>6.2664518378378373E-2</v>
      </c>
      <c r="J53" s="61">
        <f>SUMPRODUCT(N(Tabela1[Código]=Tabela2[[#This Row],[Ativo]]),Tabela1[Fechamento])</f>
        <v>7.4</v>
      </c>
      <c r="K53" s="61">
        <f>SUMPRODUCT(N(Tabela17[Código]=Tabela2[[#This Row],[Ativo]]),Tabela17[Fechamento])</f>
        <v>0</v>
      </c>
    </row>
    <row r="54" spans="1:11">
      <c r="A54" s="4" t="s">
        <v>10</v>
      </c>
      <c r="B54" s="4">
        <v>2010</v>
      </c>
      <c r="C54" s="5">
        <v>348395895.98000002</v>
      </c>
      <c r="D54" s="8">
        <f>SUMPRODUCT(N(Tabela3[PAPEL]=Tabela2[[#This Row],[Ativo]]),Tabela3[Total Ações])</f>
        <v>252903569</v>
      </c>
      <c r="E54" s="66">
        <f>(Tabela2[[#This Row],[Lucro Líquido]])/Tabela2[[#This Row],[Total Ações]]</f>
        <v>1.3775839437837274</v>
      </c>
      <c r="F54" s="65">
        <v>0.60299663000000003</v>
      </c>
      <c r="G54" s="46">
        <f>IF(AND(Tabela2[[#This Row],[Dividendo / Ação]]&gt;0,Tabela2[[#This Row],[Lucro por ação]]&gt;0),Tabela2[[#This Row],[Dividendo / Ação]]/Tabela2[[#This Row],[Lucro por ação]],"")</f>
        <v>0.43772042547460682</v>
      </c>
      <c r="H54" s="6">
        <f>MAX(Tabela2[[#This Row],[Cotação 1]],Tabela2[[#This Row],[Cotação 2]])</f>
        <v>7.4</v>
      </c>
      <c r="I54" s="19">
        <f>IF(Tabela2[[#This Row],[Dividendo / Ação]]&gt;0,Tabela2[[#This Row],[Dividendo / Ação]]/Tabela2[[#This Row],[Cotação]],"")</f>
        <v>8.1486031081081087E-2</v>
      </c>
      <c r="J54" s="61">
        <f>SUMPRODUCT(N(Tabela1[Código]=Tabela2[[#This Row],[Ativo]]),Tabela1[Fechamento])</f>
        <v>7.4</v>
      </c>
      <c r="K54" s="61">
        <f>SUMPRODUCT(N(Tabela17[Código]=Tabela2[[#This Row],[Ativo]]),Tabela17[Fechamento])</f>
        <v>0</v>
      </c>
    </row>
    <row r="55" spans="1:11">
      <c r="A55" s="4" t="s">
        <v>241</v>
      </c>
      <c r="B55" s="4">
        <v>2012</v>
      </c>
      <c r="C55" s="6">
        <v>5431000</v>
      </c>
      <c r="D55" s="8">
        <f>SUMPRODUCT(N(Tabela3[PAPEL]=Tabela2[[#This Row],[Ativo]]),Tabela3[Total Ações])</f>
        <v>182520000</v>
      </c>
      <c r="E55" s="66">
        <f>(Tabela2[[#This Row],[Lucro Líquido]])/Tabela2[[#This Row],[Total Ações]]</f>
        <v>2.9755643217181677E-2</v>
      </c>
      <c r="F55" s="66">
        <v>8.9999999999999993E-3</v>
      </c>
      <c r="G55" s="46">
        <f>IF(AND(Tabela2[[#This Row],[Dividendo / Ação]]&gt;0,Tabela2[[#This Row],[Lucro por ação]]&gt;0),Tabela2[[#This Row],[Dividendo / Ação]]/Tabela2[[#This Row],[Lucro por ação]],"")</f>
        <v>0.30246363468974408</v>
      </c>
      <c r="H55" s="6">
        <f>MAX(Tabela2[[#This Row],[Cotação 1]],Tabela2[[#This Row],[Cotação 2]])</f>
        <v>1.1000000000000001</v>
      </c>
      <c r="I55" s="19">
        <f>IF(Tabela2[[#This Row],[Dividendo / Ação]]&gt;0,Tabela2[[#This Row],[Dividendo / Ação]]/Tabela2[[#This Row],[Cotação]],"")</f>
        <v>8.1818181818181807E-3</v>
      </c>
      <c r="J55" s="61">
        <f>SUMPRODUCT(N(Tabela1[Código]=Tabela2[[#This Row],[Ativo]]),Tabela1[Fechamento])</f>
        <v>1.1000000000000001</v>
      </c>
      <c r="K55" s="61">
        <f>SUMPRODUCT(N(Tabela17[Código]=Tabela2[[#This Row],[Ativo]]),Tabela17[Fechamento])</f>
        <v>0</v>
      </c>
    </row>
    <row r="56" spans="1:11">
      <c r="A56" s="4" t="s">
        <v>241</v>
      </c>
      <c r="B56" s="3">
        <v>2011</v>
      </c>
      <c r="C56" s="5">
        <v>5361000</v>
      </c>
      <c r="D56" s="62">
        <f>SUMPRODUCT(N(Tabela3[PAPEL]=Tabela2[[#This Row],[Ativo]]),Tabela3[Total Ações])</f>
        <v>182520000</v>
      </c>
      <c r="E56" s="65">
        <f>(Tabela2[[#This Row],[Lucro Líquido]])/Tabela2[[#This Row],[Total Ações]]</f>
        <v>2.9372123602892833E-2</v>
      </c>
      <c r="F56" s="65">
        <v>8.9999999999999993E-3</v>
      </c>
      <c r="G56" s="22">
        <f>IF(AND(Tabela2[[#This Row],[Dividendo / Ação]]&gt;0,Tabela2[[#This Row],[Lucro por ação]]&gt;0),Tabela2[[#This Row],[Dividendo / Ação]]/Tabela2[[#This Row],[Lucro por ação]],"")</f>
        <v>0.30641298265249017</v>
      </c>
      <c r="H56" s="5">
        <f>MAX(Tabela2[[#This Row],[Cotação 1]],Tabela2[[#This Row],[Cotação 2]])</f>
        <v>1.1000000000000001</v>
      </c>
      <c r="I56" s="18">
        <f>IF(Tabela2[[#This Row],[Dividendo / Ação]]&gt;0,Tabela2[[#This Row],[Dividendo / Ação]]/Tabela2[[#This Row],[Cotação]],"")</f>
        <v>8.1818181818181807E-3</v>
      </c>
      <c r="J56" s="60">
        <f>SUMPRODUCT(N(Tabela1[Código]=Tabela2[[#This Row],[Ativo]]),Tabela1[Fechamento])</f>
        <v>1.1000000000000001</v>
      </c>
      <c r="K56" s="60">
        <f>SUMPRODUCT(N(Tabela17[Código]=Tabela2[[#This Row],[Ativo]]),Tabela17[Fechamento])</f>
        <v>0</v>
      </c>
    </row>
    <row r="57" spans="1:11">
      <c r="A57" s="4" t="s">
        <v>241</v>
      </c>
      <c r="B57" s="3">
        <v>2010</v>
      </c>
      <c r="C57" s="5">
        <v>2644000</v>
      </c>
      <c r="D57" s="62">
        <f>SUMPRODUCT(N(Tabela3[PAPEL]=Tabela2[[#This Row],[Ativo]]),Tabela3[Total Ações])</f>
        <v>182520000</v>
      </c>
      <c r="E57" s="65">
        <f>(Tabela2[[#This Row],[Lucro Líquido]])/Tabela2[[#This Row],[Total Ações]]</f>
        <v>1.4486083716852947E-2</v>
      </c>
      <c r="F57" s="65">
        <v>3.9100000000000003E-3</v>
      </c>
      <c r="G57" s="22">
        <f>IF(AND(Tabela2[[#This Row],[Dividendo / Ação]]&gt;0,Tabela2[[#This Row],[Lucro por ação]]&gt;0),Tabela2[[#This Row],[Dividendo / Ação]]/Tabela2[[#This Row],[Lucro por ação]],"")</f>
        <v>0.26991422087745842</v>
      </c>
      <c r="H57" s="5">
        <f>MAX(Tabela2[[#This Row],[Cotação 1]],Tabela2[[#This Row],[Cotação 2]])</f>
        <v>1.1000000000000001</v>
      </c>
      <c r="I57" s="18">
        <f>IF(Tabela2[[#This Row],[Dividendo / Ação]]&gt;0,Tabela2[[#This Row],[Dividendo / Ação]]/Tabela2[[#This Row],[Cotação]],"")</f>
        <v>3.5545454545454543E-3</v>
      </c>
      <c r="J57" s="60">
        <f>SUMPRODUCT(N(Tabela1[Código]=Tabela2[[#This Row],[Ativo]]),Tabela1[Fechamento])</f>
        <v>1.1000000000000001</v>
      </c>
      <c r="K57" s="60">
        <f>SUMPRODUCT(N(Tabela17[Código]=Tabela2[[#This Row],[Ativo]]),Tabela17[Fechamento])</f>
        <v>0</v>
      </c>
    </row>
    <row r="58" spans="1:11">
      <c r="A58" s="4" t="s">
        <v>63</v>
      </c>
      <c r="B58" s="4">
        <v>2012</v>
      </c>
      <c r="C58" s="6">
        <v>5431000</v>
      </c>
      <c r="D58" s="8">
        <f>SUMPRODUCT(N(Tabela3[PAPEL]=Tabela2[[#This Row],[Ativo]]),Tabela3[Total Ações])</f>
        <v>182520000</v>
      </c>
      <c r="E58" s="66">
        <f>(Tabela2[[#This Row],[Lucro Líquido]])/Tabela2[[#This Row],[Total Ações]]</f>
        <v>2.9755643217181677E-2</v>
      </c>
      <c r="F58" s="66">
        <v>1.2352500000000001E-2</v>
      </c>
      <c r="G58" s="46">
        <f>IF(AND(Tabela2[[#This Row],[Dividendo / Ação]]&gt;0,Tabela2[[#This Row],[Lucro por ação]]&gt;0),Tabela2[[#This Row],[Dividendo / Ação]]/Tabela2[[#This Row],[Lucro por ação]],"")</f>
        <v>0.41513133861167378</v>
      </c>
      <c r="H58" s="6">
        <f>MAX(Tabela2[[#This Row],[Cotação 1]],Tabela2[[#This Row],[Cotação 2]])</f>
        <v>0.26</v>
      </c>
      <c r="I58" s="19">
        <f>IF(Tabela2[[#This Row],[Dividendo / Ação]]&gt;0,Tabela2[[#This Row],[Dividendo / Ação]]/Tabela2[[#This Row],[Cotação]],"")</f>
        <v>4.7509615384615386E-2</v>
      </c>
      <c r="J58" s="61">
        <f>SUMPRODUCT(N(Tabela1[Código]=Tabela2[[#This Row],[Ativo]]),Tabela1[Fechamento])</f>
        <v>0.26</v>
      </c>
      <c r="K58" s="61">
        <f>SUMPRODUCT(N(Tabela17[Código]=Tabela2[[#This Row],[Ativo]]),Tabela17[Fechamento])</f>
        <v>0</v>
      </c>
    </row>
    <row r="59" spans="1:11">
      <c r="A59" s="4" t="s">
        <v>63</v>
      </c>
      <c r="B59" s="4">
        <v>2011</v>
      </c>
      <c r="C59" s="5">
        <v>5361000</v>
      </c>
      <c r="D59" s="8">
        <f>SUMPRODUCT(N(Tabela3[PAPEL]=Tabela2[[#This Row],[Ativo]]),Tabela3[Total Ações])</f>
        <v>182520000</v>
      </c>
      <c r="E59" s="66">
        <f>(Tabela2[[#This Row],[Lucro Líquido]])/Tabela2[[#This Row],[Total Ações]]</f>
        <v>2.9372123602892833E-2</v>
      </c>
      <c r="F59" s="66">
        <v>1.1599999999999999E-2</v>
      </c>
      <c r="G59" s="46">
        <f>IF(AND(Tabela2[[#This Row],[Dividendo / Ação]]&gt;0,Tabela2[[#This Row],[Lucro por ação]]&gt;0),Tabela2[[#This Row],[Dividendo / Ação]]/Tabela2[[#This Row],[Lucro por ação]],"")</f>
        <v>0.39493228875209846</v>
      </c>
      <c r="H59" s="6">
        <f>MAX(Tabela2[[#This Row],[Cotação 1]],Tabela2[[#This Row],[Cotação 2]])</f>
        <v>0.26</v>
      </c>
      <c r="I59" s="19">
        <f>IF(Tabela2[[#This Row],[Dividendo / Ação]]&gt;0,Tabela2[[#This Row],[Dividendo / Ação]]/Tabela2[[#This Row],[Cotação]],"")</f>
        <v>4.4615384615384612E-2</v>
      </c>
      <c r="J59" s="61">
        <f>SUMPRODUCT(N(Tabela1[Código]=Tabela2[[#This Row],[Ativo]]),Tabela1[Fechamento])</f>
        <v>0.26</v>
      </c>
      <c r="K59" s="61">
        <f>SUMPRODUCT(N(Tabela17[Código]=Tabela2[[#This Row],[Ativo]]),Tabela17[Fechamento])</f>
        <v>0</v>
      </c>
    </row>
    <row r="60" spans="1:11">
      <c r="A60" s="4" t="s">
        <v>63</v>
      </c>
      <c r="B60" s="4">
        <v>2010</v>
      </c>
      <c r="C60" s="5">
        <v>2644000</v>
      </c>
      <c r="D60" s="8">
        <f>SUMPRODUCT(N(Tabela3[PAPEL]=Tabela2[[#This Row],[Ativo]]),Tabela3[Total Ações])</f>
        <v>182520000</v>
      </c>
      <c r="E60" s="66">
        <f>(Tabela2[[#This Row],[Lucro Líquido]])/Tabela2[[#This Row],[Total Ações]]</f>
        <v>1.4486083716852947E-2</v>
      </c>
      <c r="F60" s="66">
        <v>9.8600000000000007E-3</v>
      </c>
      <c r="G60" s="46">
        <f>IF(AND(Tabela2[[#This Row],[Dividendo / Ação]]&gt;0,Tabela2[[#This Row],[Lucro por ação]]&gt;0),Tabela2[[#This Row],[Dividendo / Ação]]/Tabela2[[#This Row],[Lucro por ação]],"")</f>
        <v>0.68065325264750387</v>
      </c>
      <c r="H60" s="6">
        <f>MAX(Tabela2[[#This Row],[Cotação 1]],Tabela2[[#This Row],[Cotação 2]])</f>
        <v>0.26</v>
      </c>
      <c r="I60" s="19">
        <f>IF(Tabela2[[#This Row],[Dividendo / Ação]]&gt;0,Tabela2[[#This Row],[Dividendo / Ação]]/Tabela2[[#This Row],[Cotação]],"")</f>
        <v>3.7923076923076927E-2</v>
      </c>
      <c r="J60" s="61">
        <f>SUMPRODUCT(N(Tabela1[Código]=Tabela2[[#This Row],[Ativo]]),Tabela1[Fechamento])</f>
        <v>0.26</v>
      </c>
      <c r="K60" s="61">
        <f>SUMPRODUCT(N(Tabela17[Código]=Tabela2[[#This Row],[Ativo]]),Tabela17[Fechamento])</f>
        <v>0</v>
      </c>
    </row>
    <row r="61" spans="1:11">
      <c r="A61" s="14" t="s">
        <v>243</v>
      </c>
      <c r="B61" s="3">
        <v>2012</v>
      </c>
      <c r="C61" s="5">
        <v>508363303.81999999</v>
      </c>
      <c r="D61" s="62">
        <f>SUMPRODUCT(N(Tabela3[PAPEL]=Tabela2[[#This Row],[Ativo]]),Tabela3[Total Ações])</f>
        <v>87001901</v>
      </c>
      <c r="E61" s="65">
        <f>(Tabela2[[#This Row],[Lucro Líquido]])/Tabela2[[#This Row],[Total Ações]]</f>
        <v>5.8431286900271298</v>
      </c>
      <c r="F61" s="65">
        <v>2.09879358938</v>
      </c>
      <c r="G61" s="22">
        <f>IF(AND(Tabela2[[#This Row],[Dividendo / Ação]]&gt;0,Tabela2[[#This Row],[Lucro por ação]]&gt;0),Tabela2[[#This Row],[Dividendo / Ação]]/Tabela2[[#This Row],[Lucro por ação]],"")</f>
        <v>0.35919003340832723</v>
      </c>
      <c r="H61" s="5">
        <f>MAX(Tabela2[[#This Row],[Cotação 1]],Tabela2[[#This Row],[Cotação 2]])</f>
        <v>28.74</v>
      </c>
      <c r="I61" s="18">
        <f>IF(Tabela2[[#This Row],[Dividendo / Ação]]&gt;0,Tabela2[[#This Row],[Dividendo / Ação]]/Tabela2[[#This Row],[Cotação]],"")</f>
        <v>7.3026916819067506E-2</v>
      </c>
      <c r="J61" s="60">
        <f>SUMPRODUCT(N(Tabela1[Código]=Tabela2[[#This Row],[Ativo]]),Tabela1[Fechamento])</f>
        <v>28.74</v>
      </c>
      <c r="K61" s="60">
        <f>SUMPRODUCT(N(Tabela17[Código]=Tabela2[[#This Row],[Ativo]]),Tabela17[Fechamento])</f>
        <v>0</v>
      </c>
    </row>
    <row r="62" spans="1:11">
      <c r="A62" s="14" t="s">
        <v>243</v>
      </c>
      <c r="B62" s="4">
        <v>2011</v>
      </c>
      <c r="C62" s="6">
        <v>314799260.60000002</v>
      </c>
      <c r="D62" s="8">
        <f>SUMPRODUCT(N(Tabela3[PAPEL]=Tabela2[[#This Row],[Ativo]]),Tabela3[Total Ações])</f>
        <v>87001901</v>
      </c>
      <c r="E62" s="66">
        <f>(Tabela2[[#This Row],[Lucro Líquido]])/Tabela2[[#This Row],[Total Ações]]</f>
        <v>3.6183032437417664</v>
      </c>
      <c r="F62" s="66">
        <v>1.8628371749999999</v>
      </c>
      <c r="G62" s="46">
        <f>IF(AND(Tabela2[[#This Row],[Dividendo / Ação]]&gt;0,Tabela2[[#This Row],[Lucro por ação]]&gt;0),Tabela2[[#This Row],[Dividendo / Ação]]/Tabela2[[#This Row],[Lucro por ação]],"")</f>
        <v>0.51483721775447411</v>
      </c>
      <c r="H62" s="6">
        <f>MAX(Tabela2[[#This Row],[Cotação 1]],Tabela2[[#This Row],[Cotação 2]])</f>
        <v>28.74</v>
      </c>
      <c r="I62" s="19">
        <f>IF(Tabela2[[#This Row],[Dividendo / Ação]]&gt;0,Tabela2[[#This Row],[Dividendo / Ação]]/Tabela2[[#This Row],[Cotação]],"")</f>
        <v>6.4816881524008357E-2</v>
      </c>
      <c r="J62" s="61">
        <f>SUMPRODUCT(N(Tabela1[Código]=Tabela2[[#This Row],[Ativo]]),Tabela1[Fechamento])</f>
        <v>28.74</v>
      </c>
      <c r="K62" s="61">
        <f>SUMPRODUCT(N(Tabela17[Código]=Tabela2[[#This Row],[Ativo]]),Tabela17[Fechamento])</f>
        <v>0</v>
      </c>
    </row>
    <row r="63" spans="1:11">
      <c r="A63" s="14" t="s">
        <v>243</v>
      </c>
      <c r="B63" s="4">
        <v>2010</v>
      </c>
      <c r="C63" s="6">
        <v>313589945.75999999</v>
      </c>
      <c r="D63" s="8">
        <f>SUMPRODUCT(N(Tabela3[PAPEL]=Tabela2[[#This Row],[Ativo]]),Tabela3[Total Ações])</f>
        <v>87001901</v>
      </c>
      <c r="E63" s="66">
        <f>(Tabela2[[#This Row],[Lucro Líquido]])/Tabela2[[#This Row],[Total Ações]]</f>
        <v>3.6044033768871326</v>
      </c>
      <c r="F63" s="66">
        <v>2.2732746009999998</v>
      </c>
      <c r="G63" s="46">
        <f>IF(AND(Tabela2[[#This Row],[Dividendo / Ação]]&gt;0,Tabela2[[#This Row],[Lucro por ação]]&gt;0),Tabela2[[#This Row],[Dividendo / Ação]]/Tabela2[[#This Row],[Lucro por ação]],"")</f>
        <v>0.63069372744935825</v>
      </c>
      <c r="H63" s="6">
        <f>MAX(Tabela2[[#This Row],[Cotação 1]],Tabela2[[#This Row],[Cotação 2]])</f>
        <v>28.74</v>
      </c>
      <c r="I63" s="19">
        <f>IF(Tabela2[[#This Row],[Dividendo / Ação]]&gt;0,Tabela2[[#This Row],[Dividendo / Ação]]/Tabela2[[#This Row],[Cotação]],"")</f>
        <v>7.9097933228949202E-2</v>
      </c>
      <c r="J63" s="61">
        <f>SUMPRODUCT(N(Tabela1[Código]=Tabela2[[#This Row],[Ativo]]),Tabela1[Fechamento])</f>
        <v>28.74</v>
      </c>
      <c r="K63" s="61">
        <f>SUMPRODUCT(N(Tabela17[Código]=Tabela2[[#This Row],[Ativo]]),Tabela17[Fechamento])</f>
        <v>0</v>
      </c>
    </row>
    <row r="64" spans="1:11">
      <c r="A64" s="14" t="s">
        <v>243</v>
      </c>
      <c r="B64" s="3">
        <v>2009</v>
      </c>
      <c r="C64" s="5">
        <v>459012514.60000002</v>
      </c>
      <c r="D64" s="62">
        <f>SUMPRODUCT(N(Tabela3[PAPEL]=Tabela2[[#This Row],[Ativo]]),Tabela3[Total Ações])</f>
        <v>87001901</v>
      </c>
      <c r="E64" s="65">
        <f>(Tabela2[[#This Row],[Lucro Líquido]])/Tabela2[[#This Row],[Total Ações]]</f>
        <v>5.2758906337000617</v>
      </c>
      <c r="F64" s="65">
        <v>2.646819604</v>
      </c>
      <c r="G64" s="22">
        <f>IF(AND(Tabela2[[#This Row],[Dividendo / Ação]]&gt;0,Tabela2[[#This Row],[Lucro por ação]]&gt;0),Tabela2[[#This Row],[Dividendo / Ação]]/Tabela2[[#This Row],[Lucro por ação]],"")</f>
        <v>0.50168204532013683</v>
      </c>
      <c r="H64" s="5">
        <f>MAX(Tabela2[[#This Row],[Cotação 1]],Tabela2[[#This Row],[Cotação 2]])</f>
        <v>28.74</v>
      </c>
      <c r="I64" s="18">
        <f>IF(Tabela2[[#This Row],[Dividendo / Ação]]&gt;0,Tabela2[[#This Row],[Dividendo / Ação]]/Tabela2[[#This Row],[Cotação]],"")</f>
        <v>9.2095323729993045E-2</v>
      </c>
      <c r="J64" s="60">
        <f>SUMPRODUCT(N(Tabela1[Código]=Tabela2[[#This Row],[Ativo]]),Tabela1[Fechamento])</f>
        <v>28.74</v>
      </c>
      <c r="K64" s="60">
        <f>SUMPRODUCT(N(Tabela17[Código]=Tabela2[[#This Row],[Ativo]]),Tabela17[Fechamento])</f>
        <v>0</v>
      </c>
    </row>
    <row r="65" spans="1:14">
      <c r="A65" s="14" t="s">
        <v>244</v>
      </c>
      <c r="B65" s="4">
        <v>2012</v>
      </c>
      <c r="C65" s="5">
        <v>508363303.81999999</v>
      </c>
      <c r="D65" s="8">
        <f>SUMPRODUCT(N(Tabela3[PAPEL]=Tabela2[[#This Row],[Ativo]]),Tabela3[Total Ações])</f>
        <v>87001901</v>
      </c>
      <c r="E65" s="66">
        <f>(Tabela2[[#This Row],[Lucro Líquido]])/Tabela2[[#This Row],[Total Ações]]</f>
        <v>5.8431286900271298</v>
      </c>
      <c r="F65" s="66">
        <v>2.308672948101</v>
      </c>
      <c r="G65" s="46">
        <f>IF(AND(Tabela2[[#This Row],[Dividendo / Ação]]&gt;0,Tabela2[[#This Row],[Lucro por ação]]&gt;0),Tabela2[[#This Row],[Dividendo / Ação]]/Tabela2[[#This Row],[Lucro por ação]],"")</f>
        <v>0.3951090367120223</v>
      </c>
      <c r="H65" s="6">
        <f>MAX(Tabela2[[#This Row],[Cotação 1]],Tabela2[[#This Row],[Cotação 2]])</f>
        <v>25</v>
      </c>
      <c r="I65" s="19">
        <f>IF(Tabela2[[#This Row],[Dividendo / Ação]]&gt;0,Tabela2[[#This Row],[Dividendo / Ação]]/Tabela2[[#This Row],[Cotação]],"")</f>
        <v>9.2346917924039998E-2</v>
      </c>
      <c r="J65" s="61">
        <f>SUMPRODUCT(N(Tabela1[Código]=Tabela2[[#This Row],[Ativo]]),Tabela1[Fechamento])</f>
        <v>25</v>
      </c>
      <c r="K65" s="61">
        <f>SUMPRODUCT(N(Tabela17[Código]=Tabela2[[#This Row],[Ativo]]),Tabela17[Fechamento])</f>
        <v>0</v>
      </c>
    </row>
    <row r="66" spans="1:14">
      <c r="A66" s="14" t="s">
        <v>244</v>
      </c>
      <c r="B66" s="4">
        <v>2011</v>
      </c>
      <c r="C66" s="6">
        <v>314799260.60000002</v>
      </c>
      <c r="D66" s="8">
        <f>SUMPRODUCT(N(Tabela3[PAPEL]=Tabela2[[#This Row],[Ativo]]),Tabela3[Total Ações])</f>
        <v>87001901</v>
      </c>
      <c r="E66" s="66">
        <f>(Tabela2[[#This Row],[Lucro Líquido]])/Tabela2[[#This Row],[Total Ações]]</f>
        <v>3.6183032437417664</v>
      </c>
      <c r="F66" s="66">
        <v>2.0491208919999999</v>
      </c>
      <c r="G66" s="46">
        <f>IF(AND(Tabela2[[#This Row],[Dividendo / Ação]]&gt;0,Tabela2[[#This Row],[Lucro por ação]]&gt;0),Tabela2[[#This Row],[Dividendo / Ação]]/Tabela2[[#This Row],[Lucro por ação]],"")</f>
        <v>0.56632093939173522</v>
      </c>
      <c r="H66" s="6">
        <f>MAX(Tabela2[[#This Row],[Cotação 1]],Tabela2[[#This Row],[Cotação 2]])</f>
        <v>25</v>
      </c>
      <c r="I66" s="19">
        <f>IF(Tabela2[[#This Row],[Dividendo / Ação]]&gt;0,Tabela2[[#This Row],[Dividendo / Ação]]/Tabela2[[#This Row],[Cotação]],"")</f>
        <v>8.1964835680000001E-2</v>
      </c>
      <c r="J66" s="61">
        <f>SUMPRODUCT(N(Tabela1[Código]=Tabela2[[#This Row],[Ativo]]),Tabela1[Fechamento])</f>
        <v>25</v>
      </c>
      <c r="K66" s="61">
        <f>SUMPRODUCT(N(Tabela17[Código]=Tabela2[[#This Row],[Ativo]]),Tabela17[Fechamento])</f>
        <v>0</v>
      </c>
    </row>
    <row r="67" spans="1:14">
      <c r="A67" s="14" t="s">
        <v>244</v>
      </c>
      <c r="B67" s="4">
        <v>2010</v>
      </c>
      <c r="C67" s="6">
        <v>313589945.75999999</v>
      </c>
      <c r="D67" s="8">
        <f>SUMPRODUCT(N(Tabela3[PAPEL]=Tabela2[[#This Row],[Ativo]]),Tabela3[Total Ações])</f>
        <v>87001901</v>
      </c>
      <c r="E67" s="66">
        <f>(Tabela2[[#This Row],[Lucro Líquido]])/Tabela2[[#This Row],[Total Ações]]</f>
        <v>3.6044033768871326</v>
      </c>
      <c r="F67" s="66">
        <v>2.5006020599999998</v>
      </c>
      <c r="G67" s="46">
        <f>IF(AND(Tabela2[[#This Row],[Dividendo / Ação]]&gt;0,Tabela2[[#This Row],[Lucro por ação]]&gt;0),Tabela2[[#This Row],[Dividendo / Ação]]/Tabela2[[#This Row],[Lucro por ação]],"")</f>
        <v>0.69376309988911189</v>
      </c>
      <c r="H67" s="6">
        <f>MAX(Tabela2[[#This Row],[Cotação 1]],Tabela2[[#This Row],[Cotação 2]])</f>
        <v>25</v>
      </c>
      <c r="I67" s="19">
        <f>IF(Tabela2[[#This Row],[Dividendo / Ação]]&gt;0,Tabela2[[#This Row],[Dividendo / Ação]]/Tabela2[[#This Row],[Cotação]],"")</f>
        <v>0.10002408239999999</v>
      </c>
      <c r="J67" s="61">
        <f>SUMPRODUCT(N(Tabela1[Código]=Tabela2[[#This Row],[Ativo]]),Tabela1[Fechamento])</f>
        <v>25</v>
      </c>
      <c r="K67" s="61">
        <f>SUMPRODUCT(N(Tabela17[Código]=Tabela2[[#This Row],[Ativo]]),Tabela17[Fechamento])</f>
        <v>0</v>
      </c>
    </row>
    <row r="68" spans="1:14">
      <c r="A68" s="14" t="s">
        <v>244</v>
      </c>
      <c r="B68" s="4">
        <v>2009</v>
      </c>
      <c r="C68" s="5">
        <v>459012514.60000002</v>
      </c>
      <c r="D68" s="8">
        <f>SUMPRODUCT(N(Tabela3[PAPEL]=Tabela2[[#This Row],[Ativo]]),Tabela3[Total Ações])</f>
        <v>87001901</v>
      </c>
      <c r="E68" s="66">
        <f>(Tabela2[[#This Row],[Lucro Líquido]])/Tabela2[[#This Row],[Total Ações]]</f>
        <v>5.2758906337000617</v>
      </c>
      <c r="F68" s="66">
        <v>2.911501565</v>
      </c>
      <c r="G68" s="46">
        <f>IF(AND(Tabela2[[#This Row],[Dividendo / Ação]]&gt;0,Tabela2[[#This Row],[Lucro por ação]]&gt;0),Tabela2[[#This Row],[Dividendo / Ação]]/Tabela2[[#This Row],[Lucro por ação]],"")</f>
        <v>0.55185024996587539</v>
      </c>
      <c r="H68" s="6">
        <f>MAX(Tabela2[[#This Row],[Cotação 1]],Tabela2[[#This Row],[Cotação 2]])</f>
        <v>25</v>
      </c>
      <c r="I68" s="19">
        <f>IF(Tabela2[[#This Row],[Dividendo / Ação]]&gt;0,Tabela2[[#This Row],[Dividendo / Ação]]/Tabela2[[#This Row],[Cotação]],"")</f>
        <v>0.1164600626</v>
      </c>
      <c r="J68" s="61">
        <f>SUMPRODUCT(N(Tabela1[Código]=Tabela2[[#This Row],[Ativo]]),Tabela1[Fechamento])</f>
        <v>25</v>
      </c>
      <c r="K68" s="61">
        <f>SUMPRODUCT(N(Tabela17[Código]=Tabela2[[#This Row],[Ativo]]),Tabela17[Fechamento])</f>
        <v>0</v>
      </c>
      <c r="N68" s="3">
        <v>0.51486764249999994</v>
      </c>
    </row>
    <row r="69" spans="1:14">
      <c r="A69" s="10" t="s">
        <v>359</v>
      </c>
      <c r="B69" s="3">
        <v>2012</v>
      </c>
      <c r="C69" s="5">
        <v>476737173.38</v>
      </c>
      <c r="D69" s="62">
        <f>SUMPRODUCT(N(Tabela3[PAPEL]=Tabela2[[#This Row],[Ativo]]),Tabela3[Total Ações])</f>
        <v>349547945</v>
      </c>
      <c r="E69" s="65">
        <f>(Tabela2[[#This Row],[Lucro Líquido]])/Tabela2[[#This Row],[Total Ações]]</f>
        <v>1.3638677617744255</v>
      </c>
      <c r="F69" s="65">
        <v>0.59109131800000003</v>
      </c>
      <c r="G69" s="22">
        <f>IF(AND(Tabela2[[#This Row],[Dividendo / Ação]]&gt;0,Tabela2[[#This Row],[Lucro por ação]]&gt;0),Tabela2[[#This Row],[Dividendo / Ação]]/Tabela2[[#This Row],[Lucro por ação]],"")</f>
        <v>0.43339342315047885</v>
      </c>
      <c r="H69" s="51">
        <f>MAX(Tabela2[[#This Row],[Cotação 1]],Tabela2[[#This Row],[Cotação 2]])</f>
        <v>19.510000000000002</v>
      </c>
      <c r="I69" s="18">
        <f>IF(Tabela2[[#This Row],[Dividendo / Ação]]&gt;0,Tabela2[[#This Row],[Dividendo / Ação]]/Tabela2[[#This Row],[Cotação]],"")</f>
        <v>3.0296838441824705E-2</v>
      </c>
      <c r="J69" s="7">
        <f>SUMPRODUCT(N(Tabela1[Código]=Tabela2[[#This Row],[Ativo]]),Tabela1[Fechamento])</f>
        <v>0</v>
      </c>
      <c r="K69" s="7">
        <f>SUMPRODUCT(N(Tabela17[Código]=Tabela2[[#This Row],[Ativo]]),Tabela17[Fechamento])</f>
        <v>19.510000000000002</v>
      </c>
      <c r="N69" s="3">
        <v>3.1891227100000002E-2</v>
      </c>
    </row>
    <row r="70" spans="1:14">
      <c r="A70" s="10" t="s">
        <v>359</v>
      </c>
      <c r="B70" s="3">
        <v>2011</v>
      </c>
      <c r="C70" s="5">
        <v>2023882601.55</v>
      </c>
      <c r="D70" s="62">
        <f>SUMPRODUCT(N(Tabela3[PAPEL]=Tabela2[[#This Row],[Ativo]]),Tabela3[Total Ações])</f>
        <v>349547945</v>
      </c>
      <c r="E70" s="65">
        <f>(Tabela2[[#This Row],[Lucro Líquido]])/Tabela2[[#This Row],[Total Ações]]</f>
        <v>5.79</v>
      </c>
      <c r="F70" s="65">
        <v>1.7780234450000001</v>
      </c>
      <c r="G70" s="22">
        <f>IF(AND(Tabela2[[#This Row],[Dividendo / Ação]]&gt;0,Tabela2[[#This Row],[Lucro por ação]]&gt;0),Tabela2[[#This Row],[Dividendo / Ação]]/Tabela2[[#This Row],[Lucro por ação]],"")</f>
        <v>0.30708522366148533</v>
      </c>
      <c r="H70" s="51">
        <f>MAX(Tabela2[[#This Row],[Cotação 1]],Tabela2[[#This Row],[Cotação 2]])</f>
        <v>19.510000000000002</v>
      </c>
      <c r="I70" s="18">
        <f>IF(Tabela2[[#This Row],[Dividendo / Ação]]&gt;0,Tabela2[[#This Row],[Dividendo / Ação]]/Tabela2[[#This Row],[Cotação]],"")</f>
        <v>9.1133954126089184E-2</v>
      </c>
      <c r="J70" s="7">
        <f>SUMPRODUCT(N(Tabela1[Código]=Tabela2[[#This Row],[Ativo]]),Tabela1[Fechamento])</f>
        <v>0</v>
      </c>
      <c r="K70" s="7">
        <f>SUMPRODUCT(N(Tabela17[Código]=Tabela2[[#This Row],[Ativo]]),Tabela17[Fechamento])</f>
        <v>19.510000000000002</v>
      </c>
      <c r="N70" s="3">
        <v>7.8275895100000006E-2</v>
      </c>
    </row>
    <row r="71" spans="1:14">
      <c r="A71" s="10" t="s">
        <v>359</v>
      </c>
      <c r="B71" s="3">
        <v>2010</v>
      </c>
      <c r="C71" s="5">
        <v>1758226163.3499999</v>
      </c>
      <c r="D71" s="62">
        <f>SUMPRODUCT(N(Tabela3[PAPEL]=Tabela2[[#This Row],[Ativo]]),Tabela3[Total Ações])</f>
        <v>349547945</v>
      </c>
      <c r="E71" s="65">
        <f>(Tabela2[[#This Row],[Lucro Líquido]])/Tabela2[[#This Row],[Total Ações]]</f>
        <v>5.0299999999999994</v>
      </c>
      <c r="F71" s="65">
        <v>1.5299646339999999</v>
      </c>
      <c r="G71" s="22">
        <f>IF(AND(Tabela2[[#This Row],[Dividendo / Ação]]&gt;0,Tabela2[[#This Row],[Lucro por ação]]&gt;0),Tabela2[[#This Row],[Dividendo / Ação]]/Tabela2[[#This Row],[Lucro por ação]],"")</f>
        <v>0.30416791928429426</v>
      </c>
      <c r="H71" s="51">
        <f>MAX(Tabela2[[#This Row],[Cotação 1]],Tabela2[[#This Row],[Cotação 2]])</f>
        <v>19.510000000000002</v>
      </c>
      <c r="I71" s="18">
        <f>IF(Tabela2[[#This Row],[Dividendo / Ação]]&gt;0,Tabela2[[#This Row],[Dividendo / Ação]]/Tabela2[[#This Row],[Cotação]],"")</f>
        <v>7.8419509687339822E-2</v>
      </c>
      <c r="J71" s="7">
        <f>SUMPRODUCT(N(Tabela1[Código]=Tabela2[[#This Row],[Ativo]]),Tabela1[Fechamento])</f>
        <v>0</v>
      </c>
      <c r="K71" s="7">
        <f>SUMPRODUCT(N(Tabela17[Código]=Tabela2[[#This Row],[Ativo]]),Tabela17[Fechamento])</f>
        <v>19.510000000000002</v>
      </c>
      <c r="N71" s="3">
        <v>7.8275895100000006E-2</v>
      </c>
    </row>
    <row r="72" spans="1:14">
      <c r="A72" s="10" t="s">
        <v>359</v>
      </c>
      <c r="B72" s="3">
        <v>2009</v>
      </c>
      <c r="C72" s="5">
        <v>961256848.75</v>
      </c>
      <c r="D72" s="67">
        <f>SUMPRODUCT(N(Tabela3[PAPEL]=Tabela2[[#This Row],[Ativo]]),Tabela3[Total Ações])</f>
        <v>349547945</v>
      </c>
      <c r="E72" s="65">
        <f>(Tabela2[[#This Row],[Lucro Líquido]])/Tabela2[[#This Row],[Total Ações]]</f>
        <v>2.75</v>
      </c>
      <c r="F72" s="65">
        <v>0.86687395199999995</v>
      </c>
      <c r="G72" s="77">
        <f>IF(AND(Tabela2[[#This Row],[Dividendo / Ação]]&gt;0,Tabela2[[#This Row],[Lucro por ação]]&gt;0),Tabela2[[#This Row],[Dividendo / Ação]]/Tabela2[[#This Row],[Lucro por ação]],"")</f>
        <v>0.31522689163636364</v>
      </c>
      <c r="H72" s="60">
        <f>MAX(Tabela2[[#This Row],[Cotação 1]],Tabela2[[#This Row],[Cotação 2]])</f>
        <v>19.510000000000002</v>
      </c>
      <c r="I72" s="22">
        <f>IF(Tabela2[[#This Row],[Dividendo / Ação]]&gt;0,Tabela2[[#This Row],[Dividendo / Ação]]/Tabela2[[#This Row],[Cotação]],"")</f>
        <v>4.4432288672475645E-2</v>
      </c>
      <c r="J72" s="7">
        <f>SUMPRODUCT(N(Tabela1[Código]=Tabela2[[#This Row],[Ativo]]),Tabela1[Fechamento])</f>
        <v>0</v>
      </c>
      <c r="K72" s="7">
        <f>SUMPRODUCT(N(Tabela17[Código]=Tabela2[[#This Row],[Ativo]]),Tabela17[Fechamento])</f>
        <v>19.510000000000002</v>
      </c>
      <c r="N72" s="3">
        <f>SUM(N68:N71)</f>
        <v>0.70331065979999996</v>
      </c>
    </row>
    <row r="73" spans="1:14">
      <c r="A73" s="10" t="s">
        <v>360</v>
      </c>
      <c r="B73" s="3">
        <v>2012</v>
      </c>
      <c r="C73" s="5">
        <v>476737173.38</v>
      </c>
      <c r="D73" s="62">
        <f>SUMPRODUCT(N(Tabela3[PAPEL]=Tabela2[[#This Row],[Ativo]]),Tabela3[Total Ações])</f>
        <v>349547945</v>
      </c>
      <c r="E73" s="65">
        <f>(Tabela2[[#This Row],[Lucro Líquido]])/Tabela2[[#This Row],[Total Ações]]</f>
        <v>1.3638677617744255</v>
      </c>
      <c r="F73" s="65">
        <v>0.65020045000000004</v>
      </c>
      <c r="G73" s="22">
        <f>IF(AND(Tabela2[[#This Row],[Dividendo / Ação]]&gt;0,Tabela2[[#This Row],[Lucro por ação]]&gt;0),Tabela2[[#This Row],[Dividendo / Ação]]/Tabela2[[#This Row],[Lucro por ação]],"")</f>
        <v>0.47673276561216849</v>
      </c>
      <c r="H73" s="51">
        <f>MAX(Tabela2[[#This Row],[Cotação 1]],Tabela2[[#This Row],[Cotação 2]])</f>
        <v>23.57</v>
      </c>
      <c r="I73" s="18">
        <f>IF(Tabela2[[#This Row],[Dividendo / Ação]]&gt;0,Tabela2[[#This Row],[Dividendo / Ação]]/Tabela2[[#This Row],[Cotação]],"")</f>
        <v>2.7585933389902419E-2</v>
      </c>
      <c r="J73" s="7">
        <f>SUMPRODUCT(N(Tabela1[Código]=Tabela2[[#This Row],[Ativo]]),Tabela1[Fechamento])</f>
        <v>0</v>
      </c>
      <c r="K73" s="7">
        <f>SUMPRODUCT(N(Tabela17[Código]=Tabela2[[#This Row],[Ativo]]),Tabela17[Fechamento])</f>
        <v>23.57</v>
      </c>
    </row>
    <row r="74" spans="1:14">
      <c r="A74" s="10" t="s">
        <v>360</v>
      </c>
      <c r="B74" s="3">
        <v>2011</v>
      </c>
      <c r="C74" s="5">
        <v>2023882601.55</v>
      </c>
      <c r="D74" s="62">
        <f>SUMPRODUCT(N(Tabela3[PAPEL]=Tabela2[[#This Row],[Ativo]]),Tabela3[Total Ações])</f>
        <v>349547945</v>
      </c>
      <c r="E74" s="65">
        <f>(Tabela2[[#This Row],[Lucro Líquido]])/Tabela2[[#This Row],[Total Ações]]</f>
        <v>5.79</v>
      </c>
      <c r="F74" s="65">
        <v>1.955825792</v>
      </c>
      <c r="G74" s="22">
        <f>IF(AND(Tabela2[[#This Row],[Dividendo / Ação]]&gt;0,Tabela2[[#This Row],[Lucro por ação]]&gt;0),Tabela2[[#This Row],[Dividendo / Ação]]/Tabela2[[#This Row],[Lucro por ação]],"")</f>
        <v>0.33779374645941279</v>
      </c>
      <c r="H74" s="51">
        <f>MAX(Tabela2[[#This Row],[Cotação 1]],Tabela2[[#This Row],[Cotação 2]])</f>
        <v>23.57</v>
      </c>
      <c r="I74" s="18">
        <f>IF(Tabela2[[#This Row],[Dividendo / Ação]]&gt;0,Tabela2[[#This Row],[Dividendo / Ação]]/Tabela2[[#This Row],[Cotação]],"")</f>
        <v>8.2979456597369536E-2</v>
      </c>
      <c r="J74" s="7">
        <f>SUMPRODUCT(N(Tabela1[Código]=Tabela2[[#This Row],[Ativo]]),Tabela1[Fechamento])</f>
        <v>0</v>
      </c>
      <c r="K74" s="7">
        <f>SUMPRODUCT(N(Tabela17[Código]=Tabela2[[#This Row],[Ativo]]),Tabela17[Fechamento])</f>
        <v>23.57</v>
      </c>
    </row>
    <row r="75" spans="1:14">
      <c r="A75" s="10" t="s">
        <v>360</v>
      </c>
      <c r="B75" s="3">
        <v>2010</v>
      </c>
      <c r="C75" s="5">
        <v>1758226163.3499999</v>
      </c>
      <c r="D75" s="62">
        <f>SUMPRODUCT(N(Tabela3[PAPEL]=Tabela2[[#This Row],[Ativo]]),Tabela3[Total Ações])</f>
        <v>349547945</v>
      </c>
      <c r="E75" s="65">
        <f>(Tabela2[[#This Row],[Lucro Líquido]])/Tabela2[[#This Row],[Total Ações]]</f>
        <v>5.0299999999999994</v>
      </c>
      <c r="F75" s="65">
        <v>1.6829611</v>
      </c>
      <c r="G75" s="22">
        <f>IF(AND(Tabela2[[#This Row],[Dividendo / Ação]]&gt;0,Tabela2[[#This Row],[Lucro por ação]]&gt;0),Tabela2[[#This Row],[Dividendo / Ação]]/Tabela2[[#This Row],[Lucro por ação]],"")</f>
        <v>0.33458471172962229</v>
      </c>
      <c r="H75" s="51">
        <f>MAX(Tabela2[[#This Row],[Cotação 1]],Tabela2[[#This Row],[Cotação 2]])</f>
        <v>23.57</v>
      </c>
      <c r="I75" s="18">
        <f>IF(Tabela2[[#This Row],[Dividendo / Ação]]&gt;0,Tabela2[[#This Row],[Dividendo / Ação]]/Tabela2[[#This Row],[Cotação]],"")</f>
        <v>7.1402677131947395E-2</v>
      </c>
      <c r="J75" s="7">
        <f>SUMPRODUCT(N(Tabela1[Código]=Tabela2[[#This Row],[Ativo]]),Tabela1[Fechamento])</f>
        <v>0</v>
      </c>
      <c r="K75" s="7">
        <f>SUMPRODUCT(N(Tabela17[Código]=Tabela2[[#This Row],[Ativo]]),Tabela17[Fechamento])</f>
        <v>23.57</v>
      </c>
    </row>
    <row r="76" spans="1:14">
      <c r="A76" s="10" t="s">
        <v>360</v>
      </c>
      <c r="B76" s="3">
        <v>2009</v>
      </c>
      <c r="C76" s="5">
        <v>961256848.75</v>
      </c>
      <c r="D76" s="67">
        <f>SUMPRODUCT(N(Tabela3[PAPEL]=Tabela2[[#This Row],[Ativo]]),Tabela3[Total Ações])</f>
        <v>349547945</v>
      </c>
      <c r="E76" s="65">
        <f>(Tabela2[[#This Row],[Lucro Líquido]])/Tabela2[[#This Row],[Total Ações]]</f>
        <v>2.75</v>
      </c>
      <c r="F76" s="65">
        <v>0.953561349</v>
      </c>
      <c r="G76" s="77">
        <f>IF(AND(Tabela2[[#This Row],[Dividendo / Ação]]&gt;0,Tabela2[[#This Row],[Lucro por ação]]&gt;0),Tabela2[[#This Row],[Dividendo / Ação]]/Tabela2[[#This Row],[Lucro por ação]],"")</f>
        <v>0.34674958145454543</v>
      </c>
      <c r="H76" s="60">
        <f>MAX(Tabela2[[#This Row],[Cotação 1]],Tabela2[[#This Row],[Cotação 2]])</f>
        <v>23.57</v>
      </c>
      <c r="I76" s="22">
        <f>IF(Tabela2[[#This Row],[Dividendo / Ação]]&gt;0,Tabela2[[#This Row],[Dividendo / Ação]]/Tabela2[[#This Row],[Cotação]],"")</f>
        <v>4.0456569749681801E-2</v>
      </c>
      <c r="J76" s="7">
        <f>SUMPRODUCT(N(Tabela1[Código]=Tabela2[[#This Row],[Ativo]]),Tabela1[Fechamento])</f>
        <v>0</v>
      </c>
      <c r="K76" s="7">
        <f>SUMPRODUCT(N(Tabela17[Código]=Tabela2[[#This Row],[Ativo]]),Tabela17[Fechamento])</f>
        <v>23.57</v>
      </c>
    </row>
    <row r="77" spans="1:14">
      <c r="A77" s="10" t="s">
        <v>341</v>
      </c>
      <c r="B77" s="3">
        <v>2012</v>
      </c>
      <c r="C77" s="5">
        <v>813227000</v>
      </c>
      <c r="D77" s="62">
        <f>SUMPRODUCT(N(Tabela3[PAPEL]=Tabela2[[#This Row],[Ativo]]),Tabela3[Total Ações])</f>
        <v>872473246</v>
      </c>
      <c r="E77" s="65">
        <f>(Tabela2[[#This Row],[Lucro Líquido]])/Tabela2[[#This Row],[Total Ações]]</f>
        <v>0.93209391087735427</v>
      </c>
      <c r="F77" s="65">
        <v>0.32</v>
      </c>
      <c r="G77" s="22">
        <f>IF(AND(Tabela2[[#This Row],[Dividendo / Ação]]&gt;0,Tabela2[[#This Row],[Lucro por ação]]&gt;0),Tabela2[[#This Row],[Dividendo / Ação]]/Tabela2[[#This Row],[Lucro por ação]],"")</f>
        <v>0.34331304632040011</v>
      </c>
      <c r="H77" s="51">
        <f>MAX(Tabela2[[#This Row],[Cotação 1]],Tabela2[[#This Row],[Cotação 2]])</f>
        <v>47.28</v>
      </c>
      <c r="I77" s="18">
        <f>IF(Tabela2[[#This Row],[Dividendo / Ação]]&gt;0,Tabela2[[#This Row],[Dividendo / Ação]]/Tabela2[[#This Row],[Cotação]],"")</f>
        <v>6.7681895093062603E-3</v>
      </c>
      <c r="J77" s="7">
        <f>SUMPRODUCT(N(Tabela1[Código]=Tabela2[[#This Row],[Ativo]]),Tabela1[Fechamento])</f>
        <v>0</v>
      </c>
      <c r="K77" s="7">
        <f>SUMPRODUCT(N(Tabela17[Código]=Tabela2[[#This Row],[Ativo]]),Tabela17[Fechamento])</f>
        <v>47.28</v>
      </c>
    </row>
    <row r="78" spans="1:14">
      <c r="A78" s="3" t="s">
        <v>341</v>
      </c>
      <c r="B78" s="3">
        <v>2011</v>
      </c>
      <c r="C78" s="5">
        <v>1367409000</v>
      </c>
      <c r="D78" s="62">
        <f>SUMPRODUCT(N(Tabela3[PAPEL]=Tabela2[[#This Row],[Ativo]]),Tabela3[Total Ações])</f>
        <v>872473246</v>
      </c>
      <c r="E78" s="65">
        <f>(Tabela2[[#This Row],[Lucro Líquido]])/Tabela2[[#This Row],[Total Ações]]</f>
        <v>1.5672790039913729</v>
      </c>
      <c r="F78" s="65">
        <v>0.72453109900000001</v>
      </c>
      <c r="G78" s="22">
        <f>IF(AND(Tabela2[[#This Row],[Dividendo / Ação]]&gt;0,Tabela2[[#This Row],[Lucro por ação]]&gt;0),Tabela2[[#This Row],[Dividendo / Ação]]/Tabela2[[#This Row],[Lucro por ação]],"")</f>
        <v>0.46228597279415107</v>
      </c>
      <c r="H78" s="51">
        <f>MAX(Tabela2[[#This Row],[Cotação 1]],Tabela2[[#This Row],[Cotação 2]])</f>
        <v>47.28</v>
      </c>
      <c r="I78" s="18">
        <f>IF(Tabela2[[#This Row],[Dividendo / Ação]]&gt;0,Tabela2[[#This Row],[Dividendo / Ação]]/Tabela2[[#This Row],[Cotação]],"")</f>
        <v>1.5324261823181048E-2</v>
      </c>
      <c r="J78" s="7">
        <f>SUMPRODUCT(N(Tabela1[Código]=Tabela2[[#This Row],[Ativo]]),Tabela1[Fechamento])</f>
        <v>0</v>
      </c>
      <c r="K78" s="7">
        <f>SUMPRODUCT(N(Tabela17[Código]=Tabela2[[#This Row],[Ativo]]),Tabela17[Fechamento])</f>
        <v>47.28</v>
      </c>
    </row>
    <row r="79" spans="1:14">
      <c r="A79" s="10" t="s">
        <v>341</v>
      </c>
      <c r="B79" s="3">
        <v>2010</v>
      </c>
      <c r="C79" s="5">
        <v>804106000</v>
      </c>
      <c r="D79" s="62">
        <f>SUMPRODUCT(N(Tabela3[PAPEL]=Tabela2[[#This Row],[Ativo]]),Tabela3[Total Ações])</f>
        <v>872473246</v>
      </c>
      <c r="E79" s="65">
        <f>(Tabela2[[#This Row],[Lucro Líquido]])/Tabela2[[#This Row],[Total Ações]]</f>
        <v>0.92163972211934164</v>
      </c>
      <c r="F79" s="65">
        <v>0.30086882500000001</v>
      </c>
      <c r="G79" s="22">
        <f>IF(AND(Tabela2[[#This Row],[Dividendo / Ação]]&gt;0,Tabela2[[#This Row],[Lucro por ação]]&gt;0),Tabela2[[#This Row],[Dividendo / Ação]]/Tabela2[[#This Row],[Lucro por ação]],"")</f>
        <v>0.32644949840935888</v>
      </c>
      <c r="H79" s="51">
        <f>MAX(Tabela2[[#This Row],[Cotação 1]],Tabela2[[#This Row],[Cotação 2]])</f>
        <v>47.28</v>
      </c>
      <c r="I79" s="18">
        <f>IF(Tabela2[[#This Row],[Dividendo / Ação]]&gt;0,Tabela2[[#This Row],[Dividendo / Ação]]/Tabela2[[#This Row],[Cotação]],"")</f>
        <v>6.3635538282571912E-3</v>
      </c>
      <c r="J79" s="7">
        <f>SUMPRODUCT(N(Tabela1[Código]=Tabela2[[#This Row],[Ativo]]),Tabela1[Fechamento])</f>
        <v>0</v>
      </c>
      <c r="K79" s="7">
        <f>SUMPRODUCT(N(Tabela17[Código]=Tabela2[[#This Row],[Ativo]]),Tabela17[Fechamento])</f>
        <v>47.28</v>
      </c>
    </row>
    <row r="80" spans="1:14">
      <c r="A80" s="15" t="s">
        <v>257</v>
      </c>
      <c r="B80" s="3">
        <v>2012</v>
      </c>
      <c r="C80" s="5">
        <v>63154000</v>
      </c>
      <c r="D80" s="62">
        <f>SUMPRODUCT(N(Tabela3[PAPEL]=Tabela2[[#This Row],[Ativo]]),Tabela3[Total Ações])</f>
        <v>73646388</v>
      </c>
      <c r="E80" s="65">
        <f>(Tabela2[[#This Row],[Lucro Líquido]])/Tabela2[[#This Row],[Total Ações]]</f>
        <v>0.85753017513907126</v>
      </c>
      <c r="F80" s="65">
        <v>0.24782000000000001</v>
      </c>
      <c r="G80" s="22">
        <f>IF(AND(Tabela2[[#This Row],[Dividendo / Ação]]&gt;0,Tabela2[[#This Row],[Lucro por ação]]&gt;0),Tabela2[[#This Row],[Dividendo / Ação]]/Tabela2[[#This Row],[Lucro por ação]],"")</f>
        <v>0.28899274589353013</v>
      </c>
      <c r="H80" s="5">
        <f>MAX(Tabela2[[#This Row],[Cotação 1]],Tabela2[[#This Row],[Cotação 2]])</f>
        <v>3.82</v>
      </c>
      <c r="I80" s="18">
        <f>IF(Tabela2[[#This Row],[Dividendo / Ação]]&gt;0,Tabela2[[#This Row],[Dividendo / Ação]]/Tabela2[[#This Row],[Cotação]],"")</f>
        <v>6.4874345549738227E-2</v>
      </c>
      <c r="J80" s="60">
        <f>SUMPRODUCT(N(Tabela1[Código]=Tabela2[[#This Row],[Ativo]]),Tabela1[Fechamento])</f>
        <v>3.82</v>
      </c>
      <c r="K80" s="60">
        <f>SUMPRODUCT(N(Tabela17[Código]=Tabela2[[#This Row],[Ativo]]),Tabela17[Fechamento])</f>
        <v>0</v>
      </c>
    </row>
    <row r="81" spans="1:11">
      <c r="A81" s="15" t="s">
        <v>257</v>
      </c>
      <c r="B81" s="3">
        <v>2011</v>
      </c>
      <c r="C81" s="5">
        <v>56638000</v>
      </c>
      <c r="D81" s="62">
        <f>SUMPRODUCT(N(Tabela3[PAPEL]=Tabela2[[#This Row],[Ativo]]),Tabela3[Total Ações])</f>
        <v>73646388</v>
      </c>
      <c r="E81" s="65">
        <f>(Tabela2[[#This Row],[Lucro Líquido]])/Tabela2[[#This Row],[Total Ações]]</f>
        <v>0.76905333089791184</v>
      </c>
      <c r="F81" s="65">
        <v>0.22899</v>
      </c>
      <c r="G81" s="22">
        <f>IF(AND(Tabela2[[#This Row],[Dividendo / Ação]]&gt;0,Tabela2[[#This Row],[Lucro por ação]]&gt;0),Tabela2[[#This Row],[Dividendo / Ação]]/Tabela2[[#This Row],[Lucro por ação]],"")</f>
        <v>0.29775568325364593</v>
      </c>
      <c r="H81" s="5">
        <f>MAX(Tabela2[[#This Row],[Cotação 1]],Tabela2[[#This Row],[Cotação 2]])</f>
        <v>3.82</v>
      </c>
      <c r="I81" s="18">
        <f>IF(Tabela2[[#This Row],[Dividendo / Ação]]&gt;0,Tabela2[[#This Row],[Dividendo / Ação]]/Tabela2[[#This Row],[Cotação]],"")</f>
        <v>5.9945026178010473E-2</v>
      </c>
      <c r="J81" s="60">
        <f>SUMPRODUCT(N(Tabela1[Código]=Tabela2[[#This Row],[Ativo]]),Tabela1[Fechamento])</f>
        <v>3.82</v>
      </c>
      <c r="K81" s="60">
        <f>SUMPRODUCT(N(Tabela17[Código]=Tabela2[[#This Row],[Ativo]]),Tabela17[Fechamento])</f>
        <v>0</v>
      </c>
    </row>
    <row r="82" spans="1:11">
      <c r="A82" s="15" t="s">
        <v>257</v>
      </c>
      <c r="B82" s="3">
        <v>2010</v>
      </c>
      <c r="C82" s="5">
        <v>50724000</v>
      </c>
      <c r="D82" s="62">
        <f>SUMPRODUCT(N(Tabela3[PAPEL]=Tabela2[[#This Row],[Ativo]]),Tabela3[Total Ações])</f>
        <v>73646388</v>
      </c>
      <c r="E82" s="65">
        <f>(Tabela2[[#This Row],[Lucro Líquido]])/Tabela2[[#This Row],[Total Ações]]</f>
        <v>0.6887506825181976</v>
      </c>
      <c r="F82" s="65">
        <v>0.22311</v>
      </c>
      <c r="G82" s="22">
        <f>IF(AND(Tabela2[[#This Row],[Dividendo / Ação]]&gt;0,Tabela2[[#This Row],[Lucro por ação]]&gt;0),Tabela2[[#This Row],[Dividendo / Ação]]/Tabela2[[#This Row],[Lucro por ação]],"")</f>
        <v>0.32393434324343506</v>
      </c>
      <c r="H82" s="5">
        <f>MAX(Tabela2[[#This Row],[Cotação 1]],Tabela2[[#This Row],[Cotação 2]])</f>
        <v>3.82</v>
      </c>
      <c r="I82" s="18">
        <f>IF(Tabela2[[#This Row],[Dividendo / Ação]]&gt;0,Tabela2[[#This Row],[Dividendo / Ação]]/Tabela2[[#This Row],[Cotação]],"")</f>
        <v>5.8405759162303665E-2</v>
      </c>
      <c r="J82" s="60">
        <f>SUMPRODUCT(N(Tabela1[Código]=Tabela2[[#This Row],[Ativo]]),Tabela1[Fechamento])</f>
        <v>3.82</v>
      </c>
      <c r="K82" s="60">
        <f>SUMPRODUCT(N(Tabela17[Código]=Tabela2[[#This Row],[Ativo]]),Tabela17[Fechamento])</f>
        <v>0</v>
      </c>
    </row>
    <row r="83" spans="1:11">
      <c r="A83" s="15" t="s">
        <v>257</v>
      </c>
      <c r="B83" s="3">
        <v>2009</v>
      </c>
      <c r="C83" s="5">
        <v>46296000</v>
      </c>
      <c r="D83" s="62">
        <f>SUMPRODUCT(N(Tabela3[PAPEL]=Tabela2[[#This Row],[Ativo]]),Tabela3[Total Ações])</f>
        <v>73646388</v>
      </c>
      <c r="E83" s="65">
        <f>(Tabela2[[#This Row],[Lucro Líquido]])/Tabela2[[#This Row],[Total Ações]]</f>
        <v>0.62862553422171907</v>
      </c>
      <c r="F83" s="65">
        <v>0.19269</v>
      </c>
      <c r="G83" s="22">
        <f>IF(AND(Tabela2[[#This Row],[Dividendo / Ação]]&gt;0,Tabela2[[#This Row],[Lucro por ação]]&gt;0),Tabela2[[#This Row],[Dividendo / Ação]]/Tabela2[[#This Row],[Lucro por ação]],"")</f>
        <v>0.30652588784603418</v>
      </c>
      <c r="H83" s="5">
        <f>MAX(Tabela2[[#This Row],[Cotação 1]],Tabela2[[#This Row],[Cotação 2]])</f>
        <v>3.82</v>
      </c>
      <c r="I83" s="18">
        <f>IF(Tabela2[[#This Row],[Dividendo / Ação]]&gt;0,Tabela2[[#This Row],[Dividendo / Ação]]/Tabela2[[#This Row],[Cotação]],"")</f>
        <v>5.0442408376963351E-2</v>
      </c>
      <c r="J83" s="60">
        <f>SUMPRODUCT(N(Tabela1[Código]=Tabela2[[#This Row],[Ativo]]),Tabela1[Fechamento])</f>
        <v>3.82</v>
      </c>
      <c r="K83" s="60">
        <f>SUMPRODUCT(N(Tabela17[Código]=Tabela2[[#This Row],[Ativo]]),Tabela17[Fechamento])</f>
        <v>0</v>
      </c>
    </row>
    <row r="84" spans="1:11">
      <c r="A84" s="14" t="s">
        <v>258</v>
      </c>
      <c r="B84" s="3">
        <v>2012</v>
      </c>
      <c r="C84" s="5">
        <v>63154000</v>
      </c>
      <c r="D84" s="8">
        <f>SUMPRODUCT(N(Tabela3[PAPEL]=Tabela2[[#This Row],[Ativo]]),Tabela3[Total Ações])</f>
        <v>73646388</v>
      </c>
      <c r="E84" s="66">
        <f>(Tabela2[[#This Row],[Lucro Líquido]])/Tabela2[[#This Row],[Total Ações]]</f>
        <v>0.85753017513907126</v>
      </c>
      <c r="F84" s="66">
        <v>3.3640000000000003E-2</v>
      </c>
      <c r="G84" s="46">
        <f>IF(AND(Tabela2[[#This Row],[Dividendo / Ação]]&gt;0,Tabela2[[#This Row],[Lucro por ação]]&gt;0),Tabela2[[#This Row],[Dividendo / Ação]]/Tabela2[[#This Row],[Lucro por ação]],"")</f>
        <v>3.9228940246381863E-2</v>
      </c>
      <c r="H84" s="6">
        <f>MAX(Tabela2[[#This Row],[Cotação 1]],Tabela2[[#This Row],[Cotação 2]])</f>
        <v>4</v>
      </c>
      <c r="I84" s="19">
        <f>IF(Tabela2[[#This Row],[Dividendo / Ação]]&gt;0,Tabela2[[#This Row],[Dividendo / Ação]]/Tabela2[[#This Row],[Cotação]],"")</f>
        <v>8.4100000000000008E-3</v>
      </c>
      <c r="J84" s="61">
        <f>SUMPRODUCT(N(Tabela1[Código]=Tabela2[[#This Row],[Ativo]]),Tabela1[Fechamento])</f>
        <v>4</v>
      </c>
      <c r="K84" s="61">
        <f>SUMPRODUCT(N(Tabela17[Código]=Tabela2[[#This Row],[Ativo]]),Tabela17[Fechamento])</f>
        <v>0</v>
      </c>
    </row>
    <row r="85" spans="1:11">
      <c r="A85" s="14" t="s">
        <v>258</v>
      </c>
      <c r="B85" s="3">
        <v>2011</v>
      </c>
      <c r="C85" s="5">
        <v>56638000</v>
      </c>
      <c r="D85" s="8">
        <f>SUMPRODUCT(N(Tabela3[PAPEL]=Tabela2[[#This Row],[Ativo]]),Tabela3[Total Ações])</f>
        <v>73646388</v>
      </c>
      <c r="E85" s="66">
        <f>(Tabela2[[#This Row],[Lucro Líquido]])/Tabela2[[#This Row],[Total Ações]]</f>
        <v>0.76905333089791184</v>
      </c>
      <c r="F85" s="66">
        <v>1.0189999999999999E-2</v>
      </c>
      <c r="G85" s="46">
        <f>IF(AND(Tabela2[[#This Row],[Dividendo / Ação]]&gt;0,Tabela2[[#This Row],[Lucro por ação]]&gt;0),Tabela2[[#This Row],[Dividendo / Ação]]/Tabela2[[#This Row],[Lucro por ação]],"")</f>
        <v>1.3250056388290545E-2</v>
      </c>
      <c r="H85" s="6">
        <f>MAX(Tabela2[[#This Row],[Cotação 1]],Tabela2[[#This Row],[Cotação 2]])</f>
        <v>4</v>
      </c>
      <c r="I85" s="19">
        <f>IF(Tabela2[[#This Row],[Dividendo / Ação]]&gt;0,Tabela2[[#This Row],[Dividendo / Ação]]/Tabela2[[#This Row],[Cotação]],"")</f>
        <v>2.5474999999999999E-3</v>
      </c>
      <c r="J85" s="61">
        <f>SUMPRODUCT(N(Tabela1[Código]=Tabela2[[#This Row],[Ativo]]),Tabela1[Fechamento])</f>
        <v>4</v>
      </c>
      <c r="K85" s="61">
        <f>SUMPRODUCT(N(Tabela17[Código]=Tabela2[[#This Row],[Ativo]]),Tabela17[Fechamento])</f>
        <v>0</v>
      </c>
    </row>
    <row r="86" spans="1:11">
      <c r="A86" s="14" t="s">
        <v>258</v>
      </c>
      <c r="B86" s="3">
        <v>2010</v>
      </c>
      <c r="C86" s="5">
        <v>50724000</v>
      </c>
      <c r="D86" s="8">
        <f>SUMPRODUCT(N(Tabela3[PAPEL]=Tabela2[[#This Row],[Ativo]]),Tabela3[Total Ações])</f>
        <v>73646388</v>
      </c>
      <c r="E86" s="66">
        <f>(Tabela2[[#This Row],[Lucro Líquido]])/Tabela2[[#This Row],[Total Ações]]</f>
        <v>0.6887506825181976</v>
      </c>
      <c r="F86" s="66">
        <v>3.8589999999999999E-2</v>
      </c>
      <c r="G86" s="46">
        <f>IF(AND(Tabela2[[#This Row],[Dividendo / Ação]]&gt;0,Tabela2[[#This Row],[Lucro por ação]]&gt;0),Tabela2[[#This Row],[Dividendo / Ação]]/Tabela2[[#This Row],[Lucro por ação]],"")</f>
        <v>5.6028982590489711E-2</v>
      </c>
      <c r="H86" s="6">
        <f>MAX(Tabela2[[#This Row],[Cotação 1]],Tabela2[[#This Row],[Cotação 2]])</f>
        <v>4</v>
      </c>
      <c r="I86" s="19">
        <f>IF(Tabela2[[#This Row],[Dividendo / Ação]]&gt;0,Tabela2[[#This Row],[Dividendo / Ação]]/Tabela2[[#This Row],[Cotação]],"")</f>
        <v>9.6474999999999998E-3</v>
      </c>
      <c r="J86" s="61">
        <f>SUMPRODUCT(N(Tabela1[Código]=Tabela2[[#This Row],[Ativo]]),Tabela1[Fechamento])</f>
        <v>4</v>
      </c>
      <c r="K86" s="61">
        <f>SUMPRODUCT(N(Tabela17[Código]=Tabela2[[#This Row],[Ativo]]),Tabela17[Fechamento])</f>
        <v>0</v>
      </c>
    </row>
    <row r="87" spans="1:11">
      <c r="A87" s="14" t="s">
        <v>258</v>
      </c>
      <c r="B87" s="3">
        <v>2009</v>
      </c>
      <c r="C87" s="5">
        <v>46296000</v>
      </c>
      <c r="D87" s="8">
        <f>SUMPRODUCT(N(Tabela3[PAPEL]=Tabela2[[#This Row],[Ativo]]),Tabela3[Total Ações])</f>
        <v>73646388</v>
      </c>
      <c r="E87" s="66">
        <f>(Tabela2[[#This Row],[Lucro Líquido]])/Tabela2[[#This Row],[Total Ações]]</f>
        <v>0.62862553422171907</v>
      </c>
      <c r="F87" s="65">
        <v>6.8790000000000004E-2</v>
      </c>
      <c r="G87" s="46">
        <f>IF(AND(Tabela2[[#This Row],[Dividendo / Ação]]&gt;0,Tabela2[[#This Row],[Lucro por ação]]&gt;0),Tabela2[[#This Row],[Dividendo / Ação]]/Tabela2[[#This Row],[Lucro por ação]],"")</f>
        <v>0.10942921700622084</v>
      </c>
      <c r="H87" s="6">
        <f>MAX(Tabela2[[#This Row],[Cotação 1]],Tabela2[[#This Row],[Cotação 2]])</f>
        <v>4</v>
      </c>
      <c r="I87" s="19">
        <f>IF(Tabela2[[#This Row],[Dividendo / Ação]]&gt;0,Tabela2[[#This Row],[Dividendo / Ação]]/Tabela2[[#This Row],[Cotação]],"")</f>
        <v>1.7197500000000001E-2</v>
      </c>
      <c r="J87" s="61">
        <f>SUMPRODUCT(N(Tabela1[Código]=Tabela2[[#This Row],[Ativo]]),Tabela1[Fechamento])</f>
        <v>4</v>
      </c>
      <c r="K87" s="61">
        <f>SUMPRODUCT(N(Tabela17[Código]=Tabela2[[#This Row],[Ativo]]),Tabela17[Fechamento])</f>
        <v>0</v>
      </c>
    </row>
    <row r="88" spans="1:11">
      <c r="A88" s="15" t="s">
        <v>253</v>
      </c>
      <c r="B88" s="3">
        <v>2012</v>
      </c>
      <c r="C88" s="5">
        <v>63154000</v>
      </c>
      <c r="D88" s="62">
        <f>SUMPRODUCT(N(Tabela3[PAPEL]=Tabela2[[#This Row],[Ativo]]),Tabela3[Total Ações])</f>
        <v>73646388</v>
      </c>
      <c r="E88" s="65">
        <f>(Tabela2[[#This Row],[Lucro Líquido]])/Tabela2[[#This Row],[Total Ações]]</f>
        <v>0.85753017513907126</v>
      </c>
      <c r="F88" s="65">
        <v>3.058E-2</v>
      </c>
      <c r="G88" s="22">
        <f>IF(AND(Tabela2[[#This Row],[Dividendo / Ação]]&gt;0,Tabela2[[#This Row],[Lucro por ação]]&gt;0),Tabela2[[#This Row],[Dividendo / Ação]]/Tabela2[[#This Row],[Lucro por ação]],"")</f>
        <v>3.5660552697216331E-2</v>
      </c>
      <c r="H88" s="5">
        <f>MAX(Tabela2[[#This Row],[Cotação 1]],Tabela2[[#This Row],[Cotação 2]])</f>
        <v>4.2</v>
      </c>
      <c r="I88" s="18">
        <f>IF(Tabela2[[#This Row],[Dividendo / Ação]]&gt;0,Tabela2[[#This Row],[Dividendo / Ação]]/Tabela2[[#This Row],[Cotação]],"")</f>
        <v>7.2809523809523801E-3</v>
      </c>
      <c r="J88" s="60">
        <f>SUMPRODUCT(N(Tabela1[Código]=Tabela2[[#This Row],[Ativo]]),Tabela1[Fechamento])</f>
        <v>4.2</v>
      </c>
      <c r="K88" s="60">
        <f>SUMPRODUCT(N(Tabela17[Código]=Tabela2[[#This Row],[Ativo]]),Tabela17[Fechamento])</f>
        <v>0</v>
      </c>
    </row>
    <row r="89" spans="1:11">
      <c r="A89" s="15" t="s">
        <v>253</v>
      </c>
      <c r="B89" s="3">
        <v>2011</v>
      </c>
      <c r="C89" s="5">
        <v>56638000</v>
      </c>
      <c r="D89" s="62">
        <f>SUMPRODUCT(N(Tabela3[PAPEL]=Tabela2[[#This Row],[Ativo]]),Tabela3[Total Ações])</f>
        <v>73646388</v>
      </c>
      <c r="E89" s="65">
        <f>(Tabela2[[#This Row],[Lucro Líquido]])/Tabela2[[#This Row],[Total Ações]]</f>
        <v>0.76905333089791184</v>
      </c>
      <c r="F89" s="65">
        <v>2.5999999999999999E-3</v>
      </c>
      <c r="G89" s="22">
        <f>IF(AND(Tabela2[[#This Row],[Dividendo / Ação]]&gt;0,Tabela2[[#This Row],[Lucro por ação]]&gt;0),Tabela2[[#This Row],[Dividendo / Ação]]/Tabela2[[#This Row],[Lucro por ação]],"")</f>
        <v>3.380779843921042E-3</v>
      </c>
      <c r="H89" s="5">
        <f>MAX(Tabela2[[#This Row],[Cotação 1]],Tabela2[[#This Row],[Cotação 2]])</f>
        <v>4.2</v>
      </c>
      <c r="I89" s="18">
        <f>IF(Tabela2[[#This Row],[Dividendo / Ação]]&gt;0,Tabela2[[#This Row],[Dividendo / Ação]]/Tabela2[[#This Row],[Cotação]],"")</f>
        <v>6.19047619047619E-4</v>
      </c>
      <c r="J89" s="60">
        <f>SUMPRODUCT(N(Tabela1[Código]=Tabela2[[#This Row],[Ativo]]),Tabela1[Fechamento])</f>
        <v>4.2</v>
      </c>
      <c r="K89" s="60">
        <f>SUMPRODUCT(N(Tabela17[Código]=Tabela2[[#This Row],[Ativo]]),Tabela17[Fechamento])</f>
        <v>0</v>
      </c>
    </row>
    <row r="90" spans="1:11">
      <c r="A90" s="15" t="s">
        <v>253</v>
      </c>
      <c r="B90" s="3">
        <v>2010</v>
      </c>
      <c r="C90" s="5">
        <v>50724000</v>
      </c>
      <c r="D90" s="62">
        <f>SUMPRODUCT(N(Tabela3[PAPEL]=Tabela2[[#This Row],[Ativo]]),Tabela3[Total Ações])</f>
        <v>73646388</v>
      </c>
      <c r="E90" s="65">
        <f>(Tabela2[[#This Row],[Lucro Líquido]])/Tabela2[[#This Row],[Total Ações]]</f>
        <v>0.6887506825181976</v>
      </c>
      <c r="F90" s="65">
        <v>3.508E-2</v>
      </c>
      <c r="G90" s="22">
        <f>IF(AND(Tabela2[[#This Row],[Dividendo / Ação]]&gt;0,Tabela2[[#This Row],[Lucro por ação]]&gt;0),Tabela2[[#This Row],[Dividendo / Ação]]/Tabela2[[#This Row],[Lucro por ação]],"")</f>
        <v>5.0932798892831796E-2</v>
      </c>
      <c r="H90" s="5">
        <f>MAX(Tabela2[[#This Row],[Cotação 1]],Tabela2[[#This Row],[Cotação 2]])</f>
        <v>4.2</v>
      </c>
      <c r="I90" s="18">
        <f>IF(Tabela2[[#This Row],[Dividendo / Ação]]&gt;0,Tabela2[[#This Row],[Dividendo / Ação]]/Tabela2[[#This Row],[Cotação]],"")</f>
        <v>8.3523809523809514E-3</v>
      </c>
      <c r="J90" s="60">
        <f>SUMPRODUCT(N(Tabela1[Código]=Tabela2[[#This Row],[Ativo]]),Tabela1[Fechamento])</f>
        <v>4.2</v>
      </c>
      <c r="K90" s="60">
        <f>SUMPRODUCT(N(Tabela17[Código]=Tabela2[[#This Row],[Ativo]]),Tabela17[Fechamento])</f>
        <v>0</v>
      </c>
    </row>
    <row r="91" spans="1:11">
      <c r="A91" s="15" t="s">
        <v>253</v>
      </c>
      <c r="B91" s="3">
        <v>2009</v>
      </c>
      <c r="C91" s="5">
        <v>46296000</v>
      </c>
      <c r="D91" s="62">
        <f>SUMPRODUCT(N(Tabela3[PAPEL]=Tabela2[[#This Row],[Ativo]]),Tabela3[Total Ações])</f>
        <v>73646388</v>
      </c>
      <c r="E91" s="65">
        <f>(Tabela2[[#This Row],[Lucro Líquido]])/Tabela2[[#This Row],[Total Ações]]</f>
        <v>0.62862553422171907</v>
      </c>
      <c r="F91" s="65">
        <v>6.2530000000000002E-2</v>
      </c>
      <c r="G91" s="22">
        <f>IF(AND(Tabela2[[#This Row],[Dividendo / Ação]]&gt;0,Tabela2[[#This Row],[Lucro por ação]]&gt;0),Tabela2[[#This Row],[Dividendo / Ação]]/Tabela2[[#This Row],[Lucro por ação]],"")</f>
        <v>9.9470983273716951E-2</v>
      </c>
      <c r="H91" s="5">
        <f>MAX(Tabela2[[#This Row],[Cotação 1]],Tabela2[[#This Row],[Cotação 2]])</f>
        <v>4.2</v>
      </c>
      <c r="I91" s="18">
        <f>IF(Tabela2[[#This Row],[Dividendo / Ação]]&gt;0,Tabela2[[#This Row],[Dividendo / Ação]]/Tabela2[[#This Row],[Cotação]],"")</f>
        <v>1.4888095238095238E-2</v>
      </c>
      <c r="J91" s="60">
        <f>SUMPRODUCT(N(Tabela1[Código]=Tabela2[[#This Row],[Ativo]]),Tabela1[Fechamento])</f>
        <v>4.2</v>
      </c>
      <c r="K91" s="60">
        <f>SUMPRODUCT(N(Tabela17[Código]=Tabela2[[#This Row],[Ativo]]),Tabela17[Fechamento])</f>
        <v>0</v>
      </c>
    </row>
    <row r="92" spans="1:11">
      <c r="A92" s="10" t="s">
        <v>254</v>
      </c>
      <c r="B92" s="3">
        <v>2012</v>
      </c>
      <c r="C92" s="5">
        <v>63154000</v>
      </c>
      <c r="D92" s="62">
        <f>SUMPRODUCT(N(Tabela3[PAPEL]=Tabela2[[#This Row],[Ativo]]),Tabela3[Total Ações])</f>
        <v>73646388</v>
      </c>
      <c r="E92" s="65">
        <f>(Tabela2[[#This Row],[Lucro Líquido]])/Tabela2[[#This Row],[Total Ações]]</f>
        <v>0.85753017513907126</v>
      </c>
      <c r="F92" s="65">
        <v>0.20652000000000001</v>
      </c>
      <c r="G92" s="22">
        <f>IF(AND(Tabela2[[#This Row],[Dividendo / Ação]]&gt;0,Tabela2[[#This Row],[Lucro por ação]]&gt;0),Tabela2[[#This Row],[Dividendo / Ação]]/Tabela2[[#This Row],[Lucro por ação]],"")</f>
        <v>0.24083117537701496</v>
      </c>
      <c r="H92" s="5">
        <f>MAX(Tabela2[[#This Row],[Cotação 1]],Tabela2[[#This Row],[Cotação 2]])</f>
        <v>3.27</v>
      </c>
      <c r="I92" s="18">
        <f>IF(Tabela2[[#This Row],[Dividendo / Ação]]&gt;0,Tabela2[[#This Row],[Dividendo / Ação]]/Tabela2[[#This Row],[Cotação]],"")</f>
        <v>6.3155963302752291E-2</v>
      </c>
      <c r="J92" s="60">
        <f>SUMPRODUCT(N(Tabela1[Código]=Tabela2[[#This Row],[Ativo]]),Tabela1[Fechamento])</f>
        <v>3.27</v>
      </c>
      <c r="K92" s="60">
        <f>SUMPRODUCT(N(Tabela17[Código]=Tabela2[[#This Row],[Ativo]]),Tabela17[Fechamento])</f>
        <v>0</v>
      </c>
    </row>
    <row r="93" spans="1:11">
      <c r="A93" s="10" t="s">
        <v>254</v>
      </c>
      <c r="B93" s="3">
        <v>2011</v>
      </c>
      <c r="C93" s="5">
        <v>56638000</v>
      </c>
      <c r="D93" s="62">
        <f>SUMPRODUCT(N(Tabela3[PAPEL]=Tabela2[[#This Row],[Ativo]]),Tabela3[Total Ações])</f>
        <v>73646388</v>
      </c>
      <c r="E93" s="65">
        <f>(Tabela2[[#This Row],[Lucro Líquido]])/Tabela2[[#This Row],[Total Ações]]</f>
        <v>0.76905333089791184</v>
      </c>
      <c r="F93" s="65">
        <v>0.19086</v>
      </c>
      <c r="G93" s="22">
        <f>IF(AND(Tabela2[[#This Row],[Dividendo / Ação]]&gt;0,Tabela2[[#This Row],[Lucro por ação]]&gt;0),Tabela2[[#This Row],[Dividendo / Ação]]/Tabela2[[#This Row],[Lucro por ação]],"")</f>
        <v>0.24817524654260389</v>
      </c>
      <c r="H93" s="5">
        <f>MAX(Tabela2[[#This Row],[Cotação 1]],Tabela2[[#This Row],[Cotação 2]])</f>
        <v>3.27</v>
      </c>
      <c r="I93" s="18">
        <f>IF(Tabela2[[#This Row],[Dividendo / Ação]]&gt;0,Tabela2[[#This Row],[Dividendo / Ação]]/Tabela2[[#This Row],[Cotação]],"")</f>
        <v>5.8366972477064218E-2</v>
      </c>
      <c r="J93" s="60">
        <f>SUMPRODUCT(N(Tabela1[Código]=Tabela2[[#This Row],[Ativo]]),Tabela1[Fechamento])</f>
        <v>3.27</v>
      </c>
      <c r="K93" s="60">
        <f>SUMPRODUCT(N(Tabela17[Código]=Tabela2[[#This Row],[Ativo]]),Tabela17[Fechamento])</f>
        <v>0</v>
      </c>
    </row>
    <row r="94" spans="1:11">
      <c r="A94" s="10" t="s">
        <v>254</v>
      </c>
      <c r="B94" s="3">
        <v>2010</v>
      </c>
      <c r="C94" s="5">
        <v>50724000</v>
      </c>
      <c r="D94" s="62">
        <f>SUMPRODUCT(N(Tabela3[PAPEL]=Tabela2[[#This Row],[Ativo]]),Tabela3[Total Ações])</f>
        <v>73646388</v>
      </c>
      <c r="E94" s="65">
        <f>(Tabela2[[#This Row],[Lucro Líquido]])/Tabela2[[#This Row],[Total Ações]]</f>
        <v>0.6887506825181976</v>
      </c>
      <c r="F94" s="65">
        <v>0.18592</v>
      </c>
      <c r="G94" s="22">
        <f>IF(AND(Tabela2[[#This Row],[Dividendo / Ação]]&gt;0,Tabela2[[#This Row],[Lucro por ação]]&gt;0),Tabela2[[#This Row],[Dividendo / Ação]]/Tabela2[[#This Row],[Lucro por ação]],"")</f>
        <v>0.26993802651525906</v>
      </c>
      <c r="H94" s="5">
        <f>MAX(Tabela2[[#This Row],[Cotação 1]],Tabela2[[#This Row],[Cotação 2]])</f>
        <v>3.27</v>
      </c>
      <c r="I94" s="18">
        <f>IF(Tabela2[[#This Row],[Dividendo / Ação]]&gt;0,Tabela2[[#This Row],[Dividendo / Ação]]/Tabela2[[#This Row],[Cotação]],"")</f>
        <v>5.6856269113149845E-2</v>
      </c>
      <c r="J94" s="60">
        <f>SUMPRODUCT(N(Tabela1[Código]=Tabela2[[#This Row],[Ativo]]),Tabela1[Fechamento])</f>
        <v>3.27</v>
      </c>
      <c r="K94" s="60">
        <f>SUMPRODUCT(N(Tabela17[Código]=Tabela2[[#This Row],[Ativo]]),Tabela17[Fechamento])</f>
        <v>0</v>
      </c>
    </row>
    <row r="95" spans="1:11">
      <c r="A95" s="10" t="s">
        <v>254</v>
      </c>
      <c r="B95" s="3">
        <v>2009</v>
      </c>
      <c r="C95" s="5">
        <v>46296000</v>
      </c>
      <c r="D95" s="62">
        <f>SUMPRODUCT(N(Tabela3[PAPEL]=Tabela2[[#This Row],[Ativo]]),Tabela3[Total Ações])</f>
        <v>73646388</v>
      </c>
      <c r="E95" s="65">
        <f>(Tabela2[[#This Row],[Lucro Líquido]])/Tabela2[[#This Row],[Total Ações]]</f>
        <v>0.62862553422171907</v>
      </c>
      <c r="F95" s="65">
        <v>0.16084999999999999</v>
      </c>
      <c r="G95" s="22">
        <f>IF(AND(Tabela2[[#This Row],[Dividendo / Ação]]&gt;0,Tabela2[[#This Row],[Lucro por ação]]&gt;0),Tabela2[[#This Row],[Dividendo / Ação]]/Tabela2[[#This Row],[Lucro por ação]],"")</f>
        <v>0.25587570221617417</v>
      </c>
      <c r="H95" s="5">
        <f>MAX(Tabela2[[#This Row],[Cotação 1]],Tabela2[[#This Row],[Cotação 2]])</f>
        <v>3.27</v>
      </c>
      <c r="I95" s="18">
        <f>IF(Tabela2[[#This Row],[Dividendo / Ação]]&gt;0,Tabela2[[#This Row],[Dividendo / Ação]]/Tabela2[[#This Row],[Cotação]],"")</f>
        <v>4.9189602446483176E-2</v>
      </c>
      <c r="J95" s="60">
        <f>SUMPRODUCT(N(Tabela1[Código]=Tabela2[[#This Row],[Ativo]]),Tabela1[Fechamento])</f>
        <v>3.27</v>
      </c>
      <c r="K95" s="60">
        <f>SUMPRODUCT(N(Tabela17[Código]=Tabela2[[#This Row],[Ativo]]),Tabela17[Fechamento])</f>
        <v>0</v>
      </c>
    </row>
    <row r="96" spans="1:11">
      <c r="A96" s="15" t="s">
        <v>81</v>
      </c>
      <c r="B96" s="3">
        <v>2012</v>
      </c>
      <c r="C96" s="5">
        <v>63154000</v>
      </c>
      <c r="D96" s="62">
        <f>SUMPRODUCT(N(Tabela3[PAPEL]=Tabela2[[#This Row],[Ativo]]),Tabela3[Total Ações])</f>
        <v>73646388</v>
      </c>
      <c r="E96" s="65">
        <f>(Tabela2[[#This Row],[Lucro Líquido]])/Tabela2[[#This Row],[Total Ações]]</f>
        <v>0.85753017513907126</v>
      </c>
      <c r="F96" s="65">
        <v>0.49564999999999998</v>
      </c>
      <c r="G96" s="22">
        <f>IF(AND(Tabela2[[#This Row],[Dividendo / Ação]]&gt;0,Tabela2[[#This Row],[Lucro por ação]]&gt;0),Tabela2[[#This Row],[Dividendo / Ação]]/Tabela2[[#This Row],[Lucro por ação]],"")</f>
        <v>0.57799715318427969</v>
      </c>
      <c r="H96" s="5">
        <f>MAX(Tabela2[[#This Row],[Cotação 1]],Tabela2[[#This Row],[Cotação 2]])</f>
        <v>5.96</v>
      </c>
      <c r="I96" s="18">
        <f>IF(Tabela2[[#This Row],[Dividendo / Ação]]&gt;0,Tabela2[[#This Row],[Dividendo / Ação]]/Tabela2[[#This Row],[Cotação]],"")</f>
        <v>8.3162751677852351E-2</v>
      </c>
      <c r="J96" s="60">
        <f>SUMPRODUCT(N(Tabela1[Código]=Tabela2[[#This Row],[Ativo]]),Tabela1[Fechamento])</f>
        <v>5.96</v>
      </c>
      <c r="K96" s="60">
        <f>SUMPRODUCT(N(Tabela17[Código]=Tabela2[[#This Row],[Ativo]]),Tabela17[Fechamento])</f>
        <v>0</v>
      </c>
    </row>
    <row r="97" spans="1:11">
      <c r="A97" s="15" t="s">
        <v>81</v>
      </c>
      <c r="B97" s="3">
        <v>2011</v>
      </c>
      <c r="C97" s="5">
        <v>56638000</v>
      </c>
      <c r="D97" s="62">
        <f>SUMPRODUCT(N(Tabela3[PAPEL]=Tabela2[[#This Row],[Ativo]]),Tabela3[Total Ações])</f>
        <v>73646388</v>
      </c>
      <c r="E97" s="65">
        <f>(Tabela2[[#This Row],[Lucro Líquido]])/Tabela2[[#This Row],[Total Ações]]</f>
        <v>0.76905333089791184</v>
      </c>
      <c r="F97" s="65">
        <v>0.45779999999999998</v>
      </c>
      <c r="G97" s="22">
        <f>IF(AND(Tabela2[[#This Row],[Dividendo / Ação]]&gt;0,Tabela2[[#This Row],[Lucro por ação]]&gt;0),Tabela2[[#This Row],[Dividendo / Ação]]/Tabela2[[#This Row],[Lucro por ação]],"")</f>
        <v>0.59527731251809735</v>
      </c>
      <c r="H97" s="5">
        <f>MAX(Tabela2[[#This Row],[Cotação 1]],Tabela2[[#This Row],[Cotação 2]])</f>
        <v>5.96</v>
      </c>
      <c r="I97" s="18">
        <f>IF(Tabela2[[#This Row],[Dividendo / Ação]]&gt;0,Tabela2[[#This Row],[Dividendo / Ação]]/Tabela2[[#This Row],[Cotação]],"")</f>
        <v>7.6812080536912755E-2</v>
      </c>
      <c r="J97" s="60">
        <f>SUMPRODUCT(N(Tabela1[Código]=Tabela2[[#This Row],[Ativo]]),Tabela1[Fechamento])</f>
        <v>5.96</v>
      </c>
      <c r="K97" s="60">
        <f>SUMPRODUCT(N(Tabela17[Código]=Tabela2[[#This Row],[Ativo]]),Tabela17[Fechamento])</f>
        <v>0</v>
      </c>
    </row>
    <row r="98" spans="1:11">
      <c r="A98" s="15" t="s">
        <v>81</v>
      </c>
      <c r="B98" s="3">
        <v>2010</v>
      </c>
      <c r="C98" s="5">
        <v>50724000</v>
      </c>
      <c r="D98" s="62">
        <f>SUMPRODUCT(N(Tabela3[PAPEL]=Tabela2[[#This Row],[Ativo]]),Tabela3[Total Ações])</f>
        <v>73646388</v>
      </c>
      <c r="E98" s="65">
        <f>(Tabela2[[#This Row],[Lucro Líquido]])/Tabela2[[#This Row],[Total Ações]]</f>
        <v>0.6887506825181976</v>
      </c>
      <c r="F98" s="65">
        <v>0.44624000000000003</v>
      </c>
      <c r="G98" s="22">
        <f>IF(AND(Tabela2[[#This Row],[Dividendo / Ação]]&gt;0,Tabela2[[#This Row],[Lucro por ação]]&gt;0),Tabela2[[#This Row],[Dividendo / Ação]]/Tabela2[[#This Row],[Lucro por ação]],"")</f>
        <v>0.64789772457061756</v>
      </c>
      <c r="H98" s="5">
        <f>MAX(Tabela2[[#This Row],[Cotação 1]],Tabela2[[#This Row],[Cotação 2]])</f>
        <v>5.96</v>
      </c>
      <c r="I98" s="18">
        <f>IF(Tabela2[[#This Row],[Dividendo / Ação]]&gt;0,Tabela2[[#This Row],[Dividendo / Ação]]/Tabela2[[#This Row],[Cotação]],"")</f>
        <v>7.4872483221476521E-2</v>
      </c>
      <c r="J98" s="60">
        <f>SUMPRODUCT(N(Tabela1[Código]=Tabela2[[#This Row],[Ativo]]),Tabela1[Fechamento])</f>
        <v>5.96</v>
      </c>
      <c r="K98" s="60">
        <f>SUMPRODUCT(N(Tabela17[Código]=Tabela2[[#This Row],[Ativo]]),Tabela17[Fechamento])</f>
        <v>0</v>
      </c>
    </row>
    <row r="99" spans="1:11">
      <c r="A99" s="15" t="s">
        <v>81</v>
      </c>
      <c r="B99" s="3">
        <v>2009</v>
      </c>
      <c r="C99" s="5">
        <v>46296000</v>
      </c>
      <c r="D99" s="62">
        <f>SUMPRODUCT(N(Tabela3[PAPEL]=Tabela2[[#This Row],[Ativo]]),Tabela3[Total Ações])</f>
        <v>73646388</v>
      </c>
      <c r="E99" s="65">
        <f>(Tabela2[[#This Row],[Lucro Líquido]])/Tabela2[[#This Row],[Total Ações]]</f>
        <v>0.62862553422171907</v>
      </c>
      <c r="F99" s="65">
        <v>0.38367000000000001</v>
      </c>
      <c r="G99" s="22">
        <f>IF(AND(Tabela2[[#This Row],[Dividendo / Ação]]&gt;0,Tabela2[[#This Row],[Lucro por ação]]&gt;0),Tabela2[[#This Row],[Dividendo / Ação]]/Tabela2[[#This Row],[Lucro por ação]],"")</f>
        <v>0.61033155529548988</v>
      </c>
      <c r="H99" s="5">
        <f>MAX(Tabela2[[#This Row],[Cotação 1]],Tabela2[[#This Row],[Cotação 2]])</f>
        <v>5.96</v>
      </c>
      <c r="I99" s="18">
        <f>IF(Tabela2[[#This Row],[Dividendo / Ação]]&gt;0,Tabela2[[#This Row],[Dividendo / Ação]]/Tabela2[[#This Row],[Cotação]],"")</f>
        <v>6.43741610738255E-2</v>
      </c>
      <c r="J99" s="60">
        <f>SUMPRODUCT(N(Tabela1[Código]=Tabela2[[#This Row],[Ativo]]),Tabela1[Fechamento])</f>
        <v>5.96</v>
      </c>
      <c r="K99" s="60">
        <f>SUMPRODUCT(N(Tabela17[Código]=Tabela2[[#This Row],[Ativo]]),Tabela17[Fechamento])</f>
        <v>0</v>
      </c>
    </row>
    <row r="100" spans="1:11">
      <c r="A100" s="15" t="s">
        <v>255</v>
      </c>
      <c r="B100" s="3">
        <v>2012</v>
      </c>
      <c r="C100" s="5">
        <v>63154000</v>
      </c>
      <c r="D100" s="62">
        <f>SUMPRODUCT(N(Tabela3[PAPEL]=Tabela2[[#This Row],[Ativo]]),Tabela3[Total Ações])</f>
        <v>73646388</v>
      </c>
      <c r="E100" s="65">
        <f>(Tabela2[[#This Row],[Lucro Líquido]])/Tabela2[[#This Row],[Total Ações]]</f>
        <v>0.85753017513907126</v>
      </c>
      <c r="F100" s="65">
        <v>0.28913</v>
      </c>
      <c r="G100" s="22">
        <f>IF(AND(Tabela2[[#This Row],[Dividendo / Ação]]&gt;0,Tabela2[[#This Row],[Lucro por ação]]&gt;0),Tabela2[[#This Row],[Dividendo / Ação]]/Tabela2[[#This Row],[Lucro por ação]],"")</f>
        <v>0.33716597780726482</v>
      </c>
      <c r="H100" s="5">
        <f>MAX(Tabela2[[#This Row],[Cotação 1]],Tabela2[[#This Row],[Cotação 2]])</f>
        <v>3.6</v>
      </c>
      <c r="I100" s="18">
        <f>IF(Tabela2[[#This Row],[Dividendo / Ação]]&gt;0,Tabela2[[#This Row],[Dividendo / Ação]]/Tabela2[[#This Row],[Cotação]],"")</f>
        <v>8.0313888888888893E-2</v>
      </c>
      <c r="J100" s="60">
        <f>SUMPRODUCT(N(Tabela1[Código]=Tabela2[[#This Row],[Ativo]]),Tabela1[Fechamento])</f>
        <v>3.6</v>
      </c>
      <c r="K100" s="60">
        <f>SUMPRODUCT(N(Tabela17[Código]=Tabela2[[#This Row],[Ativo]]),Tabela17[Fechamento])</f>
        <v>0</v>
      </c>
    </row>
    <row r="101" spans="1:11">
      <c r="A101" s="15" t="s">
        <v>255</v>
      </c>
      <c r="B101" s="3">
        <v>2011</v>
      </c>
      <c r="C101" s="5">
        <v>56638000</v>
      </c>
      <c r="D101" s="62">
        <f>SUMPRODUCT(N(Tabela3[PAPEL]=Tabela2[[#This Row],[Ativo]]),Tabela3[Total Ações])</f>
        <v>73646388</v>
      </c>
      <c r="E101" s="65">
        <f>(Tabela2[[#This Row],[Lucro Líquido]])/Tabela2[[#This Row],[Total Ações]]</f>
        <v>0.76905333089791184</v>
      </c>
      <c r="F101" s="65">
        <v>0.26712000000000002</v>
      </c>
      <c r="G101" s="22">
        <f>IF(AND(Tabela2[[#This Row],[Dividendo / Ação]]&gt;0,Tabela2[[#This Row],[Lucro por ação]]&gt;0),Tabela2[[#This Row],[Dividendo / Ação]]/Tabela2[[#This Row],[Lucro por ação]],"")</f>
        <v>0.34733611996468805</v>
      </c>
      <c r="H101" s="5">
        <f>MAX(Tabela2[[#This Row],[Cotação 1]],Tabela2[[#This Row],[Cotação 2]])</f>
        <v>3.6</v>
      </c>
      <c r="I101" s="18">
        <f>IF(Tabela2[[#This Row],[Dividendo / Ação]]&gt;0,Tabela2[[#This Row],[Dividendo / Ação]]/Tabela2[[#This Row],[Cotação]],"")</f>
        <v>7.4200000000000002E-2</v>
      </c>
      <c r="J101" s="60">
        <f>SUMPRODUCT(N(Tabela1[Código]=Tabela2[[#This Row],[Ativo]]),Tabela1[Fechamento])</f>
        <v>3.6</v>
      </c>
      <c r="K101" s="60">
        <f>SUMPRODUCT(N(Tabela17[Código]=Tabela2[[#This Row],[Ativo]]),Tabela17[Fechamento])</f>
        <v>0</v>
      </c>
    </row>
    <row r="102" spans="1:11">
      <c r="A102" s="15" t="s">
        <v>255</v>
      </c>
      <c r="B102" s="3">
        <v>2010</v>
      </c>
      <c r="C102" s="5">
        <v>50724000</v>
      </c>
      <c r="D102" s="62">
        <f>SUMPRODUCT(N(Tabela3[PAPEL]=Tabela2[[#This Row],[Ativo]]),Tabela3[Total Ações])</f>
        <v>73646388</v>
      </c>
      <c r="E102" s="65">
        <f>(Tabela2[[#This Row],[Lucro Líquido]])/Tabela2[[#This Row],[Total Ações]]</f>
        <v>0.6887506825181976</v>
      </c>
      <c r="F102" s="65">
        <v>0.26029999999999998</v>
      </c>
      <c r="G102" s="22">
        <f>IF(AND(Tabela2[[#This Row],[Dividendo / Ação]]&gt;0,Tabela2[[#This Row],[Lucro por ação]]&gt;0),Tabela2[[#This Row],[Dividendo / Ação]]/Tabela2[[#This Row],[Lucro por ação]],"")</f>
        <v>0.37793065997161107</v>
      </c>
      <c r="H102" s="5">
        <f>MAX(Tabela2[[#This Row],[Cotação 1]],Tabela2[[#This Row],[Cotação 2]])</f>
        <v>3.6</v>
      </c>
      <c r="I102" s="18">
        <f>IF(Tabela2[[#This Row],[Dividendo / Ação]]&gt;0,Tabela2[[#This Row],[Dividendo / Ação]]/Tabela2[[#This Row],[Cotação]],"")</f>
        <v>7.2305555555555553E-2</v>
      </c>
      <c r="J102" s="60">
        <f>SUMPRODUCT(N(Tabela1[Código]=Tabela2[[#This Row],[Ativo]]),Tabela1[Fechamento])</f>
        <v>3.6</v>
      </c>
      <c r="K102" s="60">
        <f>SUMPRODUCT(N(Tabela17[Código]=Tabela2[[#This Row],[Ativo]]),Tabela17[Fechamento])</f>
        <v>0</v>
      </c>
    </row>
    <row r="103" spans="1:11">
      <c r="A103" s="15" t="s">
        <v>255</v>
      </c>
      <c r="B103" s="3">
        <v>2009</v>
      </c>
      <c r="C103" s="5">
        <v>46296000</v>
      </c>
      <c r="D103" s="62">
        <f>SUMPRODUCT(N(Tabela3[PAPEL]=Tabela2[[#This Row],[Ativo]]),Tabela3[Total Ações])</f>
        <v>73646388</v>
      </c>
      <c r="E103" s="65">
        <f>(Tabela2[[#This Row],[Lucro Líquido]])/Tabela2[[#This Row],[Total Ações]]</f>
        <v>0.62862553422171907</v>
      </c>
      <c r="F103" s="65">
        <v>0.22452</v>
      </c>
      <c r="G103" s="22">
        <f>IF(AND(Tabela2[[#This Row],[Dividendo / Ação]]&gt;0,Tabela2[[#This Row],[Lucro por ação]]&gt;0),Tabela2[[#This Row],[Dividendo / Ação]]/Tabela2[[#This Row],[Lucro por ação]],"")</f>
        <v>0.35716016575427684</v>
      </c>
      <c r="H103" s="5">
        <f>MAX(Tabela2[[#This Row],[Cotação 1]],Tabela2[[#This Row],[Cotação 2]])</f>
        <v>3.6</v>
      </c>
      <c r="I103" s="18">
        <f>IF(Tabela2[[#This Row],[Dividendo / Ação]]&gt;0,Tabela2[[#This Row],[Dividendo / Ação]]/Tabela2[[#This Row],[Cotação]],"")</f>
        <v>6.2366666666666667E-2</v>
      </c>
      <c r="J103" s="60">
        <f>SUMPRODUCT(N(Tabela1[Código]=Tabela2[[#This Row],[Ativo]]),Tabela1[Fechamento])</f>
        <v>3.6</v>
      </c>
      <c r="K103" s="60">
        <f>SUMPRODUCT(N(Tabela17[Código]=Tabela2[[#This Row],[Ativo]]),Tabela17[Fechamento])</f>
        <v>0</v>
      </c>
    </row>
    <row r="104" spans="1:11">
      <c r="A104" s="15" t="s">
        <v>256</v>
      </c>
      <c r="B104" s="3">
        <v>2012</v>
      </c>
      <c r="C104" s="5">
        <v>63154000</v>
      </c>
      <c r="D104" s="62">
        <f>SUMPRODUCT(N(Tabela3[PAPEL]=Tabela2[[#This Row],[Ativo]]),Tabela3[Total Ações])</f>
        <v>73646388</v>
      </c>
      <c r="E104" s="65">
        <f>(Tabela2[[#This Row],[Lucro Líquido]])/Tabela2[[#This Row],[Total Ações]]</f>
        <v>0.85753017513907126</v>
      </c>
      <c r="F104" s="65">
        <v>0.20652000000000001</v>
      </c>
      <c r="G104" s="22">
        <f>IF(AND(Tabela2[[#This Row],[Dividendo / Ação]]&gt;0,Tabela2[[#This Row],[Lucro por ação]]&gt;0),Tabela2[[#This Row],[Dividendo / Ação]]/Tabela2[[#This Row],[Lucro por ação]],"")</f>
        <v>0.24083117537701496</v>
      </c>
      <c r="H104" s="5">
        <f>MAX(Tabela2[[#This Row],[Cotação 1]],Tabela2[[#This Row],[Cotação 2]])</f>
        <v>3.8</v>
      </c>
      <c r="I104" s="18">
        <f>IF(Tabela2[[#This Row],[Dividendo / Ação]]&gt;0,Tabela2[[#This Row],[Dividendo / Ação]]/Tabela2[[#This Row],[Cotação]],"")</f>
        <v>5.4347368421052637E-2</v>
      </c>
      <c r="J104" s="60">
        <f>SUMPRODUCT(N(Tabela1[Código]=Tabela2[[#This Row],[Ativo]]),Tabela1[Fechamento])</f>
        <v>3.8</v>
      </c>
      <c r="K104" s="60">
        <f>SUMPRODUCT(N(Tabela17[Código]=Tabela2[[#This Row],[Ativo]]),Tabela17[Fechamento])</f>
        <v>0</v>
      </c>
    </row>
    <row r="105" spans="1:11">
      <c r="A105" s="15" t="s">
        <v>256</v>
      </c>
      <c r="B105" s="3">
        <v>2011</v>
      </c>
      <c r="C105" s="5">
        <v>56638000</v>
      </c>
      <c r="D105" s="62">
        <f>SUMPRODUCT(N(Tabela3[PAPEL]=Tabela2[[#This Row],[Ativo]]),Tabela3[Total Ações])</f>
        <v>73646388</v>
      </c>
      <c r="E105" s="65">
        <f>(Tabela2[[#This Row],[Lucro Líquido]])/Tabela2[[#This Row],[Total Ações]]</f>
        <v>0.76905333089791184</v>
      </c>
      <c r="F105" s="65">
        <v>0.19086</v>
      </c>
      <c r="G105" s="22">
        <f>IF(AND(Tabela2[[#This Row],[Dividendo / Ação]]&gt;0,Tabela2[[#This Row],[Lucro por ação]]&gt;0),Tabela2[[#This Row],[Dividendo / Ação]]/Tabela2[[#This Row],[Lucro por ação]],"")</f>
        <v>0.24817524654260389</v>
      </c>
      <c r="H105" s="5">
        <f>MAX(Tabela2[[#This Row],[Cotação 1]],Tabela2[[#This Row],[Cotação 2]])</f>
        <v>3.8</v>
      </c>
      <c r="I105" s="18">
        <f>IF(Tabela2[[#This Row],[Dividendo / Ação]]&gt;0,Tabela2[[#This Row],[Dividendo / Ação]]/Tabela2[[#This Row],[Cotação]],"")</f>
        <v>5.0226315789473688E-2</v>
      </c>
      <c r="J105" s="60">
        <f>SUMPRODUCT(N(Tabela1[Código]=Tabela2[[#This Row],[Ativo]]),Tabela1[Fechamento])</f>
        <v>3.8</v>
      </c>
      <c r="K105" s="60">
        <f>SUMPRODUCT(N(Tabela17[Código]=Tabela2[[#This Row],[Ativo]]),Tabela17[Fechamento])</f>
        <v>0</v>
      </c>
    </row>
    <row r="106" spans="1:11">
      <c r="A106" s="15" t="s">
        <v>256</v>
      </c>
      <c r="B106" s="3">
        <v>2010</v>
      </c>
      <c r="C106" s="5">
        <v>50724000</v>
      </c>
      <c r="D106" s="62">
        <f>SUMPRODUCT(N(Tabela3[PAPEL]=Tabela2[[#This Row],[Ativo]]),Tabela3[Total Ações])</f>
        <v>73646388</v>
      </c>
      <c r="E106" s="65">
        <f>(Tabela2[[#This Row],[Lucro Líquido]])/Tabela2[[#This Row],[Total Ações]]</f>
        <v>0.6887506825181976</v>
      </c>
      <c r="F106" s="65">
        <v>0.18592</v>
      </c>
      <c r="G106" s="22">
        <f>IF(AND(Tabela2[[#This Row],[Dividendo / Ação]]&gt;0,Tabela2[[#This Row],[Lucro por ação]]&gt;0),Tabela2[[#This Row],[Dividendo / Ação]]/Tabela2[[#This Row],[Lucro por ação]],"")</f>
        <v>0.26993802651525906</v>
      </c>
      <c r="H106" s="5">
        <f>MAX(Tabela2[[#This Row],[Cotação 1]],Tabela2[[#This Row],[Cotação 2]])</f>
        <v>3.8</v>
      </c>
      <c r="I106" s="18">
        <f>IF(Tabela2[[#This Row],[Dividendo / Ação]]&gt;0,Tabela2[[#This Row],[Dividendo / Ação]]/Tabela2[[#This Row],[Cotação]],"")</f>
        <v>4.8926315789473686E-2</v>
      </c>
      <c r="J106" s="60">
        <f>SUMPRODUCT(N(Tabela1[Código]=Tabela2[[#This Row],[Ativo]]),Tabela1[Fechamento])</f>
        <v>3.8</v>
      </c>
      <c r="K106" s="60">
        <f>SUMPRODUCT(N(Tabela17[Código]=Tabela2[[#This Row],[Ativo]]),Tabela17[Fechamento])</f>
        <v>0</v>
      </c>
    </row>
    <row r="107" spans="1:11">
      <c r="A107" s="15" t="s">
        <v>256</v>
      </c>
      <c r="B107" s="3">
        <v>2009</v>
      </c>
      <c r="C107" s="5">
        <v>46296000</v>
      </c>
      <c r="D107" s="62">
        <f>SUMPRODUCT(N(Tabela3[PAPEL]=Tabela2[[#This Row],[Ativo]]),Tabela3[Total Ações])</f>
        <v>73646388</v>
      </c>
      <c r="E107" s="65">
        <f>(Tabela2[[#This Row],[Lucro Líquido]])/Tabela2[[#This Row],[Total Ações]]</f>
        <v>0.62862553422171907</v>
      </c>
      <c r="F107" s="65">
        <v>0.16084999999999999</v>
      </c>
      <c r="G107" s="22">
        <f>IF(AND(Tabela2[[#This Row],[Dividendo / Ação]]&gt;0,Tabela2[[#This Row],[Lucro por ação]]&gt;0),Tabela2[[#This Row],[Dividendo / Ação]]/Tabela2[[#This Row],[Lucro por ação]],"")</f>
        <v>0.25587570221617417</v>
      </c>
      <c r="H107" s="5">
        <f>MAX(Tabela2[[#This Row],[Cotação 1]],Tabela2[[#This Row],[Cotação 2]])</f>
        <v>3.8</v>
      </c>
      <c r="I107" s="18">
        <f>IF(Tabela2[[#This Row],[Dividendo / Ação]]&gt;0,Tabela2[[#This Row],[Dividendo / Ação]]/Tabela2[[#This Row],[Cotação]],"")</f>
        <v>4.2328947368421049E-2</v>
      </c>
      <c r="J107" s="60">
        <f>SUMPRODUCT(N(Tabela1[Código]=Tabela2[[#This Row],[Ativo]]),Tabela1[Fechamento])</f>
        <v>3.8</v>
      </c>
      <c r="K107" s="60">
        <f>SUMPRODUCT(N(Tabela17[Código]=Tabela2[[#This Row],[Ativo]]),Tabela17[Fechamento])</f>
        <v>0</v>
      </c>
    </row>
    <row r="108" spans="1:11">
      <c r="A108" s="4" t="s">
        <v>221</v>
      </c>
      <c r="B108" s="4">
        <v>2012</v>
      </c>
      <c r="C108" s="6">
        <v>66187000</v>
      </c>
      <c r="D108" s="8">
        <f>SUMPRODUCT(N(Tabela3[PAPEL]=Tabela2[[#This Row],[Ativo]]),Tabela3[Total Ações])</f>
        <v>90224492</v>
      </c>
      <c r="E108" s="66">
        <f>(Tabela2[[#This Row],[Lucro Líquido]])/Tabela2[[#This Row],[Total Ações]]</f>
        <v>0.73358129852368692</v>
      </c>
      <c r="F108" s="66">
        <v>7.9699999999999993E-2</v>
      </c>
      <c r="G108" s="46">
        <f>IF(AND(Tabela2[[#This Row],[Dividendo / Ação]]&gt;0,Tabela2[[#This Row],[Lucro por ação]]&gt;0),Tabela2[[#This Row],[Dividendo / Ação]]/Tabela2[[#This Row],[Lucro por ação]],"")</f>
        <v>0.10864508154773594</v>
      </c>
      <c r="H108" s="6">
        <f>MAX(Tabela2[[#This Row],[Cotação 1]],Tabela2[[#This Row],[Cotação 2]])</f>
        <v>6.61</v>
      </c>
      <c r="I108" s="19">
        <f>IF(Tabela2[[#This Row],[Dividendo / Ação]]&gt;0,Tabela2[[#This Row],[Dividendo / Ação]]/Tabela2[[#This Row],[Cotação]],"")</f>
        <v>1.2057488653555219E-2</v>
      </c>
      <c r="J108" s="61">
        <f>SUMPRODUCT(N(Tabela1[Código]=Tabela2[[#This Row],[Ativo]]),Tabela1[Fechamento])</f>
        <v>6.61</v>
      </c>
      <c r="K108" s="61">
        <f>SUMPRODUCT(N(Tabela17[Código]=Tabela2[[#This Row],[Ativo]]),Tabela17[Fechamento])</f>
        <v>0</v>
      </c>
    </row>
    <row r="109" spans="1:11">
      <c r="A109" s="4" t="s">
        <v>221</v>
      </c>
      <c r="B109" s="3">
        <v>2011</v>
      </c>
      <c r="C109" s="5">
        <v>67513447</v>
      </c>
      <c r="D109" s="62">
        <f>SUMPRODUCT(N(Tabela3[PAPEL]=Tabela2[[#This Row],[Ativo]]),Tabela3[Total Ações])</f>
        <v>90224492</v>
      </c>
      <c r="E109" s="65">
        <f>(Tabela2[[#This Row],[Lucro Líquido]])/Tabela2[[#This Row],[Total Ações]]</f>
        <v>0.74828292743393887</v>
      </c>
      <c r="F109" s="65">
        <v>9.9199999999999997E-2</v>
      </c>
      <c r="G109" s="22">
        <f>IF(AND(Tabela2[[#This Row],[Dividendo / Ação]]&gt;0,Tabela2[[#This Row],[Lucro por ação]]&gt;0),Tabela2[[#This Row],[Dividendo / Ação]]/Tabela2[[#This Row],[Lucro por ação]],"")</f>
        <v>0.13257017681825667</v>
      </c>
      <c r="H109" s="5">
        <f>MAX(Tabela2[[#This Row],[Cotação 1]],Tabela2[[#This Row],[Cotação 2]])</f>
        <v>6.61</v>
      </c>
      <c r="I109" s="18">
        <f>IF(Tabela2[[#This Row],[Dividendo / Ação]]&gt;0,Tabela2[[#This Row],[Dividendo / Ação]]/Tabela2[[#This Row],[Cotação]],"")</f>
        <v>1.5007564296520422E-2</v>
      </c>
      <c r="J109" s="60">
        <f>SUMPRODUCT(N(Tabela1[Código]=Tabela2[[#This Row],[Ativo]]),Tabela1[Fechamento])</f>
        <v>6.61</v>
      </c>
      <c r="K109" s="60">
        <f>SUMPRODUCT(N(Tabela17[Código]=Tabela2[[#This Row],[Ativo]]),Tabela17[Fechamento])</f>
        <v>0</v>
      </c>
    </row>
    <row r="110" spans="1:11">
      <c r="A110" s="4" t="s">
        <v>221</v>
      </c>
      <c r="B110" s="3">
        <v>2010</v>
      </c>
      <c r="C110" s="5">
        <v>82086317</v>
      </c>
      <c r="D110" s="62">
        <f>SUMPRODUCT(N(Tabela3[PAPEL]=Tabela2[[#This Row],[Ativo]]),Tabela3[Total Ações])</f>
        <v>90224492</v>
      </c>
      <c r="E110" s="65">
        <f>(Tabela2[[#This Row],[Lucro Líquido]])/Tabela2[[#This Row],[Total Ações]]</f>
        <v>0.90980082215370084</v>
      </c>
      <c r="F110" s="65">
        <v>0.1905</v>
      </c>
      <c r="G110" s="22">
        <f>IF(AND(Tabela2[[#This Row],[Dividendo / Ação]]&gt;0,Tabela2[[#This Row],[Lucro por ação]]&gt;0),Tabela2[[#This Row],[Dividendo / Ação]]/Tabela2[[#This Row],[Lucro por ação]],"")</f>
        <v>0.20938648917577821</v>
      </c>
      <c r="H110" s="5">
        <f>MAX(Tabela2[[#This Row],[Cotação 1]],Tabela2[[#This Row],[Cotação 2]])</f>
        <v>6.61</v>
      </c>
      <c r="I110" s="18">
        <f>IF(Tabela2[[#This Row],[Dividendo / Ação]]&gt;0,Tabela2[[#This Row],[Dividendo / Ação]]/Tabela2[[#This Row],[Cotação]],"")</f>
        <v>2.8819969742813919E-2</v>
      </c>
      <c r="J110" s="60">
        <f>SUMPRODUCT(N(Tabela1[Código]=Tabela2[[#This Row],[Ativo]]),Tabela1[Fechamento])</f>
        <v>6.61</v>
      </c>
      <c r="K110" s="60">
        <f>SUMPRODUCT(N(Tabela17[Código]=Tabela2[[#This Row],[Ativo]]),Tabela17[Fechamento])</f>
        <v>0</v>
      </c>
    </row>
    <row r="111" spans="1:11">
      <c r="A111" s="4" t="s">
        <v>221</v>
      </c>
      <c r="B111" s="3">
        <v>2009</v>
      </c>
      <c r="C111" s="5">
        <v>76789552</v>
      </c>
      <c r="D111" s="62">
        <f>SUMPRODUCT(N(Tabela3[PAPEL]=Tabela2[[#This Row],[Ativo]]),Tabela3[Total Ações])</f>
        <v>90224492</v>
      </c>
      <c r="E111" s="65">
        <f>(Tabela2[[#This Row],[Lucro Líquido]])/Tabela2[[#This Row],[Total Ações]]</f>
        <v>0.85109431261746538</v>
      </c>
      <c r="F111" s="65">
        <v>0.1767</v>
      </c>
      <c r="G111" s="22">
        <f>IF(AND(Tabela2[[#This Row],[Dividendo / Ação]]&gt;0,Tabela2[[#This Row],[Lucro por ação]]&gt;0),Tabela2[[#This Row],[Dividendo / Ação]]/Tabela2[[#This Row],[Lucro por ação]],"")</f>
        <v>0.20761506378367722</v>
      </c>
      <c r="H111" s="5">
        <f>MAX(Tabela2[[#This Row],[Cotação 1]],Tabela2[[#This Row],[Cotação 2]])</f>
        <v>6.61</v>
      </c>
      <c r="I111" s="18">
        <f>IF(Tabela2[[#This Row],[Dividendo / Ação]]&gt;0,Tabela2[[#This Row],[Dividendo / Ação]]/Tabela2[[#This Row],[Cotação]],"")</f>
        <v>2.6732223903177001E-2</v>
      </c>
      <c r="J111" s="60">
        <f>SUMPRODUCT(N(Tabela1[Código]=Tabela2[[#This Row],[Ativo]]),Tabela1[Fechamento])</f>
        <v>6.61</v>
      </c>
      <c r="K111" s="60">
        <f>SUMPRODUCT(N(Tabela17[Código]=Tabela2[[#This Row],[Ativo]]),Tabela17[Fechamento])</f>
        <v>0</v>
      </c>
    </row>
    <row r="112" spans="1:11">
      <c r="A112" s="4" t="s">
        <v>222</v>
      </c>
      <c r="B112" s="4">
        <v>2012</v>
      </c>
      <c r="C112" s="6">
        <v>66187000</v>
      </c>
      <c r="D112" s="8">
        <f>SUMPRODUCT(N(Tabela3[PAPEL]=Tabela2[[#This Row],[Ativo]]),Tabela3[Total Ações])</f>
        <v>90224492</v>
      </c>
      <c r="E112" s="66">
        <f>(Tabela2[[#This Row],[Lucro Líquido]])/Tabela2[[#This Row],[Total Ações]]</f>
        <v>0.73358129852368692</v>
      </c>
      <c r="F112" s="66">
        <v>0.39119999999999999</v>
      </c>
      <c r="G112" s="46">
        <f>IF(AND(Tabela2[[#This Row],[Dividendo / Ação]]&gt;0,Tabela2[[#This Row],[Lucro por ação]]&gt;0),Tabela2[[#This Row],[Dividendo / Ação]]/Tabela2[[#This Row],[Lucro por ação]],"")</f>
        <v>0.53327422712012928</v>
      </c>
      <c r="H112" s="6">
        <f>MAX(Tabela2[[#This Row],[Cotação 1]],Tabela2[[#This Row],[Cotação 2]])</f>
        <v>5.69</v>
      </c>
      <c r="I112" s="19">
        <f>IF(Tabela2[[#This Row],[Dividendo / Ação]]&gt;0,Tabela2[[#This Row],[Dividendo / Ação]]/Tabela2[[#This Row],[Cotação]],"")</f>
        <v>6.8752196836555354E-2</v>
      </c>
      <c r="J112" s="61">
        <f>SUMPRODUCT(N(Tabela1[Código]=Tabela2[[#This Row],[Ativo]]),Tabela1[Fechamento])</f>
        <v>5.69</v>
      </c>
      <c r="K112" s="61">
        <f>SUMPRODUCT(N(Tabela17[Código]=Tabela2[[#This Row],[Ativo]]),Tabela17[Fechamento])</f>
        <v>0</v>
      </c>
    </row>
    <row r="113" spans="1:11">
      <c r="A113" s="4" t="s">
        <v>222</v>
      </c>
      <c r="B113" s="4">
        <v>2011</v>
      </c>
      <c r="C113" s="5">
        <v>67513447</v>
      </c>
      <c r="D113" s="8">
        <f>SUMPRODUCT(N(Tabela3[PAPEL]=Tabela2[[#This Row],[Ativo]]),Tabela3[Total Ações])</f>
        <v>90224492</v>
      </c>
      <c r="E113" s="66">
        <f>(Tabela2[[#This Row],[Lucro Líquido]])/Tabela2[[#This Row],[Total Ações]]</f>
        <v>0.74828292743393887</v>
      </c>
      <c r="F113" s="66">
        <v>0.37240000000000001</v>
      </c>
      <c r="G113" s="46">
        <f>IF(AND(Tabela2[[#This Row],[Dividendo / Ação]]&gt;0,Tabela2[[#This Row],[Lucro por ação]]&gt;0),Tabela2[[#This Row],[Dividendo / Ação]]/Tabela2[[#This Row],[Lucro por ação]],"")</f>
        <v>0.49767272023305226</v>
      </c>
      <c r="H113" s="6">
        <f>MAX(Tabela2[[#This Row],[Cotação 1]],Tabela2[[#This Row],[Cotação 2]])</f>
        <v>5.69</v>
      </c>
      <c r="I113" s="19">
        <f>IF(Tabela2[[#This Row],[Dividendo / Ação]]&gt;0,Tabela2[[#This Row],[Dividendo / Ação]]/Tabela2[[#This Row],[Cotação]],"")</f>
        <v>6.5448154657293492E-2</v>
      </c>
      <c r="J113" s="61">
        <f>SUMPRODUCT(N(Tabela1[Código]=Tabela2[[#This Row],[Ativo]]),Tabela1[Fechamento])</f>
        <v>5.69</v>
      </c>
      <c r="K113" s="61">
        <f>SUMPRODUCT(N(Tabela17[Código]=Tabela2[[#This Row],[Ativo]]),Tabela17[Fechamento])</f>
        <v>0</v>
      </c>
    </row>
    <row r="114" spans="1:11">
      <c r="A114" s="4" t="s">
        <v>222</v>
      </c>
      <c r="B114" s="4">
        <v>2010</v>
      </c>
      <c r="C114" s="5">
        <v>82086317</v>
      </c>
      <c r="D114" s="8">
        <f>SUMPRODUCT(N(Tabela3[PAPEL]=Tabela2[[#This Row],[Ativo]]),Tabela3[Total Ações])</f>
        <v>90224492</v>
      </c>
      <c r="E114" s="66">
        <f>(Tabela2[[#This Row],[Lucro Líquido]])/Tabela2[[#This Row],[Total Ações]]</f>
        <v>0.90980082215370084</v>
      </c>
      <c r="F114" s="66">
        <v>0.34889999999999999</v>
      </c>
      <c r="G114" s="46">
        <f>IF(AND(Tabela2[[#This Row],[Dividendo / Ação]]&gt;0,Tabela2[[#This Row],[Lucro por ação]]&gt;0),Tabela2[[#This Row],[Dividendo / Ação]]/Tabela2[[#This Row],[Lucro por ação]],"")</f>
        <v>0.3834905305691812</v>
      </c>
      <c r="H114" s="6">
        <f>MAX(Tabela2[[#This Row],[Cotação 1]],Tabela2[[#This Row],[Cotação 2]])</f>
        <v>5.69</v>
      </c>
      <c r="I114" s="19">
        <f>IF(Tabela2[[#This Row],[Dividendo / Ação]]&gt;0,Tabela2[[#This Row],[Dividendo / Ação]]/Tabela2[[#This Row],[Cotação]],"")</f>
        <v>6.1318101933216164E-2</v>
      </c>
      <c r="J114" s="61">
        <f>SUMPRODUCT(N(Tabela1[Código]=Tabela2[[#This Row],[Ativo]]),Tabela1[Fechamento])</f>
        <v>5.69</v>
      </c>
      <c r="K114" s="61">
        <f>SUMPRODUCT(N(Tabela17[Código]=Tabela2[[#This Row],[Ativo]]),Tabela17[Fechamento])</f>
        <v>0</v>
      </c>
    </row>
    <row r="115" spans="1:11">
      <c r="A115" s="4" t="s">
        <v>222</v>
      </c>
      <c r="B115" s="4">
        <v>2009</v>
      </c>
      <c r="C115" s="5">
        <v>76789552</v>
      </c>
      <c r="D115" s="8">
        <f>SUMPRODUCT(N(Tabela3[PAPEL]=Tabela2[[#This Row],[Ativo]]),Tabela3[Total Ações])</f>
        <v>90224492</v>
      </c>
      <c r="E115" s="66">
        <f>(Tabela2[[#This Row],[Lucro Líquido]])/Tabela2[[#This Row],[Total Ações]]</f>
        <v>0.85109431261746538</v>
      </c>
      <c r="F115" s="66">
        <v>0.3286</v>
      </c>
      <c r="G115" s="46">
        <f>IF(AND(Tabela2[[#This Row],[Dividendo / Ação]]&gt;0,Tabela2[[#This Row],[Lucro por ação]]&gt;0),Tabela2[[#This Row],[Dividendo / Ação]]/Tabela2[[#This Row],[Lucro por ação]],"")</f>
        <v>0.38609117124683834</v>
      </c>
      <c r="H115" s="6">
        <f>MAX(Tabela2[[#This Row],[Cotação 1]],Tabela2[[#This Row],[Cotação 2]])</f>
        <v>5.69</v>
      </c>
      <c r="I115" s="19">
        <f>IF(Tabela2[[#This Row],[Dividendo / Ação]]&gt;0,Tabela2[[#This Row],[Dividendo / Ação]]/Tabela2[[#This Row],[Cotação]],"")</f>
        <v>5.7750439367311071E-2</v>
      </c>
      <c r="J115" s="61">
        <f>SUMPRODUCT(N(Tabela1[Código]=Tabela2[[#This Row],[Ativo]]),Tabela1[Fechamento])</f>
        <v>5.69</v>
      </c>
      <c r="K115" s="61">
        <f>SUMPRODUCT(N(Tabela17[Código]=Tabela2[[#This Row],[Ativo]]),Tabela17[Fechamento])</f>
        <v>0</v>
      </c>
    </row>
    <row r="116" spans="1:11">
      <c r="A116" s="14" t="s">
        <v>324</v>
      </c>
      <c r="B116" s="3">
        <v>2012</v>
      </c>
      <c r="C116" s="5">
        <v>-731143033.12</v>
      </c>
      <c r="D116" s="62">
        <f>SUMPRODUCT(N(Tabela3[PAPEL]=Tabela2[[#This Row],[Ativo]]),Tabela3[Total Ações])</f>
        <v>797265348</v>
      </c>
      <c r="E116" s="65">
        <f>(Tabela2[[#This Row],[Lucro Líquido]])/Tabela2[[#This Row],[Total Ações]]</f>
        <v>-0.91706360367238737</v>
      </c>
      <c r="F116" s="65">
        <v>0</v>
      </c>
      <c r="G116" s="22" t="str">
        <f>IF(AND(Tabela2[[#This Row],[Dividendo / Ação]]&gt;0,Tabela2[[#This Row],[Lucro por ação]]&gt;0),Tabela2[[#This Row],[Dividendo / Ação]]/Tabela2[[#This Row],[Lucro por ação]],"")</f>
        <v/>
      </c>
      <c r="H116" s="51">
        <f>MAX(Tabela2[[#This Row],[Cotação 1]],Tabela2[[#This Row],[Cotação 2]])</f>
        <v>16.3</v>
      </c>
      <c r="I116" s="18" t="str">
        <f>IF(Tabela2[[#This Row],[Dividendo / Ação]]&gt;0,Tabela2[[#This Row],[Dividendo / Ação]]/Tabela2[[#This Row],[Cotação]],"")</f>
        <v/>
      </c>
      <c r="J116" s="7">
        <f>SUMPRODUCT(N(Tabela1[Código]=Tabela2[[#This Row],[Ativo]]),Tabela1[Fechamento])</f>
        <v>0</v>
      </c>
      <c r="K116" s="7">
        <f>SUMPRODUCT(N(Tabela17[Código]=Tabela2[[#This Row],[Ativo]]),Tabela17[Fechamento])</f>
        <v>16.3</v>
      </c>
    </row>
    <row r="117" spans="1:11">
      <c r="A117" s="14" t="s">
        <v>324</v>
      </c>
      <c r="B117" s="3">
        <v>2011</v>
      </c>
      <c r="C117" s="5">
        <v>-525142000</v>
      </c>
      <c r="D117" s="62">
        <f>SUMPRODUCT(N(Tabela3[PAPEL]=Tabela2[[#This Row],[Ativo]]),Tabela3[Total Ações])</f>
        <v>797265348</v>
      </c>
      <c r="E117" s="65">
        <f>(Tabela2[[#This Row],[Lucro Líquido]])/Tabela2[[#This Row],[Total Ações]]</f>
        <v>-0.65867907255389713</v>
      </c>
      <c r="F117" s="65">
        <v>0</v>
      </c>
      <c r="G117" s="22" t="str">
        <f>IF(AND(Tabela2[[#This Row],[Dividendo / Ação]]&gt;0,Tabela2[[#This Row],[Lucro por ação]]&gt;0),Tabela2[[#This Row],[Dividendo / Ação]]/Tabela2[[#This Row],[Lucro por ação]],"")</f>
        <v/>
      </c>
      <c r="H117" s="51">
        <f>MAX(Tabela2[[#This Row],[Cotação 1]],Tabela2[[#This Row],[Cotação 2]])</f>
        <v>16.3</v>
      </c>
      <c r="I117" s="18" t="str">
        <f>IF(Tabela2[[#This Row],[Dividendo / Ação]]&gt;0,Tabela2[[#This Row],[Dividendo / Ação]]/Tabela2[[#This Row],[Cotação]],"")</f>
        <v/>
      </c>
      <c r="J117" s="7">
        <f>SUMPRODUCT(N(Tabela1[Código]=Tabela2[[#This Row],[Ativo]]),Tabela1[Fechamento])</f>
        <v>0</v>
      </c>
      <c r="K117" s="7">
        <f>SUMPRODUCT(N(Tabela17[Código]=Tabela2[[#This Row],[Ativo]]),Tabela17[Fechamento])</f>
        <v>16.3</v>
      </c>
    </row>
    <row r="118" spans="1:11">
      <c r="A118" s="14" t="s">
        <v>324</v>
      </c>
      <c r="B118" s="3">
        <v>2010</v>
      </c>
      <c r="C118" s="5">
        <v>1895309000</v>
      </c>
      <c r="D118" s="62">
        <f>SUMPRODUCT(N(Tabela3[PAPEL]=Tabela2[[#This Row],[Ativo]]),Tabela3[Total Ações])</f>
        <v>797265348</v>
      </c>
      <c r="E118" s="65">
        <f>(Tabela2[[#This Row],[Lucro Líquido]])/Tabela2[[#This Row],[Total Ações]]</f>
        <v>2.3772624820011616</v>
      </c>
      <c r="F118" s="65">
        <v>0.83324714</v>
      </c>
      <c r="G118" s="22">
        <f>IF(AND(Tabela2[[#This Row],[Dividendo / Ação]]&gt;0,Tabela2[[#This Row],[Lucro por ação]]&gt;0),Tabela2[[#This Row],[Dividendo / Ação]]/Tabela2[[#This Row],[Lucro por ação]],"")</f>
        <v>0.35050699967240423</v>
      </c>
      <c r="H118" s="51">
        <f>MAX(Tabela2[[#This Row],[Cotação 1]],Tabela2[[#This Row],[Cotação 2]])</f>
        <v>16.3</v>
      </c>
      <c r="I118" s="18">
        <f>IF(Tabela2[[#This Row],[Dividendo / Ação]]&gt;0,Tabela2[[#This Row],[Dividendo / Ação]]/Tabela2[[#This Row],[Cotação]],"")</f>
        <v>5.1119456441717788E-2</v>
      </c>
      <c r="J118" s="7">
        <f>SUMPRODUCT(N(Tabela1[Código]=Tabela2[[#This Row],[Ativo]]),Tabela1[Fechamento])</f>
        <v>0</v>
      </c>
      <c r="K118" s="7">
        <f>SUMPRODUCT(N(Tabela17[Código]=Tabela2[[#This Row],[Ativo]]),Tabela17[Fechamento])</f>
        <v>16.3</v>
      </c>
    </row>
    <row r="119" spans="1:11">
      <c r="A119" s="14" t="s">
        <v>324</v>
      </c>
      <c r="B119" s="3">
        <v>2009</v>
      </c>
      <c r="C119" s="5">
        <v>398491000</v>
      </c>
      <c r="D119" s="62">
        <f>SUMPRODUCT(N(Tabela3[PAPEL]=Tabela2[[#This Row],[Ativo]]),Tabela3[Total Ações])</f>
        <v>797265348</v>
      </c>
      <c r="E119" s="65">
        <f>(Tabela2[[#This Row],[Lucro Líquido]])/Tabela2[[#This Row],[Total Ações]]</f>
        <v>0.49982230006564893</v>
      </c>
      <c r="F119" s="65">
        <v>0</v>
      </c>
      <c r="G119" s="22" t="str">
        <f>IF(AND(Tabela2[[#This Row],[Dividendo / Ação]]&gt;0,Tabela2[[#This Row],[Lucro por ação]]&gt;0),Tabela2[[#This Row],[Dividendo / Ação]]/Tabela2[[#This Row],[Lucro por ação]],"")</f>
        <v/>
      </c>
      <c r="H119" s="51">
        <f>MAX(Tabela2[[#This Row],[Cotação 1]],Tabela2[[#This Row],[Cotação 2]])</f>
        <v>16.3</v>
      </c>
      <c r="I119" s="18" t="str">
        <f>IF(Tabela2[[#This Row],[Dividendo / Ação]]&gt;0,Tabela2[[#This Row],[Dividendo / Ação]]/Tabela2[[#This Row],[Cotação]],"")</f>
        <v/>
      </c>
      <c r="J119" s="7">
        <f>SUMPRODUCT(N(Tabela1[Código]=Tabela2[[#This Row],[Ativo]]),Tabela1[Fechamento])</f>
        <v>0</v>
      </c>
      <c r="K119" s="7">
        <f>SUMPRODUCT(N(Tabela17[Código]=Tabela2[[#This Row],[Ativo]]),Tabela17[Fechamento])</f>
        <v>16.3</v>
      </c>
    </row>
    <row r="120" spans="1:11">
      <c r="A120" s="14" t="s">
        <v>325</v>
      </c>
      <c r="B120" s="3">
        <v>2012</v>
      </c>
      <c r="C120" s="5">
        <v>-731143033.12</v>
      </c>
      <c r="D120" s="62">
        <f>SUMPRODUCT(N(Tabela3[PAPEL]=Tabela2[[#This Row],[Ativo]]),Tabela3[Total Ações])</f>
        <v>797265348</v>
      </c>
      <c r="E120" s="65">
        <f>(Tabela2[[#This Row],[Lucro Líquido]])/Tabela2[[#This Row],[Total Ações]]</f>
        <v>-0.91706360367238737</v>
      </c>
      <c r="F120" s="65">
        <v>0</v>
      </c>
      <c r="G120" s="22" t="str">
        <f>IF(AND(Tabela2[[#This Row],[Dividendo / Ação]]&gt;0,Tabela2[[#This Row],[Lucro por ação]]&gt;0),Tabela2[[#This Row],[Dividendo / Ação]]/Tabela2[[#This Row],[Lucro por ação]],"")</f>
        <v/>
      </c>
      <c r="H120" s="51">
        <f>MAX(Tabela2[[#This Row],[Cotação 1]],Tabela2[[#This Row],[Cotação 2]])</f>
        <v>20.399999999999999</v>
      </c>
      <c r="I120" s="18" t="str">
        <f>IF(Tabela2[[#This Row],[Dividendo / Ação]]&gt;0,Tabela2[[#This Row],[Dividendo / Ação]]/Tabela2[[#This Row],[Cotação]],"")</f>
        <v/>
      </c>
      <c r="J120" s="7">
        <f>SUMPRODUCT(N(Tabela1[Código]=Tabela2[[#This Row],[Ativo]]),Tabela1[Fechamento])</f>
        <v>0</v>
      </c>
      <c r="K120" s="7">
        <f>SUMPRODUCT(N(Tabela17[Código]=Tabela2[[#This Row],[Ativo]]),Tabela17[Fechamento])</f>
        <v>20.399999999999999</v>
      </c>
    </row>
    <row r="121" spans="1:11">
      <c r="A121" s="14" t="s">
        <v>325</v>
      </c>
      <c r="B121" s="3">
        <v>2011</v>
      </c>
      <c r="C121" s="5">
        <v>-525142000</v>
      </c>
      <c r="D121" s="62">
        <f>SUMPRODUCT(N(Tabela3[PAPEL]=Tabela2[[#This Row],[Ativo]]),Tabela3[Total Ações])</f>
        <v>797265348</v>
      </c>
      <c r="E121" s="65">
        <f>(Tabela2[[#This Row],[Lucro Líquido]])/Tabela2[[#This Row],[Total Ações]]</f>
        <v>-0.65867907255389713</v>
      </c>
      <c r="F121" s="65">
        <v>0</v>
      </c>
      <c r="G121" s="22" t="str">
        <f>IF(AND(Tabela2[[#This Row],[Dividendo / Ação]]&gt;0,Tabela2[[#This Row],[Lucro por ação]]&gt;0),Tabela2[[#This Row],[Dividendo / Ação]]/Tabela2[[#This Row],[Lucro por ação]],"")</f>
        <v/>
      </c>
      <c r="H121" s="51">
        <f>MAX(Tabela2[[#This Row],[Cotação 1]],Tabela2[[#This Row],[Cotação 2]])</f>
        <v>20.399999999999999</v>
      </c>
      <c r="I121" s="18" t="str">
        <f>IF(Tabela2[[#This Row],[Dividendo / Ação]]&gt;0,Tabela2[[#This Row],[Dividendo / Ação]]/Tabela2[[#This Row],[Cotação]],"")</f>
        <v/>
      </c>
      <c r="J121" s="7">
        <f>SUMPRODUCT(N(Tabela1[Código]=Tabela2[[#This Row],[Ativo]]),Tabela1[Fechamento])</f>
        <v>0</v>
      </c>
      <c r="K121" s="7">
        <f>SUMPRODUCT(N(Tabela17[Código]=Tabela2[[#This Row],[Ativo]]),Tabela17[Fechamento])</f>
        <v>20.399999999999999</v>
      </c>
    </row>
    <row r="122" spans="1:11">
      <c r="A122" s="14" t="s">
        <v>325</v>
      </c>
      <c r="B122" s="3">
        <v>2010</v>
      </c>
      <c r="C122" s="5">
        <v>1895309000</v>
      </c>
      <c r="D122" s="62">
        <f>SUMPRODUCT(N(Tabela3[PAPEL]=Tabela2[[#This Row],[Ativo]]),Tabela3[Total Ações])</f>
        <v>797265348</v>
      </c>
      <c r="E122" s="65">
        <f>(Tabela2[[#This Row],[Lucro Líquido]])/Tabela2[[#This Row],[Total Ações]]</f>
        <v>2.3772624820011616</v>
      </c>
      <c r="F122" s="65">
        <v>0.83324714</v>
      </c>
      <c r="G122" s="22">
        <f>IF(AND(Tabela2[[#This Row],[Dividendo / Ação]]&gt;0,Tabela2[[#This Row],[Lucro por ação]]&gt;0),Tabela2[[#This Row],[Dividendo / Ação]]/Tabela2[[#This Row],[Lucro por ação]],"")</f>
        <v>0.35050699967240423</v>
      </c>
      <c r="H122" s="51">
        <f>MAX(Tabela2[[#This Row],[Cotação 1]],Tabela2[[#This Row],[Cotação 2]])</f>
        <v>20.399999999999999</v>
      </c>
      <c r="I122" s="18">
        <f>IF(Tabela2[[#This Row],[Dividendo / Ação]]&gt;0,Tabela2[[#This Row],[Dividendo / Ação]]/Tabela2[[#This Row],[Cotação]],"")</f>
        <v>4.0845448039215686E-2</v>
      </c>
      <c r="J122" s="7">
        <f>SUMPRODUCT(N(Tabela1[Código]=Tabela2[[#This Row],[Ativo]]),Tabela1[Fechamento])</f>
        <v>0</v>
      </c>
      <c r="K122" s="7">
        <f>SUMPRODUCT(N(Tabela17[Código]=Tabela2[[#This Row],[Ativo]]),Tabela17[Fechamento])</f>
        <v>20.399999999999999</v>
      </c>
    </row>
    <row r="123" spans="1:11">
      <c r="A123" s="14" t="s">
        <v>325</v>
      </c>
      <c r="B123" s="3">
        <v>2009</v>
      </c>
      <c r="C123" s="5">
        <v>398491000</v>
      </c>
      <c r="D123" s="62">
        <f>SUMPRODUCT(N(Tabela3[PAPEL]=Tabela2[[#This Row],[Ativo]]),Tabela3[Total Ações])</f>
        <v>797265348</v>
      </c>
      <c r="E123" s="65">
        <f>(Tabela2[[#This Row],[Lucro Líquido]])/Tabela2[[#This Row],[Total Ações]]</f>
        <v>0.49982230006564893</v>
      </c>
      <c r="F123" s="65">
        <v>0</v>
      </c>
      <c r="G123" s="22" t="str">
        <f>IF(AND(Tabela2[[#This Row],[Dividendo / Ação]]&gt;0,Tabela2[[#This Row],[Lucro por ação]]&gt;0),Tabela2[[#This Row],[Dividendo / Ação]]/Tabela2[[#This Row],[Lucro por ação]],"")</f>
        <v/>
      </c>
      <c r="H123" s="51">
        <f>MAX(Tabela2[[#This Row],[Cotação 1]],Tabela2[[#This Row],[Cotação 2]])</f>
        <v>20.399999999999999</v>
      </c>
      <c r="I123" s="18" t="str">
        <f>IF(Tabela2[[#This Row],[Dividendo / Ação]]&gt;0,Tabela2[[#This Row],[Dividendo / Ação]]/Tabela2[[#This Row],[Cotação]],"")</f>
        <v/>
      </c>
      <c r="J123" s="7">
        <f>SUMPRODUCT(N(Tabela1[Código]=Tabela2[[#This Row],[Ativo]]),Tabela1[Fechamento])</f>
        <v>0</v>
      </c>
      <c r="K123" s="7">
        <f>SUMPRODUCT(N(Tabela17[Código]=Tabela2[[#This Row],[Ativo]]),Tabela17[Fechamento])</f>
        <v>20.399999999999999</v>
      </c>
    </row>
    <row r="124" spans="1:11">
      <c r="A124" s="15" t="s">
        <v>326</v>
      </c>
      <c r="B124" s="4">
        <v>2012</v>
      </c>
      <c r="C124" s="5">
        <v>-731143033.12</v>
      </c>
      <c r="D124" s="8">
        <f>SUMPRODUCT(N(Tabela3[PAPEL]=Tabela2[[#This Row],[Ativo]]),Tabela3[Total Ações])</f>
        <v>797265348</v>
      </c>
      <c r="E124" s="66">
        <f>(Tabela2[[#This Row],[Lucro Líquido]])/Tabela2[[#This Row],[Total Ações]]</f>
        <v>-0.91706360367238737</v>
      </c>
      <c r="F124" s="66">
        <v>0</v>
      </c>
      <c r="G124" s="46" t="str">
        <f>IF(AND(Tabela2[[#This Row],[Dividendo / Ação]]&gt;0,Tabela2[[#This Row],[Lucro por ação]]&gt;0),Tabela2[[#This Row],[Dividendo / Ação]]/Tabela2[[#This Row],[Lucro por ação]],"")</f>
        <v/>
      </c>
      <c r="H124" s="13">
        <f>MAX(Tabela2[[#This Row],[Cotação 1]],Tabela2[[#This Row],[Cotação 2]])</f>
        <v>10.1</v>
      </c>
      <c r="I124" s="19" t="str">
        <f>IF(Tabela2[[#This Row],[Dividendo / Ação]]&gt;0,Tabela2[[#This Row],[Dividendo / Ação]]/Tabela2[[#This Row],[Cotação]],"")</f>
        <v/>
      </c>
      <c r="J124" s="17">
        <f>SUMPRODUCT(N(Tabela1[Código]=Tabela2[[#This Row],[Ativo]]),Tabela1[Fechamento])</f>
        <v>0</v>
      </c>
      <c r="K124" s="17">
        <f>SUMPRODUCT(N(Tabela17[Código]=Tabela2[[#This Row],[Ativo]]),Tabela17[Fechamento])</f>
        <v>10.1</v>
      </c>
    </row>
    <row r="125" spans="1:11">
      <c r="A125" s="15" t="s">
        <v>326</v>
      </c>
      <c r="B125" s="4">
        <v>2011</v>
      </c>
      <c r="C125" s="5">
        <v>-525142000</v>
      </c>
      <c r="D125" s="8">
        <f>SUMPRODUCT(N(Tabela3[PAPEL]=Tabela2[[#This Row],[Ativo]]),Tabela3[Total Ações])</f>
        <v>797265348</v>
      </c>
      <c r="E125" s="66">
        <f>(Tabela2[[#This Row],[Lucro Líquido]])/Tabela2[[#This Row],[Total Ações]]</f>
        <v>-0.65867907255389713</v>
      </c>
      <c r="F125" s="66">
        <v>0</v>
      </c>
      <c r="G125" s="46" t="str">
        <f>IF(AND(Tabela2[[#This Row],[Dividendo / Ação]]&gt;0,Tabela2[[#This Row],[Lucro por ação]]&gt;0),Tabela2[[#This Row],[Dividendo / Ação]]/Tabela2[[#This Row],[Lucro por ação]],"")</f>
        <v/>
      </c>
      <c r="H125" s="13">
        <f>MAX(Tabela2[[#This Row],[Cotação 1]],Tabela2[[#This Row],[Cotação 2]])</f>
        <v>10.1</v>
      </c>
      <c r="I125" s="19" t="str">
        <f>IF(Tabela2[[#This Row],[Dividendo / Ação]]&gt;0,Tabela2[[#This Row],[Dividendo / Ação]]/Tabela2[[#This Row],[Cotação]],"")</f>
        <v/>
      </c>
      <c r="J125" s="17">
        <f>SUMPRODUCT(N(Tabela1[Código]=Tabela2[[#This Row],[Ativo]]),Tabela1[Fechamento])</f>
        <v>0</v>
      </c>
      <c r="K125" s="17">
        <f>SUMPRODUCT(N(Tabela17[Código]=Tabela2[[#This Row],[Ativo]]),Tabela17[Fechamento])</f>
        <v>10.1</v>
      </c>
    </row>
    <row r="126" spans="1:11">
      <c r="A126" s="15" t="s">
        <v>326</v>
      </c>
      <c r="B126" s="4">
        <v>2010</v>
      </c>
      <c r="C126" s="5">
        <v>1895309000</v>
      </c>
      <c r="D126" s="8">
        <f>SUMPRODUCT(N(Tabela3[PAPEL]=Tabela2[[#This Row],[Ativo]]),Tabela3[Total Ações])</f>
        <v>797265348</v>
      </c>
      <c r="E126" s="66">
        <f>(Tabela2[[#This Row],[Lucro Líquido]])/Tabela2[[#This Row],[Total Ações]]</f>
        <v>2.3772624820011616</v>
      </c>
      <c r="F126" s="66">
        <v>0.60198830400000003</v>
      </c>
      <c r="G126" s="46">
        <f>IF(AND(Tabela2[[#This Row],[Dividendo / Ação]]&gt;0,Tabela2[[#This Row],[Lucro por ação]]&gt;0),Tabela2[[#This Row],[Dividendo / Ação]]/Tabela2[[#This Row],[Lucro por ação]],"")</f>
        <v>0.25322752895727813</v>
      </c>
      <c r="H126" s="13">
        <f>MAX(Tabela2[[#This Row],[Cotação 1]],Tabela2[[#This Row],[Cotação 2]])</f>
        <v>10.1</v>
      </c>
      <c r="I126" s="19">
        <f>IF(Tabela2[[#This Row],[Dividendo / Ação]]&gt;0,Tabela2[[#This Row],[Dividendo / Ação]]/Tabela2[[#This Row],[Cotação]],"")</f>
        <v>5.9602802376237628E-2</v>
      </c>
      <c r="J126" s="17">
        <f>SUMPRODUCT(N(Tabela1[Código]=Tabela2[[#This Row],[Ativo]]),Tabela1[Fechamento])</f>
        <v>0</v>
      </c>
      <c r="K126" s="17">
        <f>SUMPRODUCT(N(Tabela17[Código]=Tabela2[[#This Row],[Ativo]]),Tabela17[Fechamento])</f>
        <v>10.1</v>
      </c>
    </row>
    <row r="127" spans="1:11">
      <c r="A127" s="15" t="s">
        <v>326</v>
      </c>
      <c r="B127" s="4">
        <v>2009</v>
      </c>
      <c r="C127" s="5">
        <v>398491000</v>
      </c>
      <c r="D127" s="8">
        <f>SUMPRODUCT(N(Tabela3[PAPEL]=Tabela2[[#This Row],[Ativo]]),Tabela3[Total Ações])</f>
        <v>797265348</v>
      </c>
      <c r="E127" s="66">
        <f>(Tabela2[[#This Row],[Lucro Líquido]])/Tabela2[[#This Row],[Total Ações]]</f>
        <v>0.49982230006564893</v>
      </c>
      <c r="F127" s="66">
        <v>0</v>
      </c>
      <c r="G127" s="46" t="str">
        <f>IF(AND(Tabela2[[#This Row],[Dividendo / Ação]]&gt;0,Tabela2[[#This Row],[Lucro por ação]]&gt;0),Tabela2[[#This Row],[Dividendo / Ação]]/Tabela2[[#This Row],[Lucro por ação]],"")</f>
        <v/>
      </c>
      <c r="H127" s="13">
        <f>MAX(Tabela2[[#This Row],[Cotação 1]],Tabela2[[#This Row],[Cotação 2]])</f>
        <v>10.1</v>
      </c>
      <c r="I127" s="19" t="str">
        <f>IF(Tabela2[[#This Row],[Dividendo / Ação]]&gt;0,Tabela2[[#This Row],[Dividendo / Ação]]/Tabela2[[#This Row],[Cotação]],"")</f>
        <v/>
      </c>
      <c r="J127" s="17">
        <f>SUMPRODUCT(N(Tabela1[Código]=Tabela2[[#This Row],[Ativo]]),Tabela1[Fechamento])</f>
        <v>0</v>
      </c>
      <c r="K127" s="17">
        <f>SUMPRODUCT(N(Tabela17[Código]=Tabela2[[#This Row],[Ativo]]),Tabela17[Fechamento])</f>
        <v>10.1</v>
      </c>
    </row>
    <row r="128" spans="1:11">
      <c r="A128" s="4" t="s">
        <v>666</v>
      </c>
      <c r="B128" s="4">
        <v>2012</v>
      </c>
      <c r="C128" s="6">
        <v>1741995406.21</v>
      </c>
      <c r="D128" s="91">
        <f>SUMPRODUCT(N(Tabela3[PAPEL]=Tabela2[[#This Row],[Ativo]]),Tabela3[Total Ações])</f>
        <v>457066306</v>
      </c>
      <c r="E128" s="66">
        <f>(Tabela2[[#This Row],[Lucro Líquido]])/Tabela2[[#This Row],[Total Ações]]</f>
        <v>3.8112531668654657</v>
      </c>
      <c r="F128" s="66">
        <v>0.47533848406620999</v>
      </c>
      <c r="G128" s="45">
        <f>IF(AND(Tabela2[[#This Row],[Dividendo / Ação]]&gt;0,Tabela2[[#This Row],[Lucro por ação]]&gt;0),Tabela2[[#This Row],[Dividendo / Ação]]/Tabela2[[#This Row],[Lucro por ação]],"")</f>
        <v>0.12471973475778002</v>
      </c>
      <c r="H128" s="61">
        <f>MAX(Tabela2[[#This Row],[Cotação 1]],Tabela2[[#This Row],[Cotação 2]])</f>
        <v>16.96</v>
      </c>
      <c r="I128" s="46">
        <f>IF(Tabela2[[#This Row],[Dividendo / Ação]]&gt;0,Tabela2[[#This Row],[Dividendo / Ação]]/Tabela2[[#This Row],[Cotação]],"")</f>
        <v>2.8027033258620871E-2</v>
      </c>
      <c r="J128" s="17">
        <f>SUMPRODUCT(N(Tabela1[Código]=Tabela2[[#This Row],[Ativo]]),Tabela1[Fechamento])</f>
        <v>0</v>
      </c>
      <c r="K128" s="17">
        <f>SUMPRODUCT(N(Tabela17[Código]=Tabela2[[#This Row],[Ativo]]),Tabela17[Fechamento])</f>
        <v>16.96</v>
      </c>
    </row>
    <row r="129" spans="1:11">
      <c r="A129" s="4" t="s">
        <v>666</v>
      </c>
      <c r="B129" s="4">
        <v>2011</v>
      </c>
      <c r="C129" s="6">
        <v>478868368.80000001</v>
      </c>
      <c r="D129" s="91">
        <f>SUMPRODUCT(N(Tabela3[PAPEL]=Tabela2[[#This Row],[Ativo]]),Tabela3[Total Ações])</f>
        <v>457066306</v>
      </c>
      <c r="E129" s="66">
        <f>(Tabela2[[#This Row],[Lucro Líquido]])/Tabela2[[#This Row],[Total Ações]]</f>
        <v>1.0477000000083139</v>
      </c>
      <c r="F129" s="66">
        <v>0.15065705026321699</v>
      </c>
      <c r="G129" s="45">
        <f>IF(AND(Tabela2[[#This Row],[Dividendo / Ação]]&gt;0,Tabela2[[#This Row],[Lucro por ação]]&gt;0),Tabela2[[#This Row],[Dividendo / Ação]]/Tabela2[[#This Row],[Lucro por ação]],"")</f>
        <v>0.14379789086763528</v>
      </c>
      <c r="H129" s="61">
        <f>MAX(Tabela2[[#This Row],[Cotação 1]],Tabela2[[#This Row],[Cotação 2]])</f>
        <v>16.96</v>
      </c>
      <c r="I129" s="46">
        <f>IF(Tabela2[[#This Row],[Dividendo / Ação]]&gt;0,Tabela2[[#This Row],[Dividendo / Ação]]/Tabela2[[#This Row],[Cotação]],"")</f>
        <v>8.8830807938217564E-3</v>
      </c>
      <c r="J129" s="17">
        <f>SUMPRODUCT(N(Tabela1[Código]=Tabela2[[#This Row],[Ativo]]),Tabela1[Fechamento])</f>
        <v>0</v>
      </c>
      <c r="K129" s="17">
        <f>SUMPRODUCT(N(Tabela17[Código]=Tabela2[[#This Row],[Ativo]]),Tabela17[Fechamento])</f>
        <v>16.96</v>
      </c>
    </row>
    <row r="130" spans="1:11">
      <c r="A130" s="4" t="s">
        <v>666</v>
      </c>
      <c r="B130" s="4">
        <v>2010</v>
      </c>
      <c r="C130" s="6">
        <v>562602916.05999994</v>
      </c>
      <c r="D130" s="91">
        <f>SUMPRODUCT(N(Tabela3[PAPEL]=Tabela2[[#This Row],[Ativo]]),Tabela3[Total Ações])</f>
        <v>457066306</v>
      </c>
      <c r="E130" s="66">
        <f>(Tabela2[[#This Row],[Lucro Líquido]])/Tabela2[[#This Row],[Total Ações]]</f>
        <v>1.2309000000100641</v>
      </c>
      <c r="F130" s="66">
        <v>0.16521896199328401</v>
      </c>
      <c r="G130" s="45">
        <f>IF(AND(Tabela2[[#This Row],[Dividendo / Ação]]&gt;0,Tabela2[[#This Row],[Lucro por ação]]&gt;0),Tabela2[[#This Row],[Dividendo / Ação]]/Tabela2[[#This Row],[Lucro por ação]],"")</f>
        <v>0.13422614509052982</v>
      </c>
      <c r="H130" s="61">
        <f>MAX(Tabela2[[#This Row],[Cotação 1]],Tabela2[[#This Row],[Cotação 2]])</f>
        <v>16.96</v>
      </c>
      <c r="I130" s="46">
        <f>IF(Tabela2[[#This Row],[Dividendo / Ação]]&gt;0,Tabela2[[#This Row],[Dividendo / Ação]]/Tabela2[[#This Row],[Cotação]],"")</f>
        <v>9.7416840797926885E-3</v>
      </c>
      <c r="J130" s="17">
        <f>SUMPRODUCT(N(Tabela1[Código]=Tabela2[[#This Row],[Ativo]]),Tabela1[Fechamento])</f>
        <v>0</v>
      </c>
      <c r="K130" s="17">
        <f>SUMPRODUCT(N(Tabela17[Código]=Tabela2[[#This Row],[Ativo]]),Tabela17[Fechamento])</f>
        <v>16.96</v>
      </c>
    </row>
    <row r="131" spans="1:11">
      <c r="A131" s="4" t="s">
        <v>666</v>
      </c>
      <c r="B131" s="4">
        <v>2009</v>
      </c>
      <c r="C131" s="6">
        <v>2228426774.9000001</v>
      </c>
      <c r="D131" s="91">
        <f>SUMPRODUCT(N(Tabela3[PAPEL]=Tabela2[[#This Row],[Ativo]]),Tabela3[Total Ações])</f>
        <v>457066306</v>
      </c>
      <c r="E131" s="66">
        <f>(Tabela2[[#This Row],[Lucro Líquido]])/Tabela2[[#This Row],[Total Ações]]</f>
        <v>4.875499999993437</v>
      </c>
      <c r="F131" s="66">
        <v>0.24224801190112999</v>
      </c>
      <c r="G131" s="45">
        <f>IF(AND(Tabela2[[#This Row],[Dividendo / Ação]]&gt;0,Tabela2[[#This Row],[Lucro por ação]]&gt;0),Tabela2[[#This Row],[Dividendo / Ação]]/Tabela2[[#This Row],[Lucro por ação]],"")</f>
        <v>4.968680379478127E-2</v>
      </c>
      <c r="H131" s="61">
        <f>MAX(Tabela2[[#This Row],[Cotação 1]],Tabela2[[#This Row],[Cotação 2]])</f>
        <v>16.96</v>
      </c>
      <c r="I131" s="46">
        <f>IF(Tabela2[[#This Row],[Dividendo / Ação]]&gt;0,Tabela2[[#This Row],[Dividendo / Ação]]/Tabela2[[#This Row],[Cotação]],"")</f>
        <v>1.4283491267755305E-2</v>
      </c>
      <c r="J131" s="17">
        <f>SUMPRODUCT(N(Tabela1[Código]=Tabela2[[#This Row],[Ativo]]),Tabela1[Fechamento])</f>
        <v>0</v>
      </c>
      <c r="K131" s="17">
        <f>SUMPRODUCT(N(Tabela17[Código]=Tabela2[[#This Row],[Ativo]]),Tabela17[Fechamento])</f>
        <v>16.96</v>
      </c>
    </row>
    <row r="132" spans="1:11">
      <c r="A132" s="4" t="s">
        <v>673</v>
      </c>
      <c r="B132" s="4">
        <v>2012</v>
      </c>
      <c r="C132" s="6">
        <v>1216399447.4000001</v>
      </c>
      <c r="D132" s="91">
        <f>SUMPRODUCT(N(Tabela3[PAPEL]=Tabela2[[#This Row],[Ativo]]),Tabela3[Total Ações])</f>
        <v>312653445</v>
      </c>
      <c r="E132" s="66">
        <f>(Tabela2[[#This Row],[Lucro Líquido]])/Tabela2[[#This Row],[Total Ações]]</f>
        <v>3.8905678694824557</v>
      </c>
      <c r="F132" s="66">
        <v>0.51</v>
      </c>
      <c r="G132" s="45">
        <f>IF(AND(Tabela2[[#This Row],[Dividendo / Ação]]&gt;0,Tabela2[[#This Row],[Lucro por ação]]&gt;0),Tabela2[[#This Row],[Dividendo / Ação]]/Tabela2[[#This Row],[Lucro por ação]],"")</f>
        <v>0.13108626223961567</v>
      </c>
      <c r="H132" s="61">
        <f>MAX(Tabela2[[#This Row],[Cotação 1]],Tabela2[[#This Row],[Cotação 2]])</f>
        <v>17.95</v>
      </c>
      <c r="I132" s="46">
        <f>IF(Tabela2[[#This Row],[Dividendo / Ação]]&gt;0,Tabela2[[#This Row],[Dividendo / Ação]]/Tabela2[[#This Row],[Cotação]],"")</f>
        <v>2.8412256267409473E-2</v>
      </c>
      <c r="J132" s="17">
        <f>SUMPRODUCT(N(Tabela1[Código]=Tabela2[[#This Row],[Ativo]]),Tabela1[Fechamento])</f>
        <v>0</v>
      </c>
      <c r="K132" s="17">
        <f>SUMPRODUCT(N(Tabela17[Código]=Tabela2[[#This Row],[Ativo]]),Tabela17[Fechamento])</f>
        <v>17.95</v>
      </c>
    </row>
    <row r="133" spans="1:11">
      <c r="A133" s="4" t="s">
        <v>673</v>
      </c>
      <c r="B133" s="4">
        <v>2011</v>
      </c>
      <c r="C133" s="13">
        <v>335408130.56999999</v>
      </c>
      <c r="D133" s="91">
        <f>SUMPRODUCT(N(Tabela3[PAPEL]=Tabela2[[#This Row],[Ativo]]),Tabela3[Total Ações])</f>
        <v>312653445</v>
      </c>
      <c r="E133" s="66">
        <f>(Tabela2[[#This Row],[Lucro Líquido]])/Tabela2[[#This Row],[Total Ações]]</f>
        <v>1.072779257461884</v>
      </c>
      <c r="F133" s="66">
        <v>0.19</v>
      </c>
      <c r="G133" s="45">
        <f>IF(AND(Tabela2[[#This Row],[Dividendo / Ação]]&gt;0,Tabela2[[#This Row],[Lucro por ação]]&gt;0),Tabela2[[#This Row],[Dividendo / Ação]]/Tabela2[[#This Row],[Lucro por ação]],"")</f>
        <v>0.17711006125297937</v>
      </c>
      <c r="H133" s="61">
        <f>MAX(Tabela2[[#This Row],[Cotação 1]],Tabela2[[#This Row],[Cotação 2]])</f>
        <v>17.95</v>
      </c>
      <c r="I133" s="46">
        <f>IF(Tabela2[[#This Row],[Dividendo / Ação]]&gt;0,Tabela2[[#This Row],[Dividendo / Ação]]/Tabela2[[#This Row],[Cotação]],"")</f>
        <v>1.0584958217270195E-2</v>
      </c>
      <c r="J133" s="17">
        <f>SUMPRODUCT(N(Tabela1[Código]=Tabela2[[#This Row],[Ativo]]),Tabela1[Fechamento])</f>
        <v>0</v>
      </c>
      <c r="K133" s="17">
        <f>SUMPRODUCT(N(Tabela17[Código]=Tabela2[[#This Row],[Ativo]]),Tabela17[Fechamento])</f>
        <v>17.95</v>
      </c>
    </row>
    <row r="134" spans="1:11">
      <c r="A134" s="4" t="s">
        <v>673</v>
      </c>
      <c r="B134" s="4">
        <v>2010</v>
      </c>
      <c r="C134" s="6">
        <v>813367859.21000004</v>
      </c>
      <c r="D134" s="91">
        <f>SUMPRODUCT(N(Tabela3[PAPEL]=Tabela2[[#This Row],[Ativo]]),Tabela3[Total Ações])</f>
        <v>312653445</v>
      </c>
      <c r="E134" s="66">
        <f>(Tabela2[[#This Row],[Lucro Líquido]])/Tabela2[[#This Row],[Total Ações]]</f>
        <v>2.6014997506584328</v>
      </c>
      <c r="F134" s="66">
        <v>0.11</v>
      </c>
      <c r="G134" s="45">
        <f>IF(AND(Tabela2[[#This Row],[Dividendo / Ação]]&gt;0,Tabela2[[#This Row],[Lucro por ação]]&gt;0),Tabela2[[#This Row],[Dividendo / Ação]]/Tabela2[[#This Row],[Lucro por ação]],"")</f>
        <v>4.2283302149907678E-2</v>
      </c>
      <c r="H134" s="61">
        <f>MAX(Tabela2[[#This Row],[Cotação 1]],Tabela2[[#This Row],[Cotação 2]])</f>
        <v>17.95</v>
      </c>
      <c r="I134" s="46">
        <f>IF(Tabela2[[#This Row],[Dividendo / Ação]]&gt;0,Tabela2[[#This Row],[Dividendo / Ação]]/Tabela2[[#This Row],[Cotação]],"")</f>
        <v>6.128133704735376E-3</v>
      </c>
      <c r="J134" s="17">
        <f>SUMPRODUCT(N(Tabela1[Código]=Tabela2[[#This Row],[Ativo]]),Tabela1[Fechamento])</f>
        <v>0</v>
      </c>
      <c r="K134" s="17">
        <f>SUMPRODUCT(N(Tabela17[Código]=Tabela2[[#This Row],[Ativo]]),Tabela17[Fechamento])</f>
        <v>17.95</v>
      </c>
    </row>
    <row r="135" spans="1:11">
      <c r="A135" s="14" t="s">
        <v>232</v>
      </c>
      <c r="B135" s="3">
        <v>2012</v>
      </c>
      <c r="C135" s="5">
        <v>818590368.54999995</v>
      </c>
      <c r="D135" s="62">
        <f>SUMPRODUCT(N(Tabela3[PAPEL]=Tabela2[[#This Row],[Ativo]]),Tabela3[Total Ações])</f>
        <v>408974477</v>
      </c>
      <c r="E135" s="65">
        <f>(Tabela2[[#This Row],[Lucro Líquido]])/Tabela2[[#This Row],[Total Ações]]</f>
        <v>2.0015683486038176</v>
      </c>
      <c r="F135" s="65">
        <v>0.79800700000000002</v>
      </c>
      <c r="G135" s="22">
        <f>IF(AND(Tabela2[[#This Row],[Dividendo / Ação]]&gt;0,Tabela2[[#This Row],[Lucro por ação]]&gt;0),Tabela2[[#This Row],[Dividendo / Ação]]/Tabela2[[#This Row],[Lucro por ação]],"")</f>
        <v>0.39869085687563216</v>
      </c>
      <c r="H135" s="5">
        <f>MAX(Tabela2[[#This Row],[Cotação 1]],Tabela2[[#This Row],[Cotação 2]])</f>
        <v>12.58</v>
      </c>
      <c r="I135" s="18">
        <f>IF(Tabela2[[#This Row],[Dividendo / Ação]]&gt;0,Tabela2[[#This Row],[Dividendo / Ação]]/Tabela2[[#This Row],[Cotação]],"")</f>
        <v>6.3434578696343405E-2</v>
      </c>
      <c r="J135" s="60">
        <f>SUMPRODUCT(N(Tabela1[Código]=Tabela2[[#This Row],[Ativo]]),Tabela1[Fechamento])</f>
        <v>12.58</v>
      </c>
      <c r="K135" s="60">
        <f>SUMPRODUCT(N(Tabela17[Código]=Tabela2[[#This Row],[Ativo]]),Tabela17[Fechamento])</f>
        <v>0</v>
      </c>
    </row>
    <row r="136" spans="1:11">
      <c r="A136" s="14" t="s">
        <v>232</v>
      </c>
      <c r="B136" s="3">
        <v>2011</v>
      </c>
      <c r="C136" s="5">
        <v>904348943.24000001</v>
      </c>
      <c r="D136" s="62">
        <f>SUMPRODUCT(N(Tabela3[PAPEL]=Tabela2[[#This Row],[Ativo]]),Tabela3[Total Ações])</f>
        <v>408974477</v>
      </c>
      <c r="E136" s="65">
        <f>(Tabela2[[#This Row],[Lucro Líquido]])/Tabela2[[#This Row],[Total Ações]]</f>
        <v>2.2112601008106432</v>
      </c>
      <c r="F136" s="65">
        <v>0.840279</v>
      </c>
      <c r="G136" s="22">
        <f>IF(AND(Tabela2[[#This Row],[Dividendo / Ação]]&gt;0,Tabela2[[#This Row],[Lucro por ação]]&gt;0),Tabela2[[#This Row],[Dividendo / Ação]]/Tabela2[[#This Row],[Lucro por ação]],"")</f>
        <v>0.38000007312208794</v>
      </c>
      <c r="H136" s="5">
        <f>MAX(Tabela2[[#This Row],[Cotação 1]],Tabela2[[#This Row],[Cotação 2]])</f>
        <v>12.58</v>
      </c>
      <c r="I136" s="18">
        <f>IF(Tabela2[[#This Row],[Dividendo / Ação]]&gt;0,Tabela2[[#This Row],[Dividendo / Ação]]/Tabela2[[#This Row],[Cotação]],"")</f>
        <v>6.679483306836248E-2</v>
      </c>
      <c r="J136" s="60">
        <f>SUMPRODUCT(N(Tabela1[Código]=Tabela2[[#This Row],[Ativo]]),Tabela1[Fechamento])</f>
        <v>12.58</v>
      </c>
      <c r="K136" s="60">
        <f>SUMPRODUCT(N(Tabela17[Código]=Tabela2[[#This Row],[Ativo]]),Tabela17[Fechamento])</f>
        <v>0</v>
      </c>
    </row>
    <row r="137" spans="1:11">
      <c r="A137" s="14" t="s">
        <v>233</v>
      </c>
      <c r="B137" s="3">
        <v>2012</v>
      </c>
      <c r="C137" s="5">
        <v>818590368.54999995</v>
      </c>
      <c r="D137" s="62">
        <f>SUMPRODUCT(N(Tabela3[PAPEL]=Tabela2[[#This Row],[Ativo]]),Tabela3[Total Ações])</f>
        <v>408974477</v>
      </c>
      <c r="E137" s="65">
        <f>(Tabela2[[#This Row],[Lucro Líquido]])/Tabela2[[#This Row],[Total Ações]]</f>
        <v>2.0015683486038176</v>
      </c>
      <c r="F137" s="65">
        <v>0.82645999999999997</v>
      </c>
      <c r="G137" s="22">
        <f>IF(AND(Tabela2[[#This Row],[Dividendo / Ação]]&gt;0,Tabela2[[#This Row],[Lucro por ação]]&gt;0),Tabela2[[#This Row],[Dividendo / Ação]]/Tabela2[[#This Row],[Lucro por ação]],"")</f>
        <v>0.41290620956136337</v>
      </c>
      <c r="H137" s="5">
        <f>MAX(Tabela2[[#This Row],[Cotação 1]],Tabela2[[#This Row],[Cotação 2]])</f>
        <v>15.72</v>
      </c>
      <c r="I137" s="18">
        <f>IF(Tabela2[[#This Row],[Dividendo / Ação]]&gt;0,Tabela2[[#This Row],[Dividendo / Ação]]/Tabela2[[#This Row],[Cotação]],"")</f>
        <v>5.2573791348600504E-2</v>
      </c>
      <c r="J137" s="60">
        <f>SUMPRODUCT(N(Tabela1[Código]=Tabela2[[#This Row],[Ativo]]),Tabela1[Fechamento])</f>
        <v>15.72</v>
      </c>
      <c r="K137" s="60">
        <f>SUMPRODUCT(N(Tabela17[Código]=Tabela2[[#This Row],[Ativo]]),Tabela17[Fechamento])</f>
        <v>0</v>
      </c>
    </row>
    <row r="138" spans="1:11">
      <c r="A138" s="14" t="s">
        <v>233</v>
      </c>
      <c r="B138" s="3">
        <v>2011</v>
      </c>
      <c r="C138" s="5">
        <v>904348943.24000001</v>
      </c>
      <c r="D138" s="62">
        <f>SUMPRODUCT(N(Tabela3[PAPEL]=Tabela2[[#This Row],[Ativo]]),Tabela3[Total Ações])</f>
        <v>408974477</v>
      </c>
      <c r="E138" s="65">
        <f>(Tabela2[[#This Row],[Lucro Líquido]])/Tabela2[[#This Row],[Total Ações]]</f>
        <v>2.2112601008106432</v>
      </c>
      <c r="F138" s="65">
        <v>0.82327300000000003</v>
      </c>
      <c r="G138" s="22">
        <f>IF(AND(Tabela2[[#This Row],[Dividendo / Ação]]&gt;0,Tabela2[[#This Row],[Lucro por ação]]&gt;0),Tabela2[[#This Row],[Dividendo / Ação]]/Tabela2[[#This Row],[Lucro por ação]],"")</f>
        <v>0.37230943555585794</v>
      </c>
      <c r="H138" s="5">
        <f>MAX(Tabela2[[#This Row],[Cotação 1]],Tabela2[[#This Row],[Cotação 2]])</f>
        <v>15.72</v>
      </c>
      <c r="I138" s="18">
        <f>IF(Tabela2[[#This Row],[Dividendo / Ação]]&gt;0,Tabela2[[#This Row],[Dividendo / Ação]]/Tabela2[[#This Row],[Cotação]],"")</f>
        <v>5.2371055979643769E-2</v>
      </c>
      <c r="J138" s="60">
        <f>SUMPRODUCT(N(Tabela1[Código]=Tabela2[[#This Row],[Ativo]]),Tabela1[Fechamento])</f>
        <v>15.72</v>
      </c>
      <c r="K138" s="60">
        <f>SUMPRODUCT(N(Tabela17[Código]=Tabela2[[#This Row],[Ativo]]),Tabela17[Fechamento])</f>
        <v>0</v>
      </c>
    </row>
    <row r="139" spans="1:11">
      <c r="A139" s="14" t="s">
        <v>23</v>
      </c>
      <c r="B139" s="4">
        <v>2012</v>
      </c>
      <c r="C139" s="5">
        <v>818590368.54999995</v>
      </c>
      <c r="D139" s="8">
        <f>SUMPRODUCT(N(Tabela3[PAPEL]=Tabela2[[#This Row],[Ativo]]),Tabela3[Total Ações])</f>
        <v>408974477</v>
      </c>
      <c r="E139" s="66">
        <f>(Tabela2[[#This Row],[Lucro Líquido]])/Tabela2[[#This Row],[Total Ações]]</f>
        <v>2.0015683486038176</v>
      </c>
      <c r="F139" s="66">
        <v>0.79800700000000002</v>
      </c>
      <c r="G139" s="46">
        <f>IF(AND(Tabela2[[#This Row],[Dividendo / Ação]]&gt;0,Tabela2[[#This Row],[Lucro por ação]]&gt;0),Tabela2[[#This Row],[Dividendo / Ação]]/Tabela2[[#This Row],[Lucro por ação]],"")</f>
        <v>0.39869085687563216</v>
      </c>
      <c r="H139" s="6">
        <f>MAX(Tabela2[[#This Row],[Cotação 1]],Tabela2[[#This Row],[Cotação 2]])</f>
        <v>12.41</v>
      </c>
      <c r="I139" s="19">
        <f>IF(Tabela2[[#This Row],[Dividendo / Ação]]&gt;0,Tabela2[[#This Row],[Dividendo / Ação]]/Tabela2[[#This Row],[Cotação]],"")</f>
        <v>6.4303545527800168E-2</v>
      </c>
      <c r="J139" s="61">
        <f>SUMPRODUCT(N(Tabela1[Código]=Tabela2[[#This Row],[Ativo]]),Tabela1[Fechamento])</f>
        <v>12.41</v>
      </c>
      <c r="K139" s="61">
        <f>SUMPRODUCT(N(Tabela17[Código]=Tabela2[[#This Row],[Ativo]]),Tabela17[Fechamento])</f>
        <v>0</v>
      </c>
    </row>
    <row r="140" spans="1:11">
      <c r="A140" s="14" t="s">
        <v>23</v>
      </c>
      <c r="B140" s="4">
        <v>2011</v>
      </c>
      <c r="C140" s="5">
        <v>904348943.24000001</v>
      </c>
      <c r="D140" s="8">
        <f>SUMPRODUCT(N(Tabela3[PAPEL]=Tabela2[[#This Row],[Ativo]]),Tabela3[Total Ações])</f>
        <v>408974477</v>
      </c>
      <c r="E140" s="66">
        <f>(Tabela2[[#This Row],[Lucro Líquido]])/Tabela2[[#This Row],[Total Ações]]</f>
        <v>2.2112601008106432</v>
      </c>
      <c r="F140" s="66">
        <v>0.84058699999999997</v>
      </c>
      <c r="G140" s="46">
        <f>IF(AND(Tabela2[[#This Row],[Dividendo / Ação]]&gt;0,Tabela2[[#This Row],[Lucro por ação]]&gt;0),Tabela2[[#This Row],[Dividendo / Ação]]/Tabela2[[#This Row],[Lucro por ação]],"")</f>
        <v>0.3801393602190184</v>
      </c>
      <c r="H140" s="6">
        <f>MAX(Tabela2[[#This Row],[Cotação 1]],Tabela2[[#This Row],[Cotação 2]])</f>
        <v>12.41</v>
      </c>
      <c r="I140" s="19">
        <f>IF(Tabela2[[#This Row],[Dividendo / Ação]]&gt;0,Tabela2[[#This Row],[Dividendo / Ação]]/Tabela2[[#This Row],[Cotação]],"")</f>
        <v>6.7734649476228842E-2</v>
      </c>
      <c r="J140" s="61">
        <f>SUMPRODUCT(N(Tabela1[Código]=Tabela2[[#This Row],[Ativo]]),Tabela1[Fechamento])</f>
        <v>12.41</v>
      </c>
      <c r="K140" s="61">
        <f>SUMPRODUCT(N(Tabela17[Código]=Tabela2[[#This Row],[Ativo]]),Tabela17[Fechamento])</f>
        <v>0</v>
      </c>
    </row>
    <row r="141" spans="1:11">
      <c r="A141" s="15" t="s">
        <v>247</v>
      </c>
      <c r="B141" s="3">
        <v>2012</v>
      </c>
      <c r="C141" s="5">
        <v>215388793.88999999</v>
      </c>
      <c r="D141" s="62">
        <f>SUMPRODUCT(N(Tabela3[PAPEL]=Tabela2[[#This Row],[Ativo]]),Tabela3[Total Ações])</f>
        <v>36304650</v>
      </c>
      <c r="E141" s="65">
        <f>(Tabela2[[#This Row],[Lucro Líquido]])/Tabela2[[#This Row],[Total Ações]]</f>
        <v>5.9328156004809296</v>
      </c>
      <c r="F141" s="65">
        <v>1.375</v>
      </c>
      <c r="G141" s="22">
        <f>IF(AND(Tabela2[[#This Row],[Dividendo / Ação]]&gt;0,Tabela2[[#This Row],[Lucro por ação]]&gt;0),Tabela2[[#This Row],[Dividendo / Ação]]/Tabela2[[#This Row],[Lucro por ação]],"")</f>
        <v>0.23176179618468826</v>
      </c>
      <c r="H141" s="5">
        <f>MAX(Tabela2[[#This Row],[Cotação 1]],Tabela2[[#This Row],[Cotação 2]])</f>
        <v>29.02</v>
      </c>
      <c r="I141" s="18">
        <f>IF(Tabela2[[#This Row],[Dividendo / Ação]]&gt;0,Tabela2[[#This Row],[Dividendo / Ação]]/Tabela2[[#This Row],[Cotação]],"")</f>
        <v>4.7381116471399039E-2</v>
      </c>
      <c r="J141" s="60">
        <f>SUMPRODUCT(N(Tabela1[Código]=Tabela2[[#This Row],[Ativo]]),Tabela1[Fechamento])</f>
        <v>29.02</v>
      </c>
      <c r="K141" s="60">
        <f>SUMPRODUCT(N(Tabela17[Código]=Tabela2[[#This Row],[Ativo]]),Tabela17[Fechamento])</f>
        <v>0</v>
      </c>
    </row>
    <row r="142" spans="1:11">
      <c r="A142" s="15" t="s">
        <v>247</v>
      </c>
      <c r="B142" s="3">
        <v>2011</v>
      </c>
      <c r="C142" s="5">
        <v>96039575.989999995</v>
      </c>
      <c r="D142" s="62">
        <f>SUMPRODUCT(N(Tabela3[PAPEL]=Tabela2[[#This Row],[Ativo]]),Tabela3[Total Ações])</f>
        <v>36304650</v>
      </c>
      <c r="E142" s="65">
        <f>(Tabela2[[#This Row],[Lucro Líquido]])/Tabela2[[#This Row],[Total Ações]]</f>
        <v>2.6453794759073559</v>
      </c>
      <c r="F142" s="65">
        <v>0.59060447900000002</v>
      </c>
      <c r="G142" s="22">
        <f>IF(AND(Tabela2[[#This Row],[Dividendo / Ação]]&gt;0,Tabela2[[#This Row],[Lucro por ação]]&gt;0),Tabela2[[#This Row],[Dividendo / Ação]]/Tabela2[[#This Row],[Lucro por ação]],"")</f>
        <v>0.22325888757318069</v>
      </c>
      <c r="H142" s="5">
        <f>MAX(Tabela2[[#This Row],[Cotação 1]],Tabela2[[#This Row],[Cotação 2]])</f>
        <v>29.02</v>
      </c>
      <c r="I142" s="18">
        <f>IF(Tabela2[[#This Row],[Dividendo / Ação]]&gt;0,Tabela2[[#This Row],[Dividendo / Ação]]/Tabela2[[#This Row],[Cotação]],"")</f>
        <v>2.0351636078566507E-2</v>
      </c>
      <c r="J142" s="60">
        <f>SUMPRODUCT(N(Tabela1[Código]=Tabela2[[#This Row],[Ativo]]),Tabela1[Fechamento])</f>
        <v>29.02</v>
      </c>
      <c r="K142" s="60">
        <f>SUMPRODUCT(N(Tabela17[Código]=Tabela2[[#This Row],[Ativo]]),Tabela17[Fechamento])</f>
        <v>0</v>
      </c>
    </row>
    <row r="143" spans="1:11">
      <c r="A143" s="15" t="s">
        <v>247</v>
      </c>
      <c r="B143" s="3">
        <v>2010</v>
      </c>
      <c r="C143" s="6">
        <v>196040834.49000001</v>
      </c>
      <c r="D143" s="62">
        <f>SUMPRODUCT(N(Tabela3[PAPEL]=Tabela2[[#This Row],[Ativo]]),Tabela3[Total Ações])</f>
        <v>36304650</v>
      </c>
      <c r="E143" s="65">
        <f>(Tabela2[[#This Row],[Lucro Líquido]])/Tabela2[[#This Row],[Total Ações]]</f>
        <v>5.3998822324412989</v>
      </c>
      <c r="F143" s="65">
        <v>0.52209249599999996</v>
      </c>
      <c r="G143" s="22">
        <f>IF(AND(Tabela2[[#This Row],[Dividendo / Ação]]&gt;0,Tabela2[[#This Row],[Lucro por ação]]&gt;0),Tabela2[[#This Row],[Dividendo / Ação]]/Tabela2[[#This Row],[Lucro por ação]],"")</f>
        <v>9.6685904159795125E-2</v>
      </c>
      <c r="H143" s="5">
        <f>MAX(Tabela2[[#This Row],[Cotação 1]],Tabela2[[#This Row],[Cotação 2]])</f>
        <v>29.02</v>
      </c>
      <c r="I143" s="18">
        <f>IF(Tabela2[[#This Row],[Dividendo / Ação]]&gt;0,Tabela2[[#This Row],[Dividendo / Ação]]/Tabela2[[#This Row],[Cotação]],"")</f>
        <v>1.7990782081323223E-2</v>
      </c>
      <c r="J143" s="60">
        <f>SUMPRODUCT(N(Tabela1[Código]=Tabela2[[#This Row],[Ativo]]),Tabela1[Fechamento])</f>
        <v>29.02</v>
      </c>
      <c r="K143" s="60">
        <f>SUMPRODUCT(N(Tabela17[Código]=Tabela2[[#This Row],[Ativo]]),Tabela17[Fechamento])</f>
        <v>0</v>
      </c>
    </row>
    <row r="144" spans="1:11">
      <c r="A144" s="15" t="s">
        <v>247</v>
      </c>
      <c r="B144" s="3">
        <v>2009</v>
      </c>
      <c r="C144" s="5">
        <v>190454809.5</v>
      </c>
      <c r="D144" s="62">
        <f>SUMPRODUCT(N(Tabela3[PAPEL]=Tabela2[[#This Row],[Ativo]]),Tabela3[Total Ações])</f>
        <v>36304650</v>
      </c>
      <c r="E144" s="65">
        <f>(Tabela2[[#This Row],[Lucro Líquido]])/Tabela2[[#This Row],[Total Ações]]</f>
        <v>5.2460169565055716</v>
      </c>
      <c r="F144" s="65">
        <v>0.18859646699999999</v>
      </c>
      <c r="G144" s="22">
        <f>IF(AND(Tabela2[[#This Row],[Dividendo / Ação]]&gt;0,Tabela2[[#This Row],[Lucro por ação]]&gt;0),Tabela2[[#This Row],[Dividendo / Ação]]/Tabela2[[#This Row],[Lucro por ação]],"")</f>
        <v>3.5950411247932017E-2</v>
      </c>
      <c r="H144" s="5">
        <f>MAX(Tabela2[[#This Row],[Cotação 1]],Tabela2[[#This Row],[Cotação 2]])</f>
        <v>29.02</v>
      </c>
      <c r="I144" s="18">
        <f>IF(Tabela2[[#This Row],[Dividendo / Ação]]&gt;0,Tabela2[[#This Row],[Dividendo / Ação]]/Tabela2[[#This Row],[Cotação]],"")</f>
        <v>6.4988444865609922E-3</v>
      </c>
      <c r="J144" s="60">
        <f>SUMPRODUCT(N(Tabela1[Código]=Tabela2[[#This Row],[Ativo]]),Tabela1[Fechamento])</f>
        <v>29.02</v>
      </c>
      <c r="K144" s="60">
        <f>SUMPRODUCT(N(Tabela17[Código]=Tabela2[[#This Row],[Ativo]]),Tabela17[Fechamento])</f>
        <v>0</v>
      </c>
    </row>
    <row r="145" spans="1:14">
      <c r="A145" s="14" t="s">
        <v>248</v>
      </c>
      <c r="B145" s="4">
        <v>2012</v>
      </c>
      <c r="C145" s="5">
        <v>215388793.88999999</v>
      </c>
      <c r="D145" s="8">
        <f>SUMPRODUCT(N(Tabela3[PAPEL]=Tabela2[[#This Row],[Ativo]]),Tabela3[Total Ações])</f>
        <v>36304650</v>
      </c>
      <c r="E145" s="66">
        <f>(Tabela2[[#This Row],[Lucro Líquido]])/Tabela2[[#This Row],[Total Ações]]</f>
        <v>5.9328156004809296</v>
      </c>
      <c r="F145" s="66">
        <v>1.5129999999999999</v>
      </c>
      <c r="G145" s="46">
        <f>IF(AND(Tabela2[[#This Row],[Dividendo / Ação]]&gt;0,Tabela2[[#This Row],[Lucro por ação]]&gt;0),Tabela2[[#This Row],[Dividendo / Ação]]/Tabela2[[#This Row],[Lucro por ação]],"")</f>
        <v>0.2550222528199515</v>
      </c>
      <c r="H145" s="6">
        <f>MAX(Tabela2[[#This Row],[Cotação 1]],Tabela2[[#This Row],[Cotação 2]])</f>
        <v>29.99</v>
      </c>
      <c r="I145" s="19">
        <f>IF(Tabela2[[#This Row],[Dividendo / Ação]]&gt;0,Tabela2[[#This Row],[Dividendo / Ação]]/Tabela2[[#This Row],[Cotação]],"")</f>
        <v>5.0450150050016671E-2</v>
      </c>
      <c r="J145" s="61">
        <f>SUMPRODUCT(N(Tabela1[Código]=Tabela2[[#This Row],[Ativo]]),Tabela1[Fechamento])</f>
        <v>29.99</v>
      </c>
      <c r="K145" s="61">
        <f>SUMPRODUCT(N(Tabela17[Código]=Tabela2[[#This Row],[Ativo]]),Tabela17[Fechamento])</f>
        <v>0</v>
      </c>
    </row>
    <row r="146" spans="1:14">
      <c r="A146" s="14" t="s">
        <v>248</v>
      </c>
      <c r="B146" s="4">
        <v>2011</v>
      </c>
      <c r="C146" s="5">
        <v>96039575.989999995</v>
      </c>
      <c r="D146" s="8">
        <f>SUMPRODUCT(N(Tabela3[PAPEL]=Tabela2[[#This Row],[Ativo]]),Tabela3[Total Ações])</f>
        <v>36304650</v>
      </c>
      <c r="E146" s="66">
        <f>(Tabela2[[#This Row],[Lucro Líquido]])/Tabela2[[#This Row],[Total Ações]]</f>
        <v>2.6453794759073559</v>
      </c>
      <c r="F146" s="66">
        <v>0.649664927</v>
      </c>
      <c r="G146" s="46">
        <f>IF(AND(Tabela2[[#This Row],[Dividendo / Ação]]&gt;0,Tabela2[[#This Row],[Lucro por ação]]&gt;0),Tabela2[[#This Row],[Dividendo / Ação]]/Tabela2[[#This Row],[Lucro por ação]],"")</f>
        <v>0.24558477636830051</v>
      </c>
      <c r="H146" s="6">
        <f>MAX(Tabela2[[#This Row],[Cotação 1]],Tabela2[[#This Row],[Cotação 2]])</f>
        <v>29.99</v>
      </c>
      <c r="I146" s="19">
        <f>IF(Tabela2[[#This Row],[Dividendo / Ação]]&gt;0,Tabela2[[#This Row],[Dividendo / Ação]]/Tabela2[[#This Row],[Cotação]],"")</f>
        <v>2.1662718472824277E-2</v>
      </c>
      <c r="J146" s="61">
        <f>SUMPRODUCT(N(Tabela1[Código]=Tabela2[[#This Row],[Ativo]]),Tabela1[Fechamento])</f>
        <v>29.99</v>
      </c>
      <c r="K146" s="61">
        <f>SUMPRODUCT(N(Tabela17[Código]=Tabela2[[#This Row],[Ativo]]),Tabela17[Fechamento])</f>
        <v>0</v>
      </c>
    </row>
    <row r="147" spans="1:14">
      <c r="A147" s="14" t="s">
        <v>248</v>
      </c>
      <c r="B147" s="4">
        <v>2010</v>
      </c>
      <c r="C147" s="6">
        <v>196040834.49000001</v>
      </c>
      <c r="D147" s="8">
        <f>SUMPRODUCT(N(Tabela3[PAPEL]=Tabela2[[#This Row],[Ativo]]),Tabela3[Total Ações])</f>
        <v>36304650</v>
      </c>
      <c r="E147" s="66">
        <f>(Tabela2[[#This Row],[Lucro Líquido]])/Tabela2[[#This Row],[Total Ações]]</f>
        <v>5.3998822324412989</v>
      </c>
      <c r="F147" s="66">
        <v>1.954906128</v>
      </c>
      <c r="G147" s="46">
        <f>IF(AND(Tabela2[[#This Row],[Dividendo / Ação]]&gt;0,Tabela2[[#This Row],[Lucro por ação]]&gt;0),Tabela2[[#This Row],[Dividendo / Ação]]/Tabela2[[#This Row],[Lucro por ação]],"")</f>
        <v>0.3620275487223325</v>
      </c>
      <c r="H147" s="6">
        <f>MAX(Tabela2[[#This Row],[Cotação 1]],Tabela2[[#This Row],[Cotação 2]])</f>
        <v>29.99</v>
      </c>
      <c r="I147" s="19">
        <f>IF(Tabela2[[#This Row],[Dividendo / Ação]]&gt;0,Tabela2[[#This Row],[Dividendo / Ação]]/Tabela2[[#This Row],[Cotação]],"")</f>
        <v>6.5185266022007332E-2</v>
      </c>
      <c r="J147" s="61">
        <f>SUMPRODUCT(N(Tabela1[Código]=Tabela2[[#This Row],[Ativo]]),Tabela1[Fechamento])</f>
        <v>29.99</v>
      </c>
      <c r="K147" s="61">
        <f>SUMPRODUCT(N(Tabela17[Código]=Tabela2[[#This Row],[Ativo]]),Tabela17[Fechamento])</f>
        <v>0</v>
      </c>
    </row>
    <row r="148" spans="1:14">
      <c r="A148" s="14" t="s">
        <v>248</v>
      </c>
      <c r="B148" s="4">
        <v>2009</v>
      </c>
      <c r="C148" s="5">
        <v>190454809.5</v>
      </c>
      <c r="D148" s="8">
        <f>SUMPRODUCT(N(Tabela3[PAPEL]=Tabela2[[#This Row],[Ativo]]),Tabela3[Total Ações])</f>
        <v>36304650</v>
      </c>
      <c r="E148" s="66">
        <f>(Tabela2[[#This Row],[Lucro Líquido]])/Tabela2[[#This Row],[Total Ações]]</f>
        <v>5.2460169565055716</v>
      </c>
      <c r="F148" s="66">
        <v>1.4895923250000001</v>
      </c>
      <c r="G148" s="46">
        <f>IF(AND(Tabela2[[#This Row],[Dividendo / Ação]]&gt;0,Tabela2[[#This Row],[Lucro por ação]]&gt;0),Tabela2[[#This Row],[Dividendo / Ação]]/Tabela2[[#This Row],[Lucro por ação]],"")</f>
        <v>0.28394729512888067</v>
      </c>
      <c r="H148" s="6">
        <f>MAX(Tabela2[[#This Row],[Cotação 1]],Tabela2[[#This Row],[Cotação 2]])</f>
        <v>29.99</v>
      </c>
      <c r="I148" s="19">
        <f>IF(Tabela2[[#This Row],[Dividendo / Ação]]&gt;0,Tabela2[[#This Row],[Dividendo / Ação]]/Tabela2[[#This Row],[Cotação]],"")</f>
        <v>4.9669634044681568E-2</v>
      </c>
      <c r="J148" s="61">
        <f>SUMPRODUCT(N(Tabela1[Código]=Tabela2[[#This Row],[Ativo]]),Tabela1[Fechamento])</f>
        <v>29.99</v>
      </c>
      <c r="K148" s="61">
        <f>SUMPRODUCT(N(Tabela17[Código]=Tabela2[[#This Row],[Ativo]]),Tabela17[Fechamento])</f>
        <v>0</v>
      </c>
    </row>
    <row r="149" spans="1:14">
      <c r="A149" s="4" t="s">
        <v>201</v>
      </c>
      <c r="B149" s="4">
        <v>2012</v>
      </c>
      <c r="C149" s="6">
        <v>21418024.760000002</v>
      </c>
      <c r="D149" s="8">
        <f>SUMPRODUCT(N(Tabela3[PAPEL]=Tabela2[[#This Row],[Ativo]]),Tabela3[Total Ações])</f>
        <v>715094432</v>
      </c>
      <c r="E149" s="66">
        <f>(Tabela2[[#This Row],[Lucro Líquido]])/Tabela2[[#This Row],[Total Ações]]</f>
        <v>2.995132363161793E-2</v>
      </c>
      <c r="F149" s="66">
        <v>7.6962999999999997E-3</v>
      </c>
      <c r="G149" s="46">
        <f>IF(AND(Tabela2[[#This Row],[Dividendo / Ação]]&gt;0,Tabela2[[#This Row],[Lucro por ação]]&gt;0),Tabela2[[#This Row],[Dividendo / Ação]]/Tabela2[[#This Row],[Lucro por ação]],"")</f>
        <v>0.25696026308084252</v>
      </c>
      <c r="H149" s="6">
        <f>MAX(Tabela2[[#This Row],[Cotação 1]],Tabela2[[#This Row],[Cotação 2]])</f>
        <v>4.12</v>
      </c>
      <c r="I149" s="19">
        <f>IF(Tabela2[[#This Row],[Dividendo / Ação]]&gt;0,Tabela2[[#This Row],[Dividendo / Ação]]/Tabela2[[#This Row],[Cotação]],"")</f>
        <v>1.8680339805825241E-3</v>
      </c>
      <c r="J149" s="61">
        <f>SUMPRODUCT(N(Tabela1[Código]=Tabela2[[#This Row],[Ativo]]),Tabela1[Fechamento])</f>
        <v>4.12</v>
      </c>
      <c r="K149" s="61">
        <f>SUMPRODUCT(N(Tabela17[Código]=Tabela2[[#This Row],[Ativo]]),Tabela17[Fechamento])</f>
        <v>0</v>
      </c>
    </row>
    <row r="150" spans="1:14">
      <c r="A150" s="4" t="s">
        <v>201</v>
      </c>
      <c r="B150" s="4">
        <v>2011</v>
      </c>
      <c r="C150" s="6">
        <v>7903625</v>
      </c>
      <c r="D150" s="8">
        <f>SUMPRODUCT(N(Tabela3[PAPEL]=Tabela2[[#This Row],[Ativo]]),Tabela3[Total Ações])</f>
        <v>715094432</v>
      </c>
      <c r="E150" s="66">
        <f>(Tabela2[[#This Row],[Lucro Líquido]])/Tabela2[[#This Row],[Total Ações]]</f>
        <v>1.1052561237115044E-2</v>
      </c>
      <c r="F150" s="66">
        <v>3.2377399999999998E-3</v>
      </c>
      <c r="G150" s="46">
        <f>IF(AND(Tabela2[[#This Row],[Dividendo / Ação]]&gt;0,Tabela2[[#This Row],[Lucro por ação]]&gt;0),Tabela2[[#This Row],[Dividendo / Ação]]/Tabela2[[#This Row],[Lucro por ação]],"")</f>
        <v>0.29294024530056523</v>
      </c>
      <c r="H150" s="6">
        <f>MAX(Tabela2[[#This Row],[Cotação 1]],Tabela2[[#This Row],[Cotação 2]])</f>
        <v>4.12</v>
      </c>
      <c r="I150" s="19">
        <f>IF(Tabela2[[#This Row],[Dividendo / Ação]]&gt;0,Tabela2[[#This Row],[Dividendo / Ação]]/Tabela2[[#This Row],[Cotação]],"")</f>
        <v>7.8585922330097078E-4</v>
      </c>
      <c r="J150" s="61">
        <f>SUMPRODUCT(N(Tabela1[Código]=Tabela2[[#This Row],[Ativo]]),Tabela1[Fechamento])</f>
        <v>4.12</v>
      </c>
      <c r="K150" s="61">
        <f>SUMPRODUCT(N(Tabela17[Código]=Tabela2[[#This Row],[Ativo]]),Tabela17[Fechamento])</f>
        <v>0</v>
      </c>
    </row>
    <row r="151" spans="1:14">
      <c r="A151" s="4" t="s">
        <v>201</v>
      </c>
      <c r="B151" s="4">
        <v>2010</v>
      </c>
      <c r="C151" s="6">
        <v>-11477601</v>
      </c>
      <c r="D151" s="8">
        <f>SUMPRODUCT(N(Tabela3[PAPEL]=Tabela2[[#This Row],[Ativo]]),Tabela3[Total Ações])</f>
        <v>715094432</v>
      </c>
      <c r="E151" s="66">
        <f>(Tabela2[[#This Row],[Lucro Líquido]])/Tabela2[[#This Row],[Total Ações]]</f>
        <v>-1.6050468981976356E-2</v>
      </c>
      <c r="F151" s="66">
        <v>0</v>
      </c>
      <c r="G151" s="46" t="str">
        <f>IF(AND(Tabela2[[#This Row],[Dividendo / Ação]]&gt;0,Tabela2[[#This Row],[Lucro por ação]]&gt;0),Tabela2[[#This Row],[Dividendo / Ação]]/Tabela2[[#This Row],[Lucro por ação]],"")</f>
        <v/>
      </c>
      <c r="H151" s="6">
        <f>MAX(Tabela2[[#This Row],[Cotação 1]],Tabela2[[#This Row],[Cotação 2]])</f>
        <v>4.12</v>
      </c>
      <c r="I151" s="19" t="str">
        <f>IF(Tabela2[[#This Row],[Dividendo / Ação]]&gt;0,Tabela2[[#This Row],[Dividendo / Ação]]/Tabela2[[#This Row],[Cotação]],"")</f>
        <v/>
      </c>
      <c r="J151" s="61">
        <f>SUMPRODUCT(N(Tabela1[Código]=Tabela2[[#This Row],[Ativo]]),Tabela1[Fechamento])</f>
        <v>4.12</v>
      </c>
      <c r="K151" s="61">
        <f>SUMPRODUCT(N(Tabela17[Código]=Tabela2[[#This Row],[Ativo]]),Tabela17[Fechamento])</f>
        <v>0</v>
      </c>
    </row>
    <row r="152" spans="1:14">
      <c r="A152" s="4" t="s">
        <v>201</v>
      </c>
      <c r="B152" s="4">
        <v>2009</v>
      </c>
      <c r="C152" s="6">
        <v>32515448</v>
      </c>
      <c r="D152" s="8">
        <f>SUMPRODUCT(N(Tabela3[PAPEL]=Tabela2[[#This Row],[Ativo]]),Tabela3[Total Ações])</f>
        <v>715094432</v>
      </c>
      <c r="E152" s="66">
        <f>(Tabela2[[#This Row],[Lucro Líquido]])/Tabela2[[#This Row],[Total Ações]]</f>
        <v>4.5470145682801236E-2</v>
      </c>
      <c r="F152" s="66">
        <v>1.1338000000000001E-2</v>
      </c>
      <c r="G152" s="46">
        <f>IF(AND(Tabela2[[#This Row],[Dividendo / Ação]]&gt;0,Tabela2[[#This Row],[Lucro por ação]]&gt;0),Tabela2[[#This Row],[Dividendo / Ação]]/Tabela2[[#This Row],[Lucro por ação]],"")</f>
        <v>0.24935042168313351</v>
      </c>
      <c r="H152" s="6">
        <f>MAX(Tabela2[[#This Row],[Cotação 1]],Tabela2[[#This Row],[Cotação 2]])</f>
        <v>4.12</v>
      </c>
      <c r="I152" s="19">
        <f>IF(Tabela2[[#This Row],[Dividendo / Ação]]&gt;0,Tabela2[[#This Row],[Dividendo / Ação]]/Tabela2[[#This Row],[Cotação]],"")</f>
        <v>2.7519417475728157E-3</v>
      </c>
      <c r="J152" s="61">
        <f>SUMPRODUCT(N(Tabela1[Código]=Tabela2[[#This Row],[Ativo]]),Tabela1[Fechamento])</f>
        <v>4.12</v>
      </c>
      <c r="K152" s="61">
        <f>SUMPRODUCT(N(Tabela17[Código]=Tabela2[[#This Row],[Ativo]]),Tabela17[Fechamento])</f>
        <v>0</v>
      </c>
    </row>
    <row r="153" spans="1:14">
      <c r="A153" s="4" t="s">
        <v>679</v>
      </c>
      <c r="B153" s="4">
        <v>2012</v>
      </c>
      <c r="C153" s="95">
        <v>153035960.99000001</v>
      </c>
      <c r="D153" s="91">
        <f>SUMPRODUCT(N(Tabela3[PAPEL]=Tabela2[[#This Row],[Ativo]]),Tabela3[Total Ações])</f>
        <v>83000000</v>
      </c>
      <c r="E153" s="66">
        <f>(Tabela2[[#This Row],[Lucro Líquido]])/Tabela2[[#This Row],[Total Ações]]</f>
        <v>1.8438067589156628</v>
      </c>
      <c r="F153" s="66">
        <v>0.87951522900000001</v>
      </c>
      <c r="G153" s="45">
        <f>IF(AND(Tabela2[[#This Row],[Dividendo / Ação]]&gt;0,Tabela2[[#This Row],[Lucro por ação]]&gt;0),Tabela2[[#This Row],[Dividendo / Ação]]/Tabela2[[#This Row],[Lucro por ação]],"")</f>
        <v>0.47701052442027075</v>
      </c>
      <c r="H153" s="61">
        <f>MAX(Tabela2[[#This Row],[Cotação 1]],Tabela2[[#This Row],[Cotação 2]])</f>
        <v>21</v>
      </c>
      <c r="I153" s="46">
        <f>IF(Tabela2[[#This Row],[Dividendo / Ação]]&gt;0,Tabela2[[#This Row],[Dividendo / Ação]]/Tabela2[[#This Row],[Cotação]],"")</f>
        <v>4.188167757142857E-2</v>
      </c>
      <c r="J153" s="17">
        <f>SUMPRODUCT(N(Tabela1[Código]=Tabela2[[#This Row],[Ativo]]),Tabela1[Fechamento])</f>
        <v>0</v>
      </c>
      <c r="K153" s="17">
        <f>SUMPRODUCT(N(Tabela17[Código]=Tabela2[[#This Row],[Ativo]]),Tabela17[Fechamento])</f>
        <v>21</v>
      </c>
    </row>
    <row r="154" spans="1:14">
      <c r="A154" s="4" t="s">
        <v>679</v>
      </c>
      <c r="B154" s="4">
        <v>2011</v>
      </c>
      <c r="C154" s="6">
        <v>113733898.18000001</v>
      </c>
      <c r="D154" s="91">
        <f>SUMPRODUCT(N(Tabela3[PAPEL]=Tabela2[[#This Row],[Ativo]]),Tabela3[Total Ações])</f>
        <v>83000000</v>
      </c>
      <c r="E154" s="66">
        <f>(Tabela2[[#This Row],[Lucro Líquido]])/Tabela2[[#This Row],[Total Ações]]</f>
        <v>1.3702879298795181</v>
      </c>
      <c r="F154" s="66">
        <v>0</v>
      </c>
      <c r="G154" s="45" t="str">
        <f>IF(AND(Tabela2[[#This Row],[Dividendo / Ação]]&gt;0,Tabela2[[#This Row],[Lucro por ação]]&gt;0),Tabela2[[#This Row],[Dividendo / Ação]]/Tabela2[[#This Row],[Lucro por ação]],"")</f>
        <v/>
      </c>
      <c r="H154" s="61">
        <f>MAX(Tabela2[[#This Row],[Cotação 1]],Tabela2[[#This Row],[Cotação 2]])</f>
        <v>21</v>
      </c>
      <c r="I154" s="46" t="str">
        <f>IF(Tabela2[[#This Row],[Dividendo / Ação]]&gt;0,Tabela2[[#This Row],[Dividendo / Ação]]/Tabela2[[#This Row],[Cotação]],"")</f>
        <v/>
      </c>
      <c r="J154" s="17">
        <f>SUMPRODUCT(N(Tabela1[Código]=Tabela2[[#This Row],[Ativo]]),Tabela1[Fechamento])</f>
        <v>0</v>
      </c>
      <c r="K154" s="17">
        <f>SUMPRODUCT(N(Tabela17[Código]=Tabela2[[#This Row],[Ativo]]),Tabela17[Fechamento])</f>
        <v>21</v>
      </c>
    </row>
    <row r="155" spans="1:14">
      <c r="A155" s="4" t="s">
        <v>679</v>
      </c>
      <c r="B155" s="4">
        <v>2010</v>
      </c>
      <c r="C155" s="6">
        <v>93892304.709999993</v>
      </c>
      <c r="D155" s="91">
        <f>SUMPRODUCT(N(Tabela3[PAPEL]=Tabela2[[#This Row],[Ativo]]),Tabela3[Total Ações])</f>
        <v>83000000</v>
      </c>
      <c r="E155" s="66">
        <f>(Tabela2[[#This Row],[Lucro Líquido]])/Tabela2[[#This Row],[Total Ações]]</f>
        <v>1.1312325868674697</v>
      </c>
      <c r="F155" s="66">
        <v>0</v>
      </c>
      <c r="G155" s="45" t="str">
        <f>IF(AND(Tabela2[[#This Row],[Dividendo / Ação]]&gt;0,Tabela2[[#This Row],[Lucro por ação]]&gt;0),Tabela2[[#This Row],[Dividendo / Ação]]/Tabela2[[#This Row],[Lucro por ação]],"")</f>
        <v/>
      </c>
      <c r="H155" s="61">
        <f>MAX(Tabela2[[#This Row],[Cotação 1]],Tabela2[[#This Row],[Cotação 2]])</f>
        <v>21</v>
      </c>
      <c r="I155" s="46" t="str">
        <f>IF(Tabela2[[#This Row],[Dividendo / Ação]]&gt;0,Tabela2[[#This Row],[Dividendo / Ação]]/Tabela2[[#This Row],[Cotação]],"")</f>
        <v/>
      </c>
      <c r="J155" s="17">
        <f>SUMPRODUCT(N(Tabela1[Código]=Tabela2[[#This Row],[Ativo]]),Tabela1[Fechamento])</f>
        <v>0</v>
      </c>
      <c r="K155" s="17">
        <f>SUMPRODUCT(N(Tabela17[Código]=Tabela2[[#This Row],[Ativo]]),Tabela17[Fechamento])</f>
        <v>21</v>
      </c>
    </row>
    <row r="156" spans="1:14">
      <c r="A156" s="4" t="s">
        <v>98</v>
      </c>
      <c r="B156" s="4">
        <v>2012</v>
      </c>
      <c r="C156" s="6">
        <v>55498182.030000001</v>
      </c>
      <c r="D156" s="8">
        <f>SUMPRODUCT(N(Tabela3[PAPEL]=Tabela2[[#This Row],[Ativo]]),Tabela3[Total Ações])</f>
        <v>9183458</v>
      </c>
      <c r="E156" s="66">
        <f>(Tabela2[[#This Row],[Lucro Líquido]])/Tabela2[[#This Row],[Total Ações]]</f>
        <v>6.0432771653118031</v>
      </c>
      <c r="F156" s="66">
        <v>2.4664000000000001</v>
      </c>
      <c r="G156" s="46">
        <f>IF(AND(Tabela2[[#This Row],[Dividendo / Ação]]&gt;0,Tabela2[[#This Row],[Lucro por ação]]&gt;0),Tabela2[[#This Row],[Dividendo / Ação]]/Tabela2[[#This Row],[Lucro por ação]],"")</f>
        <v>0.40812293272879302</v>
      </c>
      <c r="H156" s="6">
        <f>MAX(Tabela2[[#This Row],[Cotação 1]],Tabela2[[#This Row],[Cotação 2]])</f>
        <v>16.510000000000002</v>
      </c>
      <c r="I156" s="19">
        <f>IF(Tabela2[[#This Row],[Dividendo / Ação]]&gt;0,Tabela2[[#This Row],[Dividendo / Ação]]/Tabela2[[#This Row],[Cotação]],"")</f>
        <v>0.14938824954572985</v>
      </c>
      <c r="J156" s="61">
        <f>SUMPRODUCT(N(Tabela1[Código]=Tabela2[[#This Row],[Ativo]]),Tabela1[Fechamento])</f>
        <v>16.510000000000002</v>
      </c>
      <c r="K156" s="61">
        <f>SUMPRODUCT(N(Tabela17[Código]=Tabela2[[#This Row],[Ativo]]),Tabela17[Fechamento])</f>
        <v>0</v>
      </c>
    </row>
    <row r="157" spans="1:14">
      <c r="A157" s="4" t="s">
        <v>98</v>
      </c>
      <c r="B157" s="3">
        <v>2011</v>
      </c>
      <c r="C157" s="5">
        <v>26190000</v>
      </c>
      <c r="D157" s="62">
        <f>SUMPRODUCT(N(Tabela3[PAPEL]=Tabela2[[#This Row],[Ativo]]),Tabela3[Total Ações])</f>
        <v>9183458</v>
      </c>
      <c r="E157" s="65">
        <f>(Tabela2[[#This Row],[Lucro Líquido]])/Tabela2[[#This Row],[Total Ações]]</f>
        <v>2.8518669111352173</v>
      </c>
      <c r="F157" s="65">
        <v>0</v>
      </c>
      <c r="G157" s="22" t="str">
        <f>IF(AND(Tabela2[[#This Row],[Dividendo / Ação]]&gt;0,Tabela2[[#This Row],[Lucro por ação]]&gt;0),Tabela2[[#This Row],[Dividendo / Ação]]/Tabela2[[#This Row],[Lucro por ação]],"")</f>
        <v/>
      </c>
      <c r="H157" s="5">
        <f>MAX(Tabela2[[#This Row],[Cotação 1]],Tabela2[[#This Row],[Cotação 2]])</f>
        <v>16.510000000000002</v>
      </c>
      <c r="I157" s="18" t="str">
        <f>IF(Tabela2[[#This Row],[Dividendo / Ação]]&gt;0,Tabela2[[#This Row],[Dividendo / Ação]]/Tabela2[[#This Row],[Cotação]],"")</f>
        <v/>
      </c>
      <c r="J157" s="60">
        <f>SUMPRODUCT(N(Tabela1[Código]=Tabela2[[#This Row],[Ativo]]),Tabela1[Fechamento])</f>
        <v>16.510000000000002</v>
      </c>
      <c r="K157" s="60">
        <f>SUMPRODUCT(N(Tabela17[Código]=Tabela2[[#This Row],[Ativo]]),Tabela17[Fechamento])</f>
        <v>0</v>
      </c>
    </row>
    <row r="158" spans="1:14">
      <c r="A158" s="4" t="s">
        <v>98</v>
      </c>
      <c r="B158" s="3">
        <v>2010</v>
      </c>
      <c r="C158" s="5">
        <v>2049000</v>
      </c>
      <c r="D158" s="62">
        <f>SUMPRODUCT(N(Tabela3[PAPEL]=Tabela2[[#This Row],[Ativo]]),Tabela3[Total Ações])</f>
        <v>9183458</v>
      </c>
      <c r="E158" s="65">
        <f>(Tabela2[[#This Row],[Lucro Líquido]])/Tabela2[[#This Row],[Total Ações]]</f>
        <v>0.22311856819076212</v>
      </c>
      <c r="F158" s="65">
        <v>0</v>
      </c>
      <c r="G158" s="22" t="str">
        <f>IF(AND(Tabela2[[#This Row],[Dividendo / Ação]]&gt;0,Tabela2[[#This Row],[Lucro por ação]]&gt;0),Tabela2[[#This Row],[Dividendo / Ação]]/Tabela2[[#This Row],[Lucro por ação]],"")</f>
        <v/>
      </c>
      <c r="H158" s="5">
        <f>MAX(Tabela2[[#This Row],[Cotação 1]],Tabela2[[#This Row],[Cotação 2]])</f>
        <v>16.510000000000002</v>
      </c>
      <c r="I158" s="18" t="str">
        <f>IF(Tabela2[[#This Row],[Dividendo / Ação]]&gt;0,Tabela2[[#This Row],[Dividendo / Ação]]/Tabela2[[#This Row],[Cotação]],"")</f>
        <v/>
      </c>
      <c r="J158" s="60">
        <f>SUMPRODUCT(N(Tabela1[Código]=Tabela2[[#This Row],[Ativo]]),Tabela1[Fechamento])</f>
        <v>16.510000000000002</v>
      </c>
      <c r="K158" s="60">
        <f>SUMPRODUCT(N(Tabela17[Código]=Tabela2[[#This Row],[Ativo]]),Tabela17[Fechamento])</f>
        <v>0</v>
      </c>
      <c r="N158" s="67"/>
    </row>
    <row r="159" spans="1:14">
      <c r="A159" s="4" t="s">
        <v>98</v>
      </c>
      <c r="B159" s="3">
        <v>2009</v>
      </c>
      <c r="C159" s="5">
        <v>48919970.259999998</v>
      </c>
      <c r="D159" s="62">
        <f>SUMPRODUCT(N(Tabela3[PAPEL]=Tabela2[[#This Row],[Ativo]]),Tabela3[Total Ações])</f>
        <v>9183458</v>
      </c>
      <c r="E159" s="65">
        <f>(Tabela2[[#This Row],[Lucro Líquido]])/Tabela2[[#This Row],[Total Ações]]</f>
        <v>5.3269661885533743</v>
      </c>
      <c r="F159" s="65">
        <v>2.8779460000000001</v>
      </c>
      <c r="G159" s="22">
        <f>IF(AND(Tabela2[[#This Row],[Dividendo / Ação]]&gt;0,Tabela2[[#This Row],[Lucro por ação]]&gt;0),Tabela2[[#This Row],[Dividendo / Ação]]/Tabela2[[#This Row],[Lucro por ação]],"")</f>
        <v>0.540259858638516</v>
      </c>
      <c r="H159" s="5">
        <f>MAX(Tabela2[[#This Row],[Cotação 1]],Tabela2[[#This Row],[Cotação 2]])</f>
        <v>16.510000000000002</v>
      </c>
      <c r="I159" s="18">
        <f>IF(Tabela2[[#This Row],[Dividendo / Ação]]&gt;0,Tabela2[[#This Row],[Dividendo / Ação]]/Tabela2[[#This Row],[Cotação]],"")</f>
        <v>0.1743153240460327</v>
      </c>
      <c r="J159" s="60">
        <f>SUMPRODUCT(N(Tabela1[Código]=Tabela2[[#This Row],[Ativo]]),Tabela1[Fechamento])</f>
        <v>16.510000000000002</v>
      </c>
      <c r="K159" s="60">
        <f>SUMPRODUCT(N(Tabela17[Código]=Tabela2[[#This Row],[Ativo]]),Tabela17[Fechamento])</f>
        <v>0</v>
      </c>
    </row>
    <row r="160" spans="1:14">
      <c r="A160" s="4" t="s">
        <v>99</v>
      </c>
      <c r="B160" s="4">
        <v>2012</v>
      </c>
      <c r="C160" s="6">
        <v>55498182.030000001</v>
      </c>
      <c r="D160" s="8">
        <f>SUMPRODUCT(N(Tabela3[PAPEL]=Tabela2[[#This Row],[Ativo]]),Tabela3[Total Ações])</f>
        <v>9183458</v>
      </c>
      <c r="E160" s="66">
        <f>(Tabela2[[#This Row],[Lucro Líquido]])/Tabela2[[#This Row],[Total Ações]]</f>
        <v>6.0432771653118031</v>
      </c>
      <c r="F160" s="66">
        <v>4.5993199999999996</v>
      </c>
      <c r="G160" s="46">
        <f>IF(AND(Tabela2[[#This Row],[Dividendo / Ação]]&gt;0,Tabela2[[#This Row],[Lucro por ação]]&gt;0),Tabela2[[#This Row],[Dividendo / Ação]]/Tabela2[[#This Row],[Lucro por ação]],"")</f>
        <v>0.76106388540309444</v>
      </c>
      <c r="H160" s="6">
        <f>MAX(Tabela2[[#This Row],[Cotação 1]],Tabela2[[#This Row],[Cotação 2]])</f>
        <v>25.02</v>
      </c>
      <c r="I160" s="19">
        <f>IF(Tabela2[[#This Row],[Dividendo / Ação]]&gt;0,Tabela2[[#This Row],[Dividendo / Ação]]/Tabela2[[#This Row],[Cotação]],"")</f>
        <v>0.18382573940847322</v>
      </c>
      <c r="J160" s="61">
        <f>SUMPRODUCT(N(Tabela1[Código]=Tabela2[[#This Row],[Ativo]]),Tabela1[Fechamento])</f>
        <v>25.02</v>
      </c>
      <c r="K160" s="61">
        <f>SUMPRODUCT(N(Tabela17[Código]=Tabela2[[#This Row],[Ativo]]),Tabela17[Fechamento])</f>
        <v>0</v>
      </c>
    </row>
    <row r="161" spans="1:13">
      <c r="A161" s="4" t="s">
        <v>99</v>
      </c>
      <c r="B161" s="3">
        <v>2011</v>
      </c>
      <c r="C161" s="5">
        <v>26190000</v>
      </c>
      <c r="D161" s="62">
        <f>SUMPRODUCT(N(Tabela3[PAPEL]=Tabela2[[#This Row],[Ativo]]),Tabela3[Total Ações])</f>
        <v>9183458</v>
      </c>
      <c r="E161" s="65">
        <f>(Tabela2[[#This Row],[Lucro Líquido]])/Tabela2[[#This Row],[Total Ações]]</f>
        <v>2.8518669111352173</v>
      </c>
      <c r="F161" s="65">
        <v>0</v>
      </c>
      <c r="G161" s="22" t="str">
        <f>IF(AND(Tabela2[[#This Row],[Dividendo / Ação]]&gt;0,Tabela2[[#This Row],[Lucro por ação]]&gt;0),Tabela2[[#This Row],[Dividendo / Ação]]/Tabela2[[#This Row],[Lucro por ação]],"")</f>
        <v/>
      </c>
      <c r="H161" s="5">
        <f>MAX(Tabela2[[#This Row],[Cotação 1]],Tabela2[[#This Row],[Cotação 2]])</f>
        <v>25.02</v>
      </c>
      <c r="I161" s="18" t="str">
        <f>IF(Tabela2[[#This Row],[Dividendo / Ação]]&gt;0,Tabela2[[#This Row],[Dividendo / Ação]]/Tabela2[[#This Row],[Cotação]],"")</f>
        <v/>
      </c>
      <c r="J161" s="60">
        <f>SUMPRODUCT(N(Tabela1[Código]=Tabela2[[#This Row],[Ativo]]),Tabela1[Fechamento])</f>
        <v>25.02</v>
      </c>
      <c r="K161" s="60">
        <f>SUMPRODUCT(N(Tabela17[Código]=Tabela2[[#This Row],[Ativo]]),Tabela17[Fechamento])</f>
        <v>0</v>
      </c>
    </row>
    <row r="162" spans="1:13">
      <c r="A162" s="4" t="s">
        <v>99</v>
      </c>
      <c r="B162" s="3">
        <v>2010</v>
      </c>
      <c r="C162" s="5">
        <v>2049000</v>
      </c>
      <c r="D162" s="62">
        <f>SUMPRODUCT(N(Tabela3[PAPEL]=Tabela2[[#This Row],[Ativo]]),Tabela3[Total Ações])</f>
        <v>9183458</v>
      </c>
      <c r="E162" s="65">
        <f>(Tabela2[[#This Row],[Lucro Líquido]])/Tabela2[[#This Row],[Total Ações]]</f>
        <v>0.22311856819076212</v>
      </c>
      <c r="F162" s="65">
        <v>0</v>
      </c>
      <c r="G162" s="22" t="str">
        <f>IF(AND(Tabela2[[#This Row],[Dividendo / Ação]]&gt;0,Tabela2[[#This Row],[Lucro por ação]]&gt;0),Tabela2[[#This Row],[Dividendo / Ação]]/Tabela2[[#This Row],[Lucro por ação]],"")</f>
        <v/>
      </c>
      <c r="H162" s="5">
        <f>MAX(Tabela2[[#This Row],[Cotação 1]],Tabela2[[#This Row],[Cotação 2]])</f>
        <v>25.02</v>
      </c>
      <c r="I162" s="18" t="str">
        <f>IF(Tabela2[[#This Row],[Dividendo / Ação]]&gt;0,Tabela2[[#This Row],[Dividendo / Ação]]/Tabela2[[#This Row],[Cotação]],"")</f>
        <v/>
      </c>
      <c r="J162" s="60">
        <f>SUMPRODUCT(N(Tabela1[Código]=Tabela2[[#This Row],[Ativo]]),Tabela1[Fechamento])</f>
        <v>25.02</v>
      </c>
      <c r="K162" s="60">
        <f>SUMPRODUCT(N(Tabela17[Código]=Tabela2[[#This Row],[Ativo]]),Tabela17[Fechamento])</f>
        <v>0</v>
      </c>
    </row>
    <row r="163" spans="1:13">
      <c r="A163" s="4" t="s">
        <v>99</v>
      </c>
      <c r="B163" s="3">
        <v>2009</v>
      </c>
      <c r="C163" s="5">
        <v>48919970.259999998</v>
      </c>
      <c r="D163" s="62">
        <f>SUMPRODUCT(N(Tabela3[PAPEL]=Tabela2[[#This Row],[Ativo]]),Tabela3[Total Ações])</f>
        <v>9183458</v>
      </c>
      <c r="E163" s="65">
        <f>(Tabela2[[#This Row],[Lucro Líquido]])/Tabela2[[#This Row],[Total Ações]]</f>
        <v>5.3269661885533743</v>
      </c>
      <c r="F163" s="65">
        <v>0</v>
      </c>
      <c r="G163" s="22" t="str">
        <f>IF(AND(Tabela2[[#This Row],[Dividendo / Ação]]&gt;0,Tabela2[[#This Row],[Lucro por ação]]&gt;0),Tabela2[[#This Row],[Dividendo / Ação]]/Tabela2[[#This Row],[Lucro por ação]],"")</f>
        <v/>
      </c>
      <c r="H163" s="5">
        <f>MAX(Tabela2[[#This Row],[Cotação 1]],Tabela2[[#This Row],[Cotação 2]])</f>
        <v>25.02</v>
      </c>
      <c r="I163" s="18" t="str">
        <f>IF(Tabela2[[#This Row],[Dividendo / Ação]]&gt;0,Tabela2[[#This Row],[Dividendo / Ação]]/Tabela2[[#This Row],[Cotação]],"")</f>
        <v/>
      </c>
      <c r="J163" s="60">
        <f>SUMPRODUCT(N(Tabela1[Código]=Tabela2[[#This Row],[Ativo]]),Tabela1[Fechamento])</f>
        <v>25.02</v>
      </c>
      <c r="K163" s="60">
        <f>SUMPRODUCT(N(Tabela17[Código]=Tabela2[[#This Row],[Ativo]]),Tabela17[Fechamento])</f>
        <v>0</v>
      </c>
    </row>
    <row r="164" spans="1:13">
      <c r="A164" s="4" t="s">
        <v>72</v>
      </c>
      <c r="B164" s="4">
        <v>2012</v>
      </c>
      <c r="C164" s="6">
        <v>55498182.030000001</v>
      </c>
      <c r="D164" s="8">
        <f>SUMPRODUCT(N(Tabela3[PAPEL]=Tabela2[[#This Row],[Ativo]]),Tabela3[Total Ações])</f>
        <v>9183458</v>
      </c>
      <c r="E164" s="66">
        <f>(Tabela2[[#This Row],[Lucro Líquido]])/Tabela2[[#This Row],[Total Ações]]</f>
        <v>6.0432771653118031</v>
      </c>
      <c r="F164" s="66">
        <v>3.7692600000000001</v>
      </c>
      <c r="G164" s="46">
        <f>IF(AND(Tabela2[[#This Row],[Dividendo / Ação]]&gt;0,Tabela2[[#This Row],[Lucro por ação]]&gt;0),Tabela2[[#This Row],[Dividendo / Ação]]/Tabela2[[#This Row],[Lucro por ação]],"")</f>
        <v>0.62371125746729261</v>
      </c>
      <c r="H164" s="6">
        <f>MAX(Tabela2[[#This Row],[Cotação 1]],Tabela2[[#This Row],[Cotação 2]])</f>
        <v>17.079999999999998</v>
      </c>
      <c r="I164" s="19">
        <f>IF(Tabela2[[#This Row],[Dividendo / Ação]]&gt;0,Tabela2[[#This Row],[Dividendo / Ação]]/Tabela2[[#This Row],[Cotação]],"")</f>
        <v>0.22068266978922718</v>
      </c>
      <c r="J164" s="61">
        <f>SUMPRODUCT(N(Tabela1[Código]=Tabela2[[#This Row],[Ativo]]),Tabela1[Fechamento])</f>
        <v>17.079999999999998</v>
      </c>
      <c r="K164" s="61">
        <f>SUMPRODUCT(N(Tabela17[Código]=Tabela2[[#This Row],[Ativo]]),Tabela17[Fechamento])</f>
        <v>0</v>
      </c>
    </row>
    <row r="165" spans="1:13">
      <c r="A165" s="4" t="s">
        <v>72</v>
      </c>
      <c r="B165" s="4">
        <v>2011</v>
      </c>
      <c r="C165" s="5">
        <v>26190000</v>
      </c>
      <c r="D165" s="8">
        <f>SUMPRODUCT(N(Tabela3[PAPEL]=Tabela2[[#This Row],[Ativo]]),Tabela3[Total Ações])</f>
        <v>9183458</v>
      </c>
      <c r="E165" s="66">
        <f>(Tabela2[[#This Row],[Lucro Líquido]])/Tabela2[[#This Row],[Total Ações]]</f>
        <v>2.8518669111352173</v>
      </c>
      <c r="F165" s="66">
        <v>0</v>
      </c>
      <c r="G165" s="46" t="str">
        <f>IF(AND(Tabela2[[#This Row],[Dividendo / Ação]]&gt;0,Tabela2[[#This Row],[Lucro por ação]]&gt;0),Tabela2[[#This Row],[Dividendo / Ação]]/Tabela2[[#This Row],[Lucro por ação]],"")</f>
        <v/>
      </c>
      <c r="H165" s="6">
        <f>MAX(Tabela2[[#This Row],[Cotação 1]],Tabela2[[#This Row],[Cotação 2]])</f>
        <v>17.079999999999998</v>
      </c>
      <c r="I165" s="19" t="str">
        <f>IF(Tabela2[[#This Row],[Dividendo / Ação]]&gt;0,Tabela2[[#This Row],[Dividendo / Ação]]/Tabela2[[#This Row],[Cotação]],"")</f>
        <v/>
      </c>
      <c r="J165" s="61">
        <f>SUMPRODUCT(N(Tabela1[Código]=Tabela2[[#This Row],[Ativo]]),Tabela1[Fechamento])</f>
        <v>17.079999999999998</v>
      </c>
      <c r="K165" s="61">
        <f>SUMPRODUCT(N(Tabela17[Código]=Tabela2[[#This Row],[Ativo]]),Tabela17[Fechamento])</f>
        <v>0</v>
      </c>
    </row>
    <row r="166" spans="1:13">
      <c r="A166" s="4" t="s">
        <v>72</v>
      </c>
      <c r="B166" s="4">
        <v>2010</v>
      </c>
      <c r="C166" s="5">
        <v>2049000</v>
      </c>
      <c r="D166" s="8">
        <f>SUMPRODUCT(N(Tabela3[PAPEL]=Tabela2[[#This Row],[Ativo]]),Tabela3[Total Ações])</f>
        <v>9183458</v>
      </c>
      <c r="E166" s="66">
        <f>(Tabela2[[#This Row],[Lucro Líquido]])/Tabela2[[#This Row],[Total Ações]]</f>
        <v>0.22311856819076212</v>
      </c>
      <c r="F166" s="66">
        <v>0</v>
      </c>
      <c r="G166" s="46" t="str">
        <f>IF(AND(Tabela2[[#This Row],[Dividendo / Ação]]&gt;0,Tabela2[[#This Row],[Lucro por ação]]&gt;0),Tabela2[[#This Row],[Dividendo / Ação]]/Tabela2[[#This Row],[Lucro por ação]],"")</f>
        <v/>
      </c>
      <c r="H166" s="6">
        <f>MAX(Tabela2[[#This Row],[Cotação 1]],Tabela2[[#This Row],[Cotação 2]])</f>
        <v>17.079999999999998</v>
      </c>
      <c r="I166" s="19" t="str">
        <f>IF(Tabela2[[#This Row],[Dividendo / Ação]]&gt;0,Tabela2[[#This Row],[Dividendo / Ação]]/Tabela2[[#This Row],[Cotação]],"")</f>
        <v/>
      </c>
      <c r="J166" s="61">
        <f>SUMPRODUCT(N(Tabela1[Código]=Tabela2[[#This Row],[Ativo]]),Tabela1[Fechamento])</f>
        <v>17.079999999999998</v>
      </c>
      <c r="K166" s="61">
        <f>SUMPRODUCT(N(Tabela17[Código]=Tabela2[[#This Row],[Ativo]]),Tabela17[Fechamento])</f>
        <v>0</v>
      </c>
    </row>
    <row r="167" spans="1:13">
      <c r="A167" s="4" t="s">
        <v>72</v>
      </c>
      <c r="B167" s="4">
        <v>2009</v>
      </c>
      <c r="C167" s="5">
        <v>48919970.259999998</v>
      </c>
      <c r="D167" s="8">
        <f>SUMPRODUCT(N(Tabela3[PAPEL]=Tabela2[[#This Row],[Ativo]]),Tabela3[Total Ações])</f>
        <v>9183458</v>
      </c>
      <c r="E167" s="66">
        <f>(Tabela2[[#This Row],[Lucro Líquido]])/Tabela2[[#This Row],[Total Ações]]</f>
        <v>5.3269661885533743</v>
      </c>
      <c r="F167" s="66">
        <v>4.3982070000000002</v>
      </c>
      <c r="G167" s="46">
        <f>IF(AND(Tabela2[[#This Row],[Dividendo / Ação]]&gt;0,Tabela2[[#This Row],[Lucro por ação]]&gt;0),Tabela2[[#This Row],[Dividendo / Ação]]/Tabela2[[#This Row],[Lucro por ação]],"")</f>
        <v>0.82564950561370198</v>
      </c>
      <c r="H167" s="6">
        <f>MAX(Tabela2[[#This Row],[Cotação 1]],Tabela2[[#This Row],[Cotação 2]])</f>
        <v>17.079999999999998</v>
      </c>
      <c r="I167" s="19">
        <f>IF(Tabela2[[#This Row],[Dividendo / Ação]]&gt;0,Tabela2[[#This Row],[Dividendo / Ação]]/Tabela2[[#This Row],[Cotação]],"")</f>
        <v>0.25750626463700238</v>
      </c>
      <c r="J167" s="61">
        <f>SUMPRODUCT(N(Tabela1[Código]=Tabela2[[#This Row],[Ativo]]),Tabela1[Fechamento])</f>
        <v>17.079999999999998</v>
      </c>
      <c r="K167" s="61">
        <f>SUMPRODUCT(N(Tabela17[Código]=Tabela2[[#This Row],[Ativo]]),Tabela17[Fechamento])</f>
        <v>0</v>
      </c>
    </row>
    <row r="168" spans="1:13">
      <c r="A168" s="4" t="s">
        <v>96</v>
      </c>
      <c r="B168" s="4">
        <v>2012</v>
      </c>
      <c r="C168" s="6">
        <v>805497405.55999994</v>
      </c>
      <c r="D168" s="8">
        <f>SUMPRODUCT(N(Tabela3[PAPEL]=Tabela2[[#This Row],[Ativo]]),Tabela3[Total Ações])</f>
        <v>188177338</v>
      </c>
      <c r="E168" s="66">
        <f>(Tabela2[[#This Row],[Lucro Líquido]])/Tabela2[[#This Row],[Total Ações]]</f>
        <v>4.2805229052607805</v>
      </c>
      <c r="F168" s="66">
        <v>2.3192654978</v>
      </c>
      <c r="G168" s="46">
        <f>IF(AND(Tabela2[[#This Row],[Dividendo / Ação]]&gt;0,Tabela2[[#This Row],[Lucro por ação]]&gt;0),Tabela2[[#This Row],[Dividendo / Ação]]/Tabela2[[#This Row],[Lucro por ação]],"")</f>
        <v>0.54181826592952298</v>
      </c>
      <c r="H168" s="6">
        <f>MAX(Tabela2[[#This Row],[Cotação 1]],Tabela2[[#This Row],[Cotação 2]])</f>
        <v>32</v>
      </c>
      <c r="I168" s="19">
        <f>IF(Tabela2[[#This Row],[Dividendo / Ação]]&gt;0,Tabela2[[#This Row],[Dividendo / Ação]]/Tabela2[[#This Row],[Cotação]],"")</f>
        <v>7.2477046806250001E-2</v>
      </c>
      <c r="J168" s="61">
        <f>SUMPRODUCT(N(Tabela1[Código]=Tabela2[[#This Row],[Ativo]]),Tabela1[Fechamento])</f>
        <v>32</v>
      </c>
      <c r="K168" s="61">
        <f>SUMPRODUCT(N(Tabela17[Código]=Tabela2[[#This Row],[Ativo]]),Tabela17[Fechamento])</f>
        <v>0</v>
      </c>
    </row>
    <row r="169" spans="1:13">
      <c r="A169" s="4" t="s">
        <v>96</v>
      </c>
      <c r="B169" s="3">
        <v>2011</v>
      </c>
      <c r="C169" s="5">
        <v>750490000</v>
      </c>
      <c r="D169" s="62">
        <f>SUMPRODUCT(N(Tabela3[PAPEL]=Tabela2[[#This Row],[Ativo]]),Tabela3[Total Ações])</f>
        <v>188177338</v>
      </c>
      <c r="E169" s="65">
        <f>(Tabela2[[#This Row],[Lucro Líquido]])/Tabela2[[#This Row],[Total Ações]]</f>
        <v>3.988206061242082</v>
      </c>
      <c r="F169" s="65">
        <v>4.4176596381</v>
      </c>
      <c r="G169" s="22">
        <f>IF(AND(Tabela2[[#This Row],[Dividendo / Ação]]&gt;0,Tabela2[[#This Row],[Lucro por ação]]&gt;0),Tabela2[[#This Row],[Dividendo / Ação]]/Tabela2[[#This Row],[Lucro por ação]],"")</f>
        <v>1.1076808896690182</v>
      </c>
      <c r="H169" s="5">
        <f>MAX(Tabela2[[#This Row],[Cotação 1]],Tabela2[[#This Row],[Cotação 2]])</f>
        <v>32</v>
      </c>
      <c r="I169" s="18">
        <f>IF(Tabela2[[#This Row],[Dividendo / Ação]]&gt;0,Tabela2[[#This Row],[Dividendo / Ação]]/Tabela2[[#This Row],[Cotação]],"")</f>
        <v>0.138051863690625</v>
      </c>
      <c r="J169" s="60">
        <f>SUMPRODUCT(N(Tabela1[Código]=Tabela2[[#This Row],[Ativo]]),Tabela1[Fechamento])</f>
        <v>32</v>
      </c>
      <c r="K169" s="60">
        <f>SUMPRODUCT(N(Tabela17[Código]=Tabela2[[#This Row],[Ativo]]),Tabela17[Fechamento])</f>
        <v>0</v>
      </c>
      <c r="M169" s="67"/>
    </row>
    <row r="170" spans="1:13">
      <c r="A170" s="4" t="s">
        <v>96</v>
      </c>
      <c r="B170" s="3">
        <v>2010</v>
      </c>
      <c r="C170" s="5">
        <v>945719000</v>
      </c>
      <c r="D170" s="62">
        <f>SUMPRODUCT(N(Tabela3[PAPEL]=Tabela2[[#This Row],[Ativo]]),Tabela3[Total Ações])</f>
        <v>188177338</v>
      </c>
      <c r="E170" s="65">
        <f>(Tabela2[[#This Row],[Lucro Líquido]])/Tabela2[[#This Row],[Total Ações]]</f>
        <v>5.0256795534008454</v>
      </c>
      <c r="F170" s="65">
        <v>3.6718683019</v>
      </c>
      <c r="G170" s="22">
        <f>IF(AND(Tabela2[[#This Row],[Dividendo / Ação]]&gt;0,Tabela2[[#This Row],[Lucro por ação]]&gt;0),Tabela2[[#This Row],[Dividendo / Ação]]/Tabela2[[#This Row],[Lucro por ação]],"")</f>
        <v>0.73062125487393448</v>
      </c>
      <c r="H170" s="5">
        <f>MAX(Tabela2[[#This Row],[Cotação 1]],Tabela2[[#This Row],[Cotação 2]])</f>
        <v>32</v>
      </c>
      <c r="I170" s="18">
        <f>IF(Tabela2[[#This Row],[Dividendo / Ação]]&gt;0,Tabela2[[#This Row],[Dividendo / Ação]]/Tabela2[[#This Row],[Cotação]],"")</f>
        <v>0.114745884434375</v>
      </c>
      <c r="J170" s="60">
        <f>SUMPRODUCT(N(Tabela1[Código]=Tabela2[[#This Row],[Ativo]]),Tabela1[Fechamento])</f>
        <v>32</v>
      </c>
      <c r="K170" s="60">
        <f>SUMPRODUCT(N(Tabela17[Código]=Tabela2[[#This Row],[Ativo]]),Tabela17[Fechamento])</f>
        <v>0</v>
      </c>
    </row>
    <row r="171" spans="1:13">
      <c r="A171" s="4" t="s">
        <v>96</v>
      </c>
      <c r="B171" s="3">
        <v>2009</v>
      </c>
      <c r="C171" s="5">
        <v>887625000</v>
      </c>
      <c r="D171" s="62">
        <f>SUMPRODUCT(N(Tabela3[PAPEL]=Tabela2[[#This Row],[Ativo]]),Tabela3[Total Ações])</f>
        <v>188177338</v>
      </c>
      <c r="E171" s="65">
        <f>(Tabela2[[#This Row],[Lucro Líquido]])/Tabela2[[#This Row],[Total Ações]]</f>
        <v>4.7169601261975549</v>
      </c>
      <c r="F171" s="65">
        <v>3.24332932</v>
      </c>
      <c r="G171" s="22">
        <f>IF(AND(Tabela2[[#This Row],[Dividendo / Ação]]&gt;0,Tabela2[[#This Row],[Lucro por ação]]&gt;0),Tabela2[[#This Row],[Dividendo / Ação]]/Tabela2[[#This Row],[Lucro por ação]],"")</f>
        <v>0.68758887784250122</v>
      </c>
      <c r="H171" s="5">
        <f>MAX(Tabela2[[#This Row],[Cotação 1]],Tabela2[[#This Row],[Cotação 2]])</f>
        <v>32</v>
      </c>
      <c r="I171" s="18">
        <f>IF(Tabela2[[#This Row],[Dividendo / Ação]]&gt;0,Tabela2[[#This Row],[Dividendo / Ação]]/Tabela2[[#This Row],[Cotação]],"")</f>
        <v>0.10135404125</v>
      </c>
      <c r="J171" s="60">
        <f>SUMPRODUCT(N(Tabela1[Código]=Tabela2[[#This Row],[Ativo]]),Tabela1[Fechamento])</f>
        <v>32</v>
      </c>
      <c r="K171" s="60">
        <f>SUMPRODUCT(N(Tabela17[Código]=Tabela2[[#This Row],[Ativo]]),Tabela17[Fechamento])</f>
        <v>0</v>
      </c>
    </row>
    <row r="172" spans="1:13">
      <c r="A172" s="4" t="s">
        <v>97</v>
      </c>
      <c r="B172" s="4">
        <v>2012</v>
      </c>
      <c r="C172" s="6">
        <v>805497405.55999994</v>
      </c>
      <c r="D172" s="8">
        <f>SUMPRODUCT(N(Tabela3[PAPEL]=Tabela2[[#This Row],[Ativo]]),Tabela3[Total Ações])</f>
        <v>188177338</v>
      </c>
      <c r="E172" s="66">
        <f>(Tabela2[[#This Row],[Lucro Líquido]])/Tabela2[[#This Row],[Total Ações]]</f>
        <v>4.2805229052607805</v>
      </c>
      <c r="F172" s="66">
        <v>2.3192654978</v>
      </c>
      <c r="G172" s="46">
        <f>IF(AND(Tabela2[[#This Row],[Dividendo / Ação]]&gt;0,Tabela2[[#This Row],[Lucro por ação]]&gt;0),Tabela2[[#This Row],[Dividendo / Ação]]/Tabela2[[#This Row],[Lucro por ação]],"")</f>
        <v>0.54181826592952298</v>
      </c>
      <c r="H172" s="6">
        <f>MAX(Tabela2[[#This Row],[Cotação 1]],Tabela2[[#This Row],[Cotação 2]])</f>
        <v>32.01</v>
      </c>
      <c r="I172" s="19">
        <f>IF(Tabela2[[#This Row],[Dividendo / Ação]]&gt;0,Tabela2[[#This Row],[Dividendo / Ação]]/Tabela2[[#This Row],[Cotação]],"")</f>
        <v>7.2454404804748518E-2</v>
      </c>
      <c r="J172" s="61">
        <f>SUMPRODUCT(N(Tabela1[Código]=Tabela2[[#This Row],[Ativo]]),Tabela1[Fechamento])</f>
        <v>32.01</v>
      </c>
      <c r="K172" s="61">
        <f>SUMPRODUCT(N(Tabela17[Código]=Tabela2[[#This Row],[Ativo]]),Tabela17[Fechamento])</f>
        <v>0</v>
      </c>
    </row>
    <row r="173" spans="1:13">
      <c r="A173" s="4" t="s">
        <v>97</v>
      </c>
      <c r="B173" s="3">
        <v>2011</v>
      </c>
      <c r="C173" s="5">
        <v>750490000</v>
      </c>
      <c r="D173" s="62">
        <f>SUMPRODUCT(N(Tabela3[PAPEL]=Tabela2[[#This Row],[Ativo]]),Tabela3[Total Ações])</f>
        <v>188177338</v>
      </c>
      <c r="E173" s="65">
        <f>(Tabela2[[#This Row],[Lucro Líquido]])/Tabela2[[#This Row],[Total Ações]]</f>
        <v>3.988206061242082</v>
      </c>
      <c r="F173" s="65">
        <v>4.4176596381</v>
      </c>
      <c r="G173" s="22">
        <f>IF(AND(Tabela2[[#This Row],[Dividendo / Ação]]&gt;0,Tabela2[[#This Row],[Lucro por ação]]&gt;0),Tabela2[[#This Row],[Dividendo / Ação]]/Tabela2[[#This Row],[Lucro por ação]],"")</f>
        <v>1.1076808896690182</v>
      </c>
      <c r="H173" s="5">
        <f>MAX(Tabela2[[#This Row],[Cotação 1]],Tabela2[[#This Row],[Cotação 2]])</f>
        <v>32.01</v>
      </c>
      <c r="I173" s="18">
        <f>IF(Tabela2[[#This Row],[Dividendo / Ação]]&gt;0,Tabela2[[#This Row],[Dividendo / Ação]]/Tabela2[[#This Row],[Cotação]],"")</f>
        <v>0.13800873596063731</v>
      </c>
      <c r="J173" s="60">
        <f>SUMPRODUCT(N(Tabela1[Código]=Tabela2[[#This Row],[Ativo]]),Tabela1[Fechamento])</f>
        <v>32.01</v>
      </c>
      <c r="K173" s="60">
        <f>SUMPRODUCT(N(Tabela17[Código]=Tabela2[[#This Row],[Ativo]]),Tabela17[Fechamento])</f>
        <v>0</v>
      </c>
    </row>
    <row r="174" spans="1:13">
      <c r="A174" s="4" t="s">
        <v>97</v>
      </c>
      <c r="B174" s="3">
        <v>2010</v>
      </c>
      <c r="C174" s="5">
        <v>945719000</v>
      </c>
      <c r="D174" s="62">
        <f>SUMPRODUCT(N(Tabela3[PAPEL]=Tabela2[[#This Row],[Ativo]]),Tabela3[Total Ações])</f>
        <v>188177338</v>
      </c>
      <c r="E174" s="65">
        <f>(Tabela2[[#This Row],[Lucro Líquido]])/Tabela2[[#This Row],[Total Ações]]</f>
        <v>5.0256795534008454</v>
      </c>
      <c r="F174" s="65">
        <v>3.6718683019</v>
      </c>
      <c r="G174" s="22">
        <f>IF(AND(Tabela2[[#This Row],[Dividendo / Ação]]&gt;0,Tabela2[[#This Row],[Lucro por ação]]&gt;0),Tabela2[[#This Row],[Dividendo / Ação]]/Tabela2[[#This Row],[Lucro por ação]],"")</f>
        <v>0.73062125487393448</v>
      </c>
      <c r="H174" s="5">
        <f>MAX(Tabela2[[#This Row],[Cotação 1]],Tabela2[[#This Row],[Cotação 2]])</f>
        <v>32.01</v>
      </c>
      <c r="I174" s="18">
        <f>IF(Tabela2[[#This Row],[Dividendo / Ação]]&gt;0,Tabela2[[#This Row],[Dividendo / Ação]]/Tabela2[[#This Row],[Cotação]],"")</f>
        <v>0.11471003754764136</v>
      </c>
      <c r="J174" s="60">
        <f>SUMPRODUCT(N(Tabela1[Código]=Tabela2[[#This Row],[Ativo]]),Tabela1[Fechamento])</f>
        <v>32.01</v>
      </c>
      <c r="K174" s="60">
        <f>SUMPRODUCT(N(Tabela17[Código]=Tabela2[[#This Row],[Ativo]]),Tabela17[Fechamento])</f>
        <v>0</v>
      </c>
    </row>
    <row r="175" spans="1:13">
      <c r="A175" s="4" t="s">
        <v>97</v>
      </c>
      <c r="B175" s="3">
        <v>2009</v>
      </c>
      <c r="C175" s="5">
        <v>887625000</v>
      </c>
      <c r="D175" s="62">
        <f>SUMPRODUCT(N(Tabela3[PAPEL]=Tabela2[[#This Row],[Ativo]]),Tabela3[Total Ações])</f>
        <v>188177338</v>
      </c>
      <c r="E175" s="65">
        <f>(Tabela2[[#This Row],[Lucro Líquido]])/Tabela2[[#This Row],[Total Ações]]</f>
        <v>4.7169601261975549</v>
      </c>
      <c r="F175" s="65">
        <v>3.24332932</v>
      </c>
      <c r="G175" s="22">
        <f>IF(AND(Tabela2[[#This Row],[Dividendo / Ação]]&gt;0,Tabela2[[#This Row],[Lucro por ação]]&gt;0),Tabela2[[#This Row],[Dividendo / Ação]]/Tabela2[[#This Row],[Lucro por ação]],"")</f>
        <v>0.68758887784250122</v>
      </c>
      <c r="H175" s="5">
        <f>MAX(Tabela2[[#This Row],[Cotação 1]],Tabela2[[#This Row],[Cotação 2]])</f>
        <v>32.01</v>
      </c>
      <c r="I175" s="18">
        <f>IF(Tabela2[[#This Row],[Dividendo / Ação]]&gt;0,Tabela2[[#This Row],[Dividendo / Ação]]/Tabela2[[#This Row],[Cotação]],"")</f>
        <v>0.10132237800687285</v>
      </c>
      <c r="J175" s="60">
        <f>SUMPRODUCT(N(Tabela1[Código]=Tabela2[[#This Row],[Ativo]]),Tabela1[Fechamento])</f>
        <v>32.01</v>
      </c>
      <c r="K175" s="60">
        <f>SUMPRODUCT(N(Tabela17[Código]=Tabela2[[#This Row],[Ativo]]),Tabela17[Fechamento])</f>
        <v>0</v>
      </c>
    </row>
    <row r="176" spans="1:13">
      <c r="A176" s="4" t="s">
        <v>73</v>
      </c>
      <c r="B176" s="4">
        <v>2012</v>
      </c>
      <c r="C176" s="6">
        <v>15128479.970000001</v>
      </c>
      <c r="D176" s="8">
        <f>SUMPRODUCT(N(Tabela3[PAPEL]=Tabela2[[#This Row],[Ativo]]),Tabela3[Total Ações])</f>
        <v>74612388</v>
      </c>
      <c r="E176" s="66">
        <f>(Tabela2[[#This Row],[Lucro Líquido]])/Tabela2[[#This Row],[Total Ações]]</f>
        <v>0.20276096738788202</v>
      </c>
      <c r="F176" s="66">
        <v>0.20233950000000001</v>
      </c>
      <c r="G176" s="46">
        <f>IF(AND(Tabela2[[#This Row],[Dividendo / Ação]]&gt;0,Tabela2[[#This Row],[Lucro por ação]]&gt;0),Tabela2[[#This Row],[Dividendo / Ação]]/Tabela2[[#This Row],[Lucro por ação]],"")</f>
        <v>0.99792135836935647</v>
      </c>
      <c r="H176" s="6">
        <f>MAX(Tabela2[[#This Row],[Cotação 1]],Tabela2[[#This Row],[Cotação 2]])</f>
        <v>18</v>
      </c>
      <c r="I176" s="19">
        <f>IF(Tabela2[[#This Row],[Dividendo / Ação]]&gt;0,Tabela2[[#This Row],[Dividendo / Ação]]/Tabela2[[#This Row],[Cotação]],"")</f>
        <v>1.1241083333333334E-2</v>
      </c>
      <c r="J176" s="61">
        <f>SUMPRODUCT(N(Tabela1[Código]=Tabela2[[#This Row],[Ativo]]),Tabela1[Fechamento])</f>
        <v>18</v>
      </c>
      <c r="K176" s="61">
        <f>SUMPRODUCT(N(Tabela17[Código]=Tabela2[[#This Row],[Ativo]]),Tabela17[Fechamento])</f>
        <v>0</v>
      </c>
      <c r="M176" s="3">
        <v>3.9899999999999998E-2</v>
      </c>
    </row>
    <row r="177" spans="1:13">
      <c r="A177" s="4" t="s">
        <v>73</v>
      </c>
      <c r="B177" s="3">
        <v>2011</v>
      </c>
      <c r="C177" s="5">
        <v>283416000</v>
      </c>
      <c r="D177" s="62">
        <f>SUMPRODUCT(N(Tabela3[PAPEL]=Tabela2[[#This Row],[Ativo]]),Tabela3[Total Ações])</f>
        <v>74612388</v>
      </c>
      <c r="E177" s="65">
        <f>(Tabela2[[#This Row],[Lucro Líquido]])/Tabela2[[#This Row],[Total Ações]]</f>
        <v>3.7985113142337705</v>
      </c>
      <c r="F177" s="65">
        <v>3.2507519999999999</v>
      </c>
      <c r="G177" s="22">
        <f>IF(AND(Tabela2[[#This Row],[Dividendo / Ação]]&gt;0,Tabela2[[#This Row],[Lucro por ação]]&gt;0),Tabela2[[#This Row],[Dividendo / Ação]]/Tabela2[[#This Row],[Lucro por ação]],"")</f>
        <v>0.85579631889440255</v>
      </c>
      <c r="H177" s="5">
        <f>MAX(Tabela2[[#This Row],[Cotação 1]],Tabela2[[#This Row],[Cotação 2]])</f>
        <v>18</v>
      </c>
      <c r="I177" s="18">
        <f>IF(Tabela2[[#This Row],[Dividendo / Ação]]&gt;0,Tabela2[[#This Row],[Dividendo / Ação]]/Tabela2[[#This Row],[Cotação]],"")</f>
        <v>0.18059733333333333</v>
      </c>
      <c r="J177" s="60">
        <f>SUMPRODUCT(N(Tabela1[Código]=Tabela2[[#This Row],[Ativo]]),Tabela1[Fechamento])</f>
        <v>18</v>
      </c>
      <c r="K177" s="60">
        <f>SUMPRODUCT(N(Tabela17[Código]=Tabela2[[#This Row],[Ativo]]),Tabela17[Fechamento])</f>
        <v>0</v>
      </c>
      <c r="M177" s="3">
        <v>2.648E-2</v>
      </c>
    </row>
    <row r="178" spans="1:13">
      <c r="A178" s="4" t="s">
        <v>73</v>
      </c>
      <c r="B178" s="3">
        <v>2010</v>
      </c>
      <c r="C178" s="5">
        <v>448291000</v>
      </c>
      <c r="D178" s="62">
        <f>SUMPRODUCT(N(Tabela3[PAPEL]=Tabela2[[#This Row],[Ativo]]),Tabela3[Total Ações])</f>
        <v>74612388</v>
      </c>
      <c r="E178" s="65">
        <f>(Tabela2[[#This Row],[Lucro Líquido]])/Tabela2[[#This Row],[Total Ações]]</f>
        <v>6.0082650082182063</v>
      </c>
      <c r="F178" s="65">
        <v>3.3315596300000001</v>
      </c>
      <c r="G178" s="22">
        <f>IF(AND(Tabela2[[#This Row],[Dividendo / Ação]]&gt;0,Tabela2[[#This Row],[Lucro por ação]]&gt;0),Tabela2[[#This Row],[Dividendo / Ação]]/Tabela2[[#This Row],[Lucro por ação]],"")</f>
        <v>0.55449611916968322</v>
      </c>
      <c r="H178" s="5">
        <f>MAX(Tabela2[[#This Row],[Cotação 1]],Tabela2[[#This Row],[Cotação 2]])</f>
        <v>18</v>
      </c>
      <c r="I178" s="18">
        <f>IF(Tabela2[[#This Row],[Dividendo / Ação]]&gt;0,Tabela2[[#This Row],[Dividendo / Ação]]/Tabela2[[#This Row],[Cotação]],"")</f>
        <v>0.18508664611111111</v>
      </c>
      <c r="J178" s="60">
        <f>SUMPRODUCT(N(Tabela1[Código]=Tabela2[[#This Row],[Ativo]]),Tabela1[Fechamento])</f>
        <v>18</v>
      </c>
      <c r="K178" s="60">
        <f>SUMPRODUCT(N(Tabela17[Código]=Tabela2[[#This Row],[Ativo]]),Tabela17[Fechamento])</f>
        <v>0</v>
      </c>
      <c r="M178" s="3">
        <f>SUM(M176:M177)</f>
        <v>6.6379999999999995E-2</v>
      </c>
    </row>
    <row r="179" spans="1:13">
      <c r="A179" s="4" t="s">
        <v>73</v>
      </c>
      <c r="B179" s="3">
        <v>2010</v>
      </c>
      <c r="C179" s="5">
        <v>586949000</v>
      </c>
      <c r="D179" s="62">
        <f>SUMPRODUCT(N(Tabela3[PAPEL]=Tabela2[[#This Row],[Ativo]]),Tabela3[Total Ações])</f>
        <v>74612388</v>
      </c>
      <c r="E179" s="65">
        <f>(Tabela2[[#This Row],[Lucro Líquido]])/Tabela2[[#This Row],[Total Ações]]</f>
        <v>7.866642734983901</v>
      </c>
      <c r="F179" s="65">
        <v>4.429843</v>
      </c>
      <c r="G179" s="22">
        <f>IF(AND(Tabela2[[#This Row],[Dividendo / Ação]]&gt;0,Tabela2[[#This Row],[Lucro por ação]]&gt;0),Tabela2[[#This Row],[Dividendo / Ação]]/Tabela2[[#This Row],[Lucro por ação]],"")</f>
        <v>0.56311734868801888</v>
      </c>
      <c r="H179" s="5">
        <f>MAX(Tabela2[[#This Row],[Cotação 1]],Tabela2[[#This Row],[Cotação 2]])</f>
        <v>18</v>
      </c>
      <c r="I179" s="18">
        <f>IF(Tabela2[[#This Row],[Dividendo / Ação]]&gt;0,Tabela2[[#This Row],[Dividendo / Ação]]/Tabela2[[#This Row],[Cotação]],"")</f>
        <v>0.24610238888888888</v>
      </c>
      <c r="J179" s="60">
        <f>SUMPRODUCT(N(Tabela1[Código]=Tabela2[[#This Row],[Ativo]]),Tabela1[Fechamento])</f>
        <v>18</v>
      </c>
      <c r="K179" s="60">
        <f>SUMPRODUCT(N(Tabela17[Código]=Tabela2[[#This Row],[Ativo]]),Tabela17[Fechamento])</f>
        <v>0</v>
      </c>
    </row>
    <row r="180" spans="1:13">
      <c r="A180" s="4" t="s">
        <v>100</v>
      </c>
      <c r="B180" s="4">
        <v>2012</v>
      </c>
      <c r="C180" s="6">
        <v>15128479.970000001</v>
      </c>
      <c r="D180" s="8">
        <f>SUMPRODUCT(N(Tabela3[PAPEL]=Tabela2[[#This Row],[Ativo]]),Tabela3[Total Ações])</f>
        <v>74612388</v>
      </c>
      <c r="E180" s="66">
        <f>(Tabela2[[#This Row],[Lucro Líquido]])/Tabela2[[#This Row],[Total Ações]]</f>
        <v>0.20276096738788202</v>
      </c>
      <c r="F180" s="66">
        <v>0.22263450000000001</v>
      </c>
      <c r="G180" s="46">
        <f>IF(AND(Tabela2[[#This Row],[Dividendo / Ação]]&gt;0,Tabela2[[#This Row],[Lucro por ação]]&gt;0),Tabela2[[#This Row],[Dividendo / Ação]]/Tabela2[[#This Row],[Lucro por ação]],"")</f>
        <v>1.0980145876602565</v>
      </c>
      <c r="H180" s="6">
        <f>MAX(Tabela2[[#This Row],[Cotação 1]],Tabela2[[#This Row],[Cotação 2]])</f>
        <v>21.51</v>
      </c>
      <c r="I180" s="19">
        <f>IF(Tabela2[[#This Row],[Dividendo / Ação]]&gt;0,Tabela2[[#This Row],[Dividendo / Ação]]/Tabela2[[#This Row],[Cotação]],"")</f>
        <v>1.0350278940027893E-2</v>
      </c>
      <c r="J180" s="61">
        <f>SUMPRODUCT(N(Tabela1[Código]=Tabela2[[#This Row],[Ativo]]),Tabela1[Fechamento])</f>
        <v>21.51</v>
      </c>
      <c r="K180" s="61">
        <f>SUMPRODUCT(N(Tabela17[Código]=Tabela2[[#This Row],[Ativo]]),Tabela17[Fechamento])</f>
        <v>0</v>
      </c>
    </row>
    <row r="181" spans="1:13">
      <c r="A181" s="4" t="s">
        <v>100</v>
      </c>
      <c r="B181" s="4">
        <v>2011</v>
      </c>
      <c r="C181" s="5">
        <v>283416000</v>
      </c>
      <c r="D181" s="8">
        <f>SUMPRODUCT(N(Tabela3[PAPEL]=Tabela2[[#This Row],[Ativo]]),Tabela3[Total Ações])</f>
        <v>74612388</v>
      </c>
      <c r="E181" s="66">
        <f>(Tabela2[[#This Row],[Lucro Líquido]])/Tabela2[[#This Row],[Total Ações]]</f>
        <v>3.7985113142337705</v>
      </c>
      <c r="F181" s="66">
        <v>3.5758272</v>
      </c>
      <c r="G181" s="46">
        <f>IF(AND(Tabela2[[#This Row],[Dividendo / Ação]]&gt;0,Tabela2[[#This Row],[Lucro por ação]]&gt;0),Tabela2[[#This Row],[Dividendo / Ação]]/Tabela2[[#This Row],[Lucro por ação]],"")</f>
        <v>0.94137595078384284</v>
      </c>
      <c r="H181" s="6">
        <f>MAX(Tabela2[[#This Row],[Cotação 1]],Tabela2[[#This Row],[Cotação 2]])</f>
        <v>21.51</v>
      </c>
      <c r="I181" s="19">
        <f>IF(Tabela2[[#This Row],[Dividendo / Ação]]&gt;0,Tabela2[[#This Row],[Dividendo / Ação]]/Tabela2[[#This Row],[Cotação]],"")</f>
        <v>0.1662402231520223</v>
      </c>
      <c r="J181" s="61">
        <f>SUMPRODUCT(N(Tabela1[Código]=Tabela2[[#This Row],[Ativo]]),Tabela1[Fechamento])</f>
        <v>21.51</v>
      </c>
      <c r="K181" s="61">
        <f>SUMPRODUCT(N(Tabela17[Código]=Tabela2[[#This Row],[Ativo]]),Tabela17[Fechamento])</f>
        <v>0</v>
      </c>
    </row>
    <row r="182" spans="1:13">
      <c r="A182" s="4" t="s">
        <v>100</v>
      </c>
      <c r="B182" s="4">
        <v>2010</v>
      </c>
      <c r="C182" s="5">
        <v>448291000</v>
      </c>
      <c r="D182" s="8">
        <f>SUMPRODUCT(N(Tabela3[PAPEL]=Tabela2[[#This Row],[Ativo]]),Tabela3[Total Ações])</f>
        <v>74612388</v>
      </c>
      <c r="E182" s="66">
        <f>(Tabela2[[#This Row],[Lucro Líquido]])/Tabela2[[#This Row],[Total Ações]]</f>
        <v>6.0082650082182063</v>
      </c>
      <c r="F182" s="66">
        <v>3.6647560000000001</v>
      </c>
      <c r="G182" s="46">
        <f>IF(AND(Tabela2[[#This Row],[Dividendo / Ação]]&gt;0,Tabela2[[#This Row],[Lucro por ação]]&gt;0),Tabela2[[#This Row],[Dividendo / Ação]]/Tabela2[[#This Row],[Lucro por ação]],"")</f>
        <v>0.60995245632262973</v>
      </c>
      <c r="H182" s="6">
        <f>MAX(Tabela2[[#This Row],[Cotação 1]],Tabela2[[#This Row],[Cotação 2]])</f>
        <v>21.51</v>
      </c>
      <c r="I182" s="19">
        <f>IF(Tabela2[[#This Row],[Dividendo / Ação]]&gt;0,Tabela2[[#This Row],[Dividendo / Ação]]/Tabela2[[#This Row],[Cotação]],"")</f>
        <v>0.17037452347745233</v>
      </c>
      <c r="J182" s="61">
        <f>SUMPRODUCT(N(Tabela1[Código]=Tabela2[[#This Row],[Ativo]]),Tabela1[Fechamento])</f>
        <v>21.51</v>
      </c>
      <c r="K182" s="61">
        <f>SUMPRODUCT(N(Tabela17[Código]=Tabela2[[#This Row],[Ativo]]),Tabela17[Fechamento])</f>
        <v>0</v>
      </c>
    </row>
    <row r="183" spans="1:13">
      <c r="A183" s="4" t="s">
        <v>100</v>
      </c>
      <c r="B183" s="4">
        <v>2010</v>
      </c>
      <c r="C183" s="5">
        <v>586949000</v>
      </c>
      <c r="D183" s="8">
        <f>SUMPRODUCT(N(Tabela3[PAPEL]=Tabela2[[#This Row],[Ativo]]),Tabela3[Total Ações])</f>
        <v>74612388</v>
      </c>
      <c r="E183" s="66">
        <f>(Tabela2[[#This Row],[Lucro Líquido]])/Tabela2[[#This Row],[Total Ações]]</f>
        <v>7.866642734983901</v>
      </c>
      <c r="F183" s="66">
        <v>4.8728273</v>
      </c>
      <c r="G183" s="46">
        <f>IF(AND(Tabela2[[#This Row],[Dividendo / Ação]]&gt;0,Tabela2[[#This Row],[Lucro por ação]]&gt;0),Tabela2[[#This Row],[Dividendo / Ação]]/Tabela2[[#This Row],[Lucro por ação]],"")</f>
        <v>0.6194290835568208</v>
      </c>
      <c r="H183" s="6">
        <f>MAX(Tabela2[[#This Row],[Cotação 1]],Tabela2[[#This Row],[Cotação 2]])</f>
        <v>21.51</v>
      </c>
      <c r="I183" s="19">
        <f>IF(Tabela2[[#This Row],[Dividendo / Ação]]&gt;0,Tabela2[[#This Row],[Dividendo / Ação]]/Tabela2[[#This Row],[Cotação]],"")</f>
        <v>0.22653776383077637</v>
      </c>
      <c r="J183" s="61">
        <f>SUMPRODUCT(N(Tabela1[Código]=Tabela2[[#This Row],[Ativo]]),Tabela1[Fechamento])</f>
        <v>21.51</v>
      </c>
      <c r="K183" s="61">
        <f>SUMPRODUCT(N(Tabela17[Código]=Tabela2[[#This Row],[Ativo]]),Tabela17[Fechamento])</f>
        <v>0</v>
      </c>
    </row>
    <row r="184" spans="1:13">
      <c r="A184" s="4" t="s">
        <v>75</v>
      </c>
      <c r="B184" s="4">
        <v>2012</v>
      </c>
      <c r="C184" s="6">
        <v>147982000</v>
      </c>
      <c r="D184" s="8">
        <f>SUMPRODUCT(N(Tabela3[PAPEL]=Tabela2[[#This Row],[Ativo]]),Tabela3[Total Ações])</f>
        <v>327502673</v>
      </c>
      <c r="E184" s="66">
        <f>(Tabela2[[#This Row],[Lucro Líquido]])/Tabela2[[#This Row],[Total Ações]]</f>
        <v>0.4518497471927504</v>
      </c>
      <c r="F184" s="66">
        <v>1.1599999999999999</v>
      </c>
      <c r="G184" s="46">
        <f>IF(AND(Tabela2[[#This Row],[Dividendo / Ação]]&gt;0,Tabela2[[#This Row],[Lucro por ação]]&gt;0),Tabela2[[#This Row],[Dividendo / Ação]]/Tabela2[[#This Row],[Lucro por ação]],"")</f>
        <v>2.5672250725088186</v>
      </c>
      <c r="H184" s="6">
        <f>MAX(Tabela2[[#This Row],[Cotação 1]],Tabela2[[#This Row],[Cotação 2]])</f>
        <v>19.989999999999998</v>
      </c>
      <c r="I184" s="19">
        <f>IF(Tabela2[[#This Row],[Dividendo / Ação]]&gt;0,Tabela2[[#This Row],[Dividendo / Ação]]/Tabela2[[#This Row],[Cotação]],"")</f>
        <v>5.8029014507253625E-2</v>
      </c>
      <c r="J184" s="61">
        <f>SUMPRODUCT(N(Tabela1[Código]=Tabela2[[#This Row],[Ativo]]),Tabela1[Fechamento])</f>
        <v>19.989999999999998</v>
      </c>
      <c r="K184" s="61">
        <f>SUMPRODUCT(N(Tabela17[Código]=Tabela2[[#This Row],[Ativo]]),Tabela17[Fechamento])</f>
        <v>0</v>
      </c>
    </row>
    <row r="185" spans="1:13">
      <c r="A185" s="4" t="s">
        <v>75</v>
      </c>
      <c r="B185" s="3">
        <v>2011</v>
      </c>
      <c r="C185" s="5">
        <v>108581000</v>
      </c>
      <c r="D185" s="62">
        <f>SUMPRODUCT(N(Tabela3[PAPEL]=Tabela2[[#This Row],[Ativo]]),Tabela3[Total Ações])</f>
        <v>327502673</v>
      </c>
      <c r="E185" s="65">
        <f>(Tabela2[[#This Row],[Lucro Líquido]])/Tabela2[[#This Row],[Total Ações]]</f>
        <v>0.33154233217510259</v>
      </c>
      <c r="F185" s="65">
        <v>1.6978355000000001</v>
      </c>
      <c r="G185" s="22">
        <f>IF(AND(Tabela2[[#This Row],[Dividendo / Ação]]&gt;0,Tabela2[[#This Row],[Lucro por ação]]&gt;0),Tabela2[[#This Row],[Dividendo / Ação]]/Tabela2[[#This Row],[Lucro por ação]],"")</f>
        <v>5.121021767752107</v>
      </c>
      <c r="H185" s="5">
        <f>MAX(Tabela2[[#This Row],[Cotação 1]],Tabela2[[#This Row],[Cotação 2]])</f>
        <v>19.989999999999998</v>
      </c>
      <c r="I185" s="18">
        <f>IF(Tabela2[[#This Row],[Dividendo / Ação]]&gt;0,Tabela2[[#This Row],[Dividendo / Ação]]/Tabela2[[#This Row],[Cotação]],"")</f>
        <v>8.4934242121060544E-2</v>
      </c>
      <c r="J185" s="60">
        <f>SUMPRODUCT(N(Tabela1[Código]=Tabela2[[#This Row],[Ativo]]),Tabela1[Fechamento])</f>
        <v>19.989999999999998</v>
      </c>
      <c r="K185" s="60">
        <f>SUMPRODUCT(N(Tabela17[Código]=Tabela2[[#This Row],[Ativo]]),Tabela17[Fechamento])</f>
        <v>0</v>
      </c>
    </row>
    <row r="186" spans="1:13">
      <c r="A186" s="4" t="s">
        <v>75</v>
      </c>
      <c r="B186" s="3">
        <v>2010</v>
      </c>
      <c r="C186" s="5">
        <v>93042000</v>
      </c>
      <c r="D186" s="62">
        <f>SUMPRODUCT(N(Tabela3[PAPEL]=Tabela2[[#This Row],[Ativo]]),Tabela3[Total Ações])</f>
        <v>327502673</v>
      </c>
      <c r="E186" s="65">
        <f>(Tabela2[[#This Row],[Lucro Líquido]])/Tabela2[[#This Row],[Total Ações]]</f>
        <v>0.28409539118479193</v>
      </c>
      <c r="F186" s="65">
        <v>0.70331069999999996</v>
      </c>
      <c r="G186" s="22">
        <f>IF(AND(Tabela2[[#This Row],[Dividendo / Ação]]&gt;0,Tabela2[[#This Row],[Lucro por ação]]&gt;0),Tabela2[[#This Row],[Dividendo / Ação]]/Tabela2[[#This Row],[Lucro por ação]],"")</f>
        <v>2.475614606301467</v>
      </c>
      <c r="H186" s="5">
        <f>MAX(Tabela2[[#This Row],[Cotação 1]],Tabela2[[#This Row],[Cotação 2]])</f>
        <v>19.989999999999998</v>
      </c>
      <c r="I186" s="18">
        <f>IF(Tabela2[[#This Row],[Dividendo / Ação]]&gt;0,Tabela2[[#This Row],[Dividendo / Ação]]/Tabela2[[#This Row],[Cotação]],"")</f>
        <v>3.5183126563281639E-2</v>
      </c>
      <c r="J186" s="60">
        <f>SUMPRODUCT(N(Tabela1[Código]=Tabela2[[#This Row],[Ativo]]),Tabela1[Fechamento])</f>
        <v>19.989999999999998</v>
      </c>
      <c r="K186" s="60">
        <f>SUMPRODUCT(N(Tabela17[Código]=Tabela2[[#This Row],[Ativo]]),Tabela17[Fechamento])</f>
        <v>0</v>
      </c>
    </row>
    <row r="187" spans="1:13">
      <c r="A187" s="4" t="s">
        <v>94</v>
      </c>
      <c r="B187" s="4">
        <v>2012</v>
      </c>
      <c r="C187" s="6">
        <v>147982000</v>
      </c>
      <c r="D187" s="8">
        <f>SUMPRODUCT(N(Tabela3[PAPEL]=Tabela2[[#This Row],[Ativo]]),Tabela3[Total Ações])</f>
        <v>327502673</v>
      </c>
      <c r="E187" s="66">
        <f>(Tabela2[[#This Row],[Lucro Líquido]])/Tabela2[[#This Row],[Total Ações]]</f>
        <v>0.4518497471927504</v>
      </c>
      <c r="F187" s="66">
        <v>1.82</v>
      </c>
      <c r="G187" s="46">
        <f>IF(AND(Tabela2[[#This Row],[Dividendo / Ação]]&gt;0,Tabela2[[#This Row],[Lucro por ação]]&gt;0),Tabela2[[#This Row],[Dividendo / Ação]]/Tabela2[[#This Row],[Lucro por ação]],"")</f>
        <v>4.027887613763836</v>
      </c>
      <c r="H187" s="6">
        <f>MAX(Tabela2[[#This Row],[Cotação 1]],Tabela2[[#This Row],[Cotação 2]])</f>
        <v>23.25</v>
      </c>
      <c r="I187" s="19">
        <f>IF(Tabela2[[#This Row],[Dividendo / Ação]]&gt;0,Tabela2[[#This Row],[Dividendo / Ação]]/Tabela2[[#This Row],[Cotação]],"")</f>
        <v>7.8279569892473116E-2</v>
      </c>
      <c r="J187" s="61">
        <f>SUMPRODUCT(N(Tabela1[Código]=Tabela2[[#This Row],[Ativo]]),Tabela1[Fechamento])</f>
        <v>23.25</v>
      </c>
      <c r="K187" s="61">
        <f>SUMPRODUCT(N(Tabela17[Código]=Tabela2[[#This Row],[Ativo]]),Tabela17[Fechamento])</f>
        <v>0</v>
      </c>
    </row>
    <row r="188" spans="1:13">
      <c r="A188" s="4" t="s">
        <v>94</v>
      </c>
      <c r="B188" s="3">
        <v>2011</v>
      </c>
      <c r="C188" s="5">
        <v>108581000</v>
      </c>
      <c r="D188" s="62">
        <f>SUMPRODUCT(N(Tabela3[PAPEL]=Tabela2[[#This Row],[Ativo]]),Tabela3[Total Ações])</f>
        <v>327502673</v>
      </c>
      <c r="E188" s="65">
        <f>(Tabela2[[#This Row],[Lucro Líquido]])/Tabela2[[#This Row],[Total Ações]]</f>
        <v>0.33154233217510259</v>
      </c>
      <c r="F188" s="65">
        <v>1.8245449413999999</v>
      </c>
      <c r="G188" s="22">
        <f>IF(AND(Tabela2[[#This Row],[Dividendo / Ação]]&gt;0,Tabela2[[#This Row],[Lucro por ação]]&gt;0),Tabela2[[#This Row],[Dividendo / Ação]]/Tabela2[[#This Row],[Lucro por ação]],"")</f>
        <v>5.5032035560284793</v>
      </c>
      <c r="H188" s="5">
        <f>MAX(Tabela2[[#This Row],[Cotação 1]],Tabela2[[#This Row],[Cotação 2]])</f>
        <v>23.25</v>
      </c>
      <c r="I188" s="18">
        <f>IF(Tabela2[[#This Row],[Dividendo / Ação]]&gt;0,Tabela2[[#This Row],[Dividendo / Ação]]/Tabela2[[#This Row],[Cotação]],"")</f>
        <v>7.8475051243010754E-2</v>
      </c>
      <c r="J188" s="60">
        <f>SUMPRODUCT(N(Tabela1[Código]=Tabela2[[#This Row],[Ativo]]),Tabela1[Fechamento])</f>
        <v>23.25</v>
      </c>
      <c r="K188" s="60">
        <f>SUMPRODUCT(N(Tabela17[Código]=Tabela2[[#This Row],[Ativo]]),Tabela17[Fechamento])</f>
        <v>0</v>
      </c>
    </row>
    <row r="189" spans="1:13">
      <c r="A189" s="4" t="s">
        <v>94</v>
      </c>
      <c r="B189" s="3">
        <v>2010</v>
      </c>
      <c r="C189" s="5">
        <v>93042000</v>
      </c>
      <c r="D189" s="62">
        <f>SUMPRODUCT(N(Tabela3[PAPEL]=Tabela2[[#This Row],[Ativo]]),Tabela3[Total Ações])</f>
        <v>327502673</v>
      </c>
      <c r="E189" s="65">
        <f>(Tabela2[[#This Row],[Lucro Líquido]])/Tabela2[[#This Row],[Total Ações]]</f>
        <v>0.28409539118479193</v>
      </c>
      <c r="F189" s="65">
        <v>1.8245449413999999</v>
      </c>
      <c r="G189" s="22">
        <f>IF(AND(Tabela2[[#This Row],[Dividendo / Ação]]&gt;0,Tabela2[[#This Row],[Lucro por ação]]&gt;0),Tabela2[[#This Row],[Dividendo / Ação]]/Tabela2[[#This Row],[Lucro por ação]],"")</f>
        <v>6.4222968693399576</v>
      </c>
      <c r="H189" s="5">
        <f>MAX(Tabela2[[#This Row],[Cotação 1]],Tabela2[[#This Row],[Cotação 2]])</f>
        <v>23.25</v>
      </c>
      <c r="I189" s="18">
        <f>IF(Tabela2[[#This Row],[Dividendo / Ação]]&gt;0,Tabela2[[#This Row],[Dividendo / Ação]]/Tabela2[[#This Row],[Cotação]],"")</f>
        <v>7.8475051243010754E-2</v>
      </c>
      <c r="J189" s="60">
        <f>SUMPRODUCT(N(Tabela1[Código]=Tabela2[[#This Row],[Ativo]]),Tabela1[Fechamento])</f>
        <v>23.25</v>
      </c>
      <c r="K189" s="60">
        <f>SUMPRODUCT(N(Tabela17[Código]=Tabela2[[#This Row],[Ativo]]),Tabela17[Fechamento])</f>
        <v>0</v>
      </c>
    </row>
    <row r="190" spans="1:13">
      <c r="A190" s="4" t="s">
        <v>95</v>
      </c>
      <c r="B190" s="4">
        <v>2012</v>
      </c>
      <c r="C190" s="6">
        <v>147982000</v>
      </c>
      <c r="D190" s="8">
        <f>SUMPRODUCT(N(Tabela3[PAPEL]=Tabela2[[#This Row],[Ativo]]),Tabela3[Total Ações])</f>
        <v>327502673</v>
      </c>
      <c r="E190" s="66">
        <f>(Tabela2[[#This Row],[Lucro Líquido]])/Tabela2[[#This Row],[Total Ações]]</f>
        <v>0.4518497471927504</v>
      </c>
      <c r="F190" s="66">
        <v>1.1599999999999999</v>
      </c>
      <c r="G190" s="46">
        <f>IF(AND(Tabela2[[#This Row],[Dividendo / Ação]]&gt;0,Tabela2[[#This Row],[Lucro por ação]]&gt;0),Tabela2[[#This Row],[Dividendo / Ação]]/Tabela2[[#This Row],[Lucro por ação]],"")</f>
        <v>2.5672250725088186</v>
      </c>
      <c r="H190" s="6">
        <f>MAX(Tabela2[[#This Row],[Cotação 1]],Tabela2[[#This Row],[Cotação 2]])</f>
        <v>22.31</v>
      </c>
      <c r="I190" s="19">
        <f>IF(Tabela2[[#This Row],[Dividendo / Ação]]&gt;0,Tabela2[[#This Row],[Dividendo / Ação]]/Tabela2[[#This Row],[Cotação]],"")</f>
        <v>5.1994621246077989E-2</v>
      </c>
      <c r="J190" s="61">
        <f>SUMPRODUCT(N(Tabela1[Código]=Tabela2[[#This Row],[Ativo]]),Tabela1[Fechamento])</f>
        <v>22.31</v>
      </c>
      <c r="K190" s="61">
        <f>SUMPRODUCT(N(Tabela17[Código]=Tabela2[[#This Row],[Ativo]]),Tabela17[Fechamento])</f>
        <v>0</v>
      </c>
    </row>
    <row r="191" spans="1:13">
      <c r="A191" s="4" t="s">
        <v>95</v>
      </c>
      <c r="B191" s="4">
        <v>2011</v>
      </c>
      <c r="C191" s="5">
        <v>108581000</v>
      </c>
      <c r="D191" s="8">
        <f>SUMPRODUCT(N(Tabela3[PAPEL]=Tabela2[[#This Row],[Ativo]]),Tabela3[Total Ações])</f>
        <v>327502673</v>
      </c>
      <c r="E191" s="66">
        <f>(Tabela2[[#This Row],[Lucro Líquido]])/Tabela2[[#This Row],[Total Ações]]</f>
        <v>0.33154233217510259</v>
      </c>
      <c r="F191" s="66">
        <v>1.4108145000000001</v>
      </c>
      <c r="G191" s="46">
        <f>IF(AND(Tabela2[[#This Row],[Dividendo / Ação]]&gt;0,Tabela2[[#This Row],[Lucro por ação]]&gt;0),Tabela2[[#This Row],[Dividendo / Ação]]/Tabela2[[#This Row],[Lucro por ação]],"")</f>
        <v>4.2553072808056518</v>
      </c>
      <c r="H191" s="6">
        <f>MAX(Tabela2[[#This Row],[Cotação 1]],Tabela2[[#This Row],[Cotação 2]])</f>
        <v>22.31</v>
      </c>
      <c r="I191" s="19">
        <f>IF(Tabela2[[#This Row],[Dividendo / Ação]]&gt;0,Tabela2[[#This Row],[Dividendo / Ação]]/Tabela2[[#This Row],[Cotação]],"")</f>
        <v>6.3236866875840445E-2</v>
      </c>
      <c r="J191" s="61">
        <f>SUMPRODUCT(N(Tabela1[Código]=Tabela2[[#This Row],[Ativo]]),Tabela1[Fechamento])</f>
        <v>22.31</v>
      </c>
      <c r="K191" s="61">
        <f>SUMPRODUCT(N(Tabela17[Código]=Tabela2[[#This Row],[Ativo]]),Tabela17[Fechamento])</f>
        <v>0</v>
      </c>
    </row>
    <row r="192" spans="1:13">
      <c r="A192" s="4" t="s">
        <v>95</v>
      </c>
      <c r="B192" s="4">
        <v>2010</v>
      </c>
      <c r="C192" s="5">
        <v>93042000</v>
      </c>
      <c r="D192" s="8">
        <f>SUMPRODUCT(N(Tabela3[PAPEL]=Tabela2[[#This Row],[Ativo]]),Tabela3[Total Ações])</f>
        <v>327502673</v>
      </c>
      <c r="E192" s="66">
        <f>(Tabela2[[#This Row],[Lucro Líquido]])/Tabela2[[#This Row],[Total Ações]]</f>
        <v>0.28409539118479193</v>
      </c>
      <c r="F192" s="66">
        <v>0.70331069999999996</v>
      </c>
      <c r="G192" s="46">
        <f>IF(AND(Tabela2[[#This Row],[Dividendo / Ação]]&gt;0,Tabela2[[#This Row],[Lucro por ação]]&gt;0),Tabela2[[#This Row],[Dividendo / Ação]]/Tabela2[[#This Row],[Lucro por ação]],"")</f>
        <v>2.475614606301467</v>
      </c>
      <c r="H192" s="6">
        <f>MAX(Tabela2[[#This Row],[Cotação 1]],Tabela2[[#This Row],[Cotação 2]])</f>
        <v>22.31</v>
      </c>
      <c r="I192" s="19">
        <f>IF(Tabela2[[#This Row],[Dividendo / Ação]]&gt;0,Tabela2[[#This Row],[Dividendo / Ação]]/Tabela2[[#This Row],[Cotação]],"")</f>
        <v>3.152445988346033E-2</v>
      </c>
      <c r="J192" s="61">
        <f>SUMPRODUCT(N(Tabela1[Código]=Tabela2[[#This Row],[Ativo]]),Tabela1[Fechamento])</f>
        <v>22.31</v>
      </c>
      <c r="K192" s="61">
        <f>SUMPRODUCT(N(Tabela17[Código]=Tabela2[[#This Row],[Ativo]]),Tabela17[Fechamento])</f>
        <v>0</v>
      </c>
    </row>
    <row r="193" spans="1:13">
      <c r="A193" s="10" t="s">
        <v>336</v>
      </c>
      <c r="B193" s="3">
        <v>2012</v>
      </c>
      <c r="C193" s="5">
        <v>11833190.779999999</v>
      </c>
      <c r="D193" s="62">
        <f>SUMPRODUCT(N(Tabela3[PAPEL]=Tabela2[[#This Row],[Ativo]]),Tabela3[Total Ações])</f>
        <v>24948000</v>
      </c>
      <c r="E193" s="65">
        <f>(Tabela2[[#This Row],[Lucro Líquido]])/Tabela2[[#This Row],[Total Ações]]</f>
        <v>0.47431420474587138</v>
      </c>
      <c r="F193" s="65">
        <v>5.0590000000000003E-2</v>
      </c>
      <c r="G193" s="22">
        <f>IF(AND(Tabela2[[#This Row],[Dividendo / Ação]]&gt;0,Tabela2[[#This Row],[Lucro por ação]]&gt;0),Tabela2[[#This Row],[Dividendo / Ação]]/Tabela2[[#This Row],[Lucro por ação]],"")</f>
        <v>0.10665925560273948</v>
      </c>
      <c r="H193" s="51">
        <f>MAX(Tabela2[[#This Row],[Cotação 1]],Tabela2[[#This Row],[Cotação 2]])</f>
        <v>7.08</v>
      </c>
      <c r="I193" s="18">
        <f>IF(Tabela2[[#This Row],[Dividendo / Ação]]&gt;0,Tabela2[[#This Row],[Dividendo / Ação]]/Tabela2[[#This Row],[Cotação]],"")</f>
        <v>7.1454802259887009E-3</v>
      </c>
      <c r="J193" s="7">
        <f>SUMPRODUCT(N(Tabela1[Código]=Tabela2[[#This Row],[Ativo]]),Tabela1[Fechamento])</f>
        <v>0</v>
      </c>
      <c r="K193" s="7">
        <f>SUMPRODUCT(N(Tabela17[Código]=Tabela2[[#This Row],[Ativo]]),Tabela17[Fechamento])</f>
        <v>7.08</v>
      </c>
    </row>
    <row r="194" spans="1:13">
      <c r="A194" s="10" t="s">
        <v>336</v>
      </c>
      <c r="B194" s="3">
        <v>2011</v>
      </c>
      <c r="C194" s="5">
        <v>-9978849.7799999993</v>
      </c>
      <c r="D194" s="62">
        <f>SUMPRODUCT(N(Tabela3[PAPEL]=Tabela2[[#This Row],[Ativo]]),Tabela3[Total Ações])</f>
        <v>24948000</v>
      </c>
      <c r="E194" s="65">
        <f>(Tabela2[[#This Row],[Lucro Líquido]])/Tabela2[[#This Row],[Total Ações]]</f>
        <v>-0.39998596200096198</v>
      </c>
      <c r="F194" s="65">
        <v>0</v>
      </c>
      <c r="G194" s="22" t="str">
        <f>IF(AND(Tabela2[[#This Row],[Dividendo / Ação]]&gt;0,Tabela2[[#This Row],[Lucro por ação]]&gt;0),Tabela2[[#This Row],[Dividendo / Ação]]/Tabela2[[#This Row],[Lucro por ação]],"")</f>
        <v/>
      </c>
      <c r="H194" s="51">
        <f>MAX(Tabela2[[#This Row],[Cotação 1]],Tabela2[[#This Row],[Cotação 2]])</f>
        <v>7.08</v>
      </c>
      <c r="I194" s="18" t="str">
        <f>IF(Tabela2[[#This Row],[Dividendo / Ação]]&gt;0,Tabela2[[#This Row],[Dividendo / Ação]]/Tabela2[[#This Row],[Cotação]],"")</f>
        <v/>
      </c>
      <c r="J194" s="7">
        <f>SUMPRODUCT(N(Tabela1[Código]=Tabela2[[#This Row],[Ativo]]),Tabela1[Fechamento])</f>
        <v>0</v>
      </c>
      <c r="K194" s="7">
        <f>SUMPRODUCT(N(Tabela17[Código]=Tabela2[[#This Row],[Ativo]]),Tabela17[Fechamento])</f>
        <v>7.08</v>
      </c>
    </row>
    <row r="195" spans="1:13">
      <c r="A195" s="10" t="s">
        <v>336</v>
      </c>
      <c r="B195" s="3">
        <v>2010</v>
      </c>
      <c r="C195" s="5">
        <v>9148149.2799999993</v>
      </c>
      <c r="D195" s="62">
        <f>SUMPRODUCT(N(Tabela3[PAPEL]=Tabela2[[#This Row],[Ativo]]),Tabela3[Total Ações])</f>
        <v>24948000</v>
      </c>
      <c r="E195" s="65">
        <f>(Tabela2[[#This Row],[Lucro Líquido]])/Tabela2[[#This Row],[Total Ações]]</f>
        <v>0.36668868366201696</v>
      </c>
      <c r="F195" s="65">
        <v>9.9110000000000004E-2</v>
      </c>
      <c r="G195" s="22">
        <f>IF(AND(Tabela2[[#This Row],[Dividendo / Ação]]&gt;0,Tabela2[[#This Row],[Lucro por ação]]&gt;0),Tabela2[[#This Row],[Dividendo / Ação]]/Tabela2[[#This Row],[Lucro por ação]],"")</f>
        <v>0.27028377044586227</v>
      </c>
      <c r="H195" s="51">
        <f>MAX(Tabela2[[#This Row],[Cotação 1]],Tabela2[[#This Row],[Cotação 2]])</f>
        <v>7.08</v>
      </c>
      <c r="I195" s="18">
        <f>IF(Tabela2[[#This Row],[Dividendo / Ação]]&gt;0,Tabela2[[#This Row],[Dividendo / Ação]]/Tabela2[[#This Row],[Cotação]],"")</f>
        <v>1.399858757062147E-2</v>
      </c>
      <c r="J195" s="7">
        <f>SUMPRODUCT(N(Tabela1[Código]=Tabela2[[#This Row],[Ativo]]),Tabela1[Fechamento])</f>
        <v>0</v>
      </c>
      <c r="K195" s="7">
        <f>SUMPRODUCT(N(Tabela17[Código]=Tabela2[[#This Row],[Ativo]]),Tabela17[Fechamento])</f>
        <v>7.08</v>
      </c>
    </row>
    <row r="196" spans="1:13">
      <c r="A196" s="10" t="s">
        <v>336</v>
      </c>
      <c r="B196" s="3">
        <v>2009</v>
      </c>
      <c r="C196" s="5">
        <v>8891946.6600000001</v>
      </c>
      <c r="D196" s="62">
        <f>SUMPRODUCT(N(Tabela3[PAPEL]=Tabela2[[#This Row],[Ativo]]),Tabela3[Total Ações])</f>
        <v>24948000</v>
      </c>
      <c r="E196" s="65">
        <f>(Tabela2[[#This Row],[Lucro Líquido]])/Tabela2[[#This Row],[Total Ações]]</f>
        <v>0.35641921837421836</v>
      </c>
      <c r="F196" s="65">
        <v>8.3030000000000007E-2</v>
      </c>
      <c r="G196" s="22">
        <f>IF(AND(Tabela2[[#This Row],[Dividendo / Ação]]&gt;0,Tabela2[[#This Row],[Lucro por ação]]&gt;0),Tabela2[[#This Row],[Dividendo / Ação]]/Tabela2[[#This Row],[Lucro por ação]],"")</f>
        <v>0.23295601280631167</v>
      </c>
      <c r="H196" s="51">
        <f>MAX(Tabela2[[#This Row],[Cotação 1]],Tabela2[[#This Row],[Cotação 2]])</f>
        <v>7.08</v>
      </c>
      <c r="I196" s="18">
        <f>IF(Tabela2[[#This Row],[Dividendo / Ação]]&gt;0,Tabela2[[#This Row],[Dividendo / Ação]]/Tabela2[[#This Row],[Cotação]],"")</f>
        <v>1.1727401129943504E-2</v>
      </c>
      <c r="J196" s="7">
        <f>SUMPRODUCT(N(Tabela1[Código]=Tabela2[[#This Row],[Ativo]]),Tabela1[Fechamento])</f>
        <v>0</v>
      </c>
      <c r="K196" s="7">
        <f>SUMPRODUCT(N(Tabela17[Código]=Tabela2[[#This Row],[Ativo]]),Tabela17[Fechamento])</f>
        <v>7.08</v>
      </c>
    </row>
    <row r="197" spans="1:13">
      <c r="A197" s="10" t="s">
        <v>337</v>
      </c>
      <c r="B197" s="3">
        <v>2012</v>
      </c>
      <c r="C197" s="5">
        <v>11833190.779999999</v>
      </c>
      <c r="D197" s="62">
        <f>SUMPRODUCT(N(Tabela3[PAPEL]=Tabela2[[#This Row],[Ativo]]),Tabela3[Total Ações])</f>
        <v>24948000</v>
      </c>
      <c r="E197" s="65">
        <f>(Tabela2[[#This Row],[Lucro Líquido]])/Tabela2[[#This Row],[Total Ações]]</f>
        <v>0.47431420474587138</v>
      </c>
      <c r="F197" s="65">
        <v>5.5649999999999998E-2</v>
      </c>
      <c r="G197" s="22">
        <f>IF(AND(Tabela2[[#This Row],[Dividendo / Ação]]&gt;0,Tabela2[[#This Row],[Lucro por ação]]&gt;0),Tabela2[[#This Row],[Dividendo / Ação]]/Tabela2[[#This Row],[Lucro por ação]],"")</f>
        <v>0.11732728947010183</v>
      </c>
      <c r="H197" s="51">
        <f>MAX(Tabela2[[#This Row],[Cotação 1]],Tabela2[[#This Row],[Cotação 2]])</f>
        <v>15.09</v>
      </c>
      <c r="I197" s="18">
        <f>IF(Tabela2[[#This Row],[Dividendo / Ação]]&gt;0,Tabela2[[#This Row],[Dividendo / Ação]]/Tabela2[[#This Row],[Cotação]],"")</f>
        <v>3.687872763419483E-3</v>
      </c>
      <c r="J197" s="7">
        <f>SUMPRODUCT(N(Tabela1[Código]=Tabela2[[#This Row],[Ativo]]),Tabela1[Fechamento])</f>
        <v>0</v>
      </c>
      <c r="K197" s="7">
        <f>SUMPRODUCT(N(Tabela17[Código]=Tabela2[[#This Row],[Ativo]]),Tabela17[Fechamento])</f>
        <v>15.09</v>
      </c>
    </row>
    <row r="198" spans="1:13">
      <c r="A198" s="10" t="s">
        <v>337</v>
      </c>
      <c r="B198" s="3">
        <v>2011</v>
      </c>
      <c r="C198" s="5">
        <v>-9978849.7799999993</v>
      </c>
      <c r="D198" s="62">
        <f>SUMPRODUCT(N(Tabela3[PAPEL]=Tabela2[[#This Row],[Ativo]]),Tabela3[Total Ações])</f>
        <v>24948000</v>
      </c>
      <c r="E198" s="65">
        <f>(Tabela2[[#This Row],[Lucro Líquido]])/Tabela2[[#This Row],[Total Ações]]</f>
        <v>-0.39998596200096198</v>
      </c>
      <c r="F198" s="65">
        <v>0</v>
      </c>
      <c r="G198" s="22" t="str">
        <f>IF(AND(Tabela2[[#This Row],[Dividendo / Ação]]&gt;0,Tabela2[[#This Row],[Lucro por ação]]&gt;0),Tabela2[[#This Row],[Dividendo / Ação]]/Tabela2[[#This Row],[Lucro por ação]],"")</f>
        <v/>
      </c>
      <c r="H198" s="51">
        <f>MAX(Tabela2[[#This Row],[Cotação 1]],Tabela2[[#This Row],[Cotação 2]])</f>
        <v>15.09</v>
      </c>
      <c r="I198" s="18" t="str">
        <f>IF(Tabela2[[#This Row],[Dividendo / Ação]]&gt;0,Tabela2[[#This Row],[Dividendo / Ação]]/Tabela2[[#This Row],[Cotação]],"")</f>
        <v/>
      </c>
      <c r="J198" s="7">
        <f>SUMPRODUCT(N(Tabela1[Código]=Tabela2[[#This Row],[Ativo]]),Tabela1[Fechamento])</f>
        <v>0</v>
      </c>
      <c r="K198" s="7">
        <f>SUMPRODUCT(N(Tabela17[Código]=Tabela2[[#This Row],[Ativo]]),Tabela17[Fechamento])</f>
        <v>15.09</v>
      </c>
    </row>
    <row r="199" spans="1:13">
      <c r="A199" s="10" t="s">
        <v>337</v>
      </c>
      <c r="B199" s="3">
        <v>2010</v>
      </c>
      <c r="C199" s="5">
        <v>9148149.2799999993</v>
      </c>
      <c r="D199" s="62">
        <f>SUMPRODUCT(N(Tabela3[PAPEL]=Tabela2[[#This Row],[Ativo]]),Tabela3[Total Ações])</f>
        <v>24948000</v>
      </c>
      <c r="E199" s="65">
        <f>(Tabela2[[#This Row],[Lucro Líquido]])/Tabela2[[#This Row],[Total Ações]]</f>
        <v>0.36668868366201696</v>
      </c>
      <c r="F199" s="65">
        <v>0.10902000000000001</v>
      </c>
      <c r="G199" s="22">
        <f>IF(AND(Tabela2[[#This Row],[Dividendo / Ação]]&gt;0,Tabela2[[#This Row],[Lucro por ação]]&gt;0),Tabela2[[#This Row],[Dividendo / Ação]]/Tabela2[[#This Row],[Lucro por ação]],"")</f>
        <v>0.29730942038147418</v>
      </c>
      <c r="H199" s="51">
        <f>MAX(Tabela2[[#This Row],[Cotação 1]],Tabela2[[#This Row],[Cotação 2]])</f>
        <v>15.09</v>
      </c>
      <c r="I199" s="18">
        <f>IF(Tabela2[[#This Row],[Dividendo / Ação]]&gt;0,Tabela2[[#This Row],[Dividendo / Ação]]/Tabela2[[#This Row],[Cotação]],"")</f>
        <v>7.2246520874751493E-3</v>
      </c>
      <c r="J199" s="7">
        <f>SUMPRODUCT(N(Tabela1[Código]=Tabela2[[#This Row],[Ativo]]),Tabela1[Fechamento])</f>
        <v>0</v>
      </c>
      <c r="K199" s="7">
        <f>SUMPRODUCT(N(Tabela17[Código]=Tabela2[[#This Row],[Ativo]]),Tabela17[Fechamento])</f>
        <v>15.09</v>
      </c>
    </row>
    <row r="200" spans="1:13">
      <c r="A200" s="10" t="s">
        <v>337</v>
      </c>
      <c r="B200" s="3">
        <v>2009</v>
      </c>
      <c r="C200" s="5">
        <v>8891946.6600000001</v>
      </c>
      <c r="D200" s="62">
        <f>SUMPRODUCT(N(Tabela3[PAPEL]=Tabela2[[#This Row],[Ativo]]),Tabela3[Total Ações])</f>
        <v>24948000</v>
      </c>
      <c r="E200" s="65">
        <f>(Tabela2[[#This Row],[Lucro Líquido]])/Tabela2[[#This Row],[Total Ações]]</f>
        <v>0.35641921837421836</v>
      </c>
      <c r="F200" s="65">
        <v>9.1329999999999995E-2</v>
      </c>
      <c r="G200" s="22">
        <f>IF(AND(Tabela2[[#This Row],[Dividendo / Ação]]&gt;0,Tabela2[[#This Row],[Lucro por ação]]&gt;0),Tabela2[[#This Row],[Dividendo / Ação]]/Tabela2[[#This Row],[Lucro por ação]],"")</f>
        <v>0.25624319703240322</v>
      </c>
      <c r="H200" s="51">
        <f>MAX(Tabela2[[#This Row],[Cotação 1]],Tabela2[[#This Row],[Cotação 2]])</f>
        <v>15.09</v>
      </c>
      <c r="I200" s="18">
        <f>IF(Tabela2[[#This Row],[Dividendo / Ação]]&gt;0,Tabela2[[#This Row],[Dividendo / Ação]]/Tabela2[[#This Row],[Cotação]],"")</f>
        <v>6.0523525513585157E-3</v>
      </c>
      <c r="J200" s="7">
        <f>SUMPRODUCT(N(Tabela1[Código]=Tabela2[[#This Row],[Ativo]]),Tabela1[Fechamento])</f>
        <v>0</v>
      </c>
      <c r="K200" s="7">
        <f>SUMPRODUCT(N(Tabela17[Código]=Tabela2[[#This Row],[Ativo]]),Tabela17[Fechamento])</f>
        <v>15.09</v>
      </c>
    </row>
    <row r="201" spans="1:13">
      <c r="A201" s="4" t="s">
        <v>74</v>
      </c>
      <c r="B201" s="4">
        <v>2012</v>
      </c>
      <c r="C201" s="6">
        <v>-258366398.66</v>
      </c>
      <c r="D201" s="8">
        <f>SUMPRODUCT(N(Tabela3[PAPEL]=Tabela2[[#This Row],[Ativo]]),Tabela3[Total Ações])</f>
        <v>38571591</v>
      </c>
      <c r="E201" s="66">
        <f>(Tabela2[[#This Row],[Lucro Líquido]])/Tabela2[[#This Row],[Total Ações]]</f>
        <v>-6.6983599058695811</v>
      </c>
      <c r="F201" s="66">
        <v>0</v>
      </c>
      <c r="G201" s="46" t="str">
        <f>IF(AND(Tabela2[[#This Row],[Dividendo / Ação]]&gt;0,Tabela2[[#This Row],[Lucro por ação]]&gt;0),Tabela2[[#This Row],[Dividendo / Ação]]/Tabela2[[#This Row],[Lucro por ação]],"")</f>
        <v/>
      </c>
      <c r="H201" s="6">
        <f>MAX(Tabela2[[#This Row],[Cotação 1]],Tabela2[[#This Row],[Cotação 2]])</f>
        <v>16.88</v>
      </c>
      <c r="I201" s="19" t="str">
        <f>IF(Tabela2[[#This Row],[Dividendo / Ação]]&gt;0,Tabela2[[#This Row],[Dividendo / Ação]]/Tabela2[[#This Row],[Cotação]],"")</f>
        <v/>
      </c>
      <c r="J201" s="61">
        <f>SUMPRODUCT(N(Tabela1[Código]=Tabela2[[#This Row],[Ativo]]),Tabela1[Fechamento])</f>
        <v>16.88</v>
      </c>
      <c r="K201" s="61">
        <f>SUMPRODUCT(N(Tabela17[Código]=Tabela2[[#This Row],[Ativo]]),Tabela17[Fechamento])</f>
        <v>0</v>
      </c>
    </row>
    <row r="202" spans="1:13">
      <c r="A202" s="4" t="s">
        <v>74</v>
      </c>
      <c r="B202" s="4">
        <v>2011</v>
      </c>
      <c r="C202" s="6">
        <v>323886563.73000002</v>
      </c>
      <c r="D202" s="8">
        <f>SUMPRODUCT(N(Tabela3[PAPEL]=Tabela2[[#This Row],[Ativo]]),Tabela3[Total Ações])</f>
        <v>38571591</v>
      </c>
      <c r="E202" s="66">
        <f>(Tabela2[[#This Row],[Lucro Líquido]])/Tabela2[[#This Row],[Total Ações]]</f>
        <v>8.3970236988668692</v>
      </c>
      <c r="F202" s="66">
        <v>2.2201449599999998</v>
      </c>
      <c r="G202" s="46">
        <f>IF(AND(Tabela2[[#This Row],[Dividendo / Ação]]&gt;0,Tabela2[[#This Row],[Lucro por ação]]&gt;0),Tabela2[[#This Row],[Dividendo / Ação]]/Tabela2[[#This Row],[Lucro por ação]],"")</f>
        <v>0.26439665286398989</v>
      </c>
      <c r="H202" s="6">
        <f>MAX(Tabela2[[#This Row],[Cotação 1]],Tabela2[[#This Row],[Cotação 2]])</f>
        <v>16.88</v>
      </c>
      <c r="I202" s="19">
        <f>IF(Tabela2[[#This Row],[Dividendo / Ação]]&gt;0,Tabela2[[#This Row],[Dividendo / Ação]]/Tabela2[[#This Row],[Cotação]],"")</f>
        <v>0.13152517535545025</v>
      </c>
      <c r="J202" s="61">
        <f>SUMPRODUCT(N(Tabela1[Código]=Tabela2[[#This Row],[Ativo]]),Tabela1[Fechamento])</f>
        <v>16.88</v>
      </c>
      <c r="K202" s="61">
        <f>SUMPRODUCT(N(Tabela17[Código]=Tabela2[[#This Row],[Ativo]]),Tabela17[Fechamento])</f>
        <v>0</v>
      </c>
    </row>
    <row r="203" spans="1:13">
      <c r="A203" s="4" t="s">
        <v>74</v>
      </c>
      <c r="B203" s="4">
        <v>2010</v>
      </c>
      <c r="C203" s="6">
        <v>259841000</v>
      </c>
      <c r="D203" s="8">
        <f>SUMPRODUCT(N(Tabela3[PAPEL]=Tabela2[[#This Row],[Ativo]]),Tabela3[Total Ações])</f>
        <v>38571591</v>
      </c>
      <c r="E203" s="66">
        <f>(Tabela2[[#This Row],[Lucro Líquido]])/Tabela2[[#This Row],[Total Ações]]</f>
        <v>6.7365901499888867</v>
      </c>
      <c r="F203" s="66">
        <v>2.09736089</v>
      </c>
      <c r="G203" s="46">
        <f>IF(AND(Tabela2[[#This Row],[Dividendo / Ação]]&gt;0,Tabela2[[#This Row],[Lucro por ação]]&gt;0),Tabela2[[#This Row],[Dividendo / Ação]]/Tabela2[[#This Row],[Lucro por ação]],"")</f>
        <v>0.31133865105382136</v>
      </c>
      <c r="H203" s="6">
        <f>MAX(Tabela2[[#This Row],[Cotação 1]],Tabela2[[#This Row],[Cotação 2]])</f>
        <v>16.88</v>
      </c>
      <c r="I203" s="19">
        <f>IF(Tabela2[[#This Row],[Dividendo / Ação]]&gt;0,Tabela2[[#This Row],[Dividendo / Ação]]/Tabela2[[#This Row],[Cotação]],"")</f>
        <v>0.12425123755924171</v>
      </c>
      <c r="J203" s="61">
        <f>SUMPRODUCT(N(Tabela1[Código]=Tabela2[[#This Row],[Ativo]]),Tabela1[Fechamento])</f>
        <v>16.88</v>
      </c>
      <c r="K203" s="61">
        <f>SUMPRODUCT(N(Tabela17[Código]=Tabela2[[#This Row],[Ativo]]),Tabela17[Fechamento])</f>
        <v>0</v>
      </c>
    </row>
    <row r="204" spans="1:13">
      <c r="A204" s="4" t="s">
        <v>74</v>
      </c>
      <c r="B204" s="4">
        <v>2009</v>
      </c>
      <c r="C204" s="6">
        <v>120919000</v>
      </c>
      <c r="D204" s="8">
        <f>SUMPRODUCT(N(Tabela3[PAPEL]=Tabela2[[#This Row],[Ativo]]),Tabela3[Total Ações])</f>
        <v>38571591</v>
      </c>
      <c r="E204" s="66">
        <f>(Tabela2[[#This Row],[Lucro Líquido]])/Tabela2[[#This Row],[Total Ações]]</f>
        <v>3.1349238355244409</v>
      </c>
      <c r="F204" s="66">
        <v>0.97620123000000003</v>
      </c>
      <c r="G204" s="46">
        <f>IF(AND(Tabela2[[#This Row],[Dividendo / Ação]]&gt;0,Tabela2[[#This Row],[Lucro por ação]]&gt;0),Tabela2[[#This Row],[Dividendo / Ação]]/Tabela2[[#This Row],[Lucro por ação]],"")</f>
        <v>0.31139551747249755</v>
      </c>
      <c r="H204" s="6">
        <f>MAX(Tabela2[[#This Row],[Cotação 1]],Tabela2[[#This Row],[Cotação 2]])</f>
        <v>16.88</v>
      </c>
      <c r="I204" s="19">
        <f>IF(Tabela2[[#This Row],[Dividendo / Ação]]&gt;0,Tabela2[[#This Row],[Dividendo / Ação]]/Tabela2[[#This Row],[Cotação]],"")</f>
        <v>5.7831826421800951E-2</v>
      </c>
      <c r="J204" s="61">
        <f>SUMPRODUCT(N(Tabela1[Código]=Tabela2[[#This Row],[Ativo]]),Tabela1[Fechamento])</f>
        <v>16.88</v>
      </c>
      <c r="K204" s="61">
        <f>SUMPRODUCT(N(Tabela17[Código]=Tabela2[[#This Row],[Ativo]]),Tabela17[Fechamento])</f>
        <v>0</v>
      </c>
    </row>
    <row r="205" spans="1:13">
      <c r="A205" s="4" t="s">
        <v>74</v>
      </c>
      <c r="B205" s="4">
        <v>2008</v>
      </c>
      <c r="C205" s="6">
        <v>245522000</v>
      </c>
      <c r="D205" s="8">
        <f>SUMPRODUCT(N(Tabela3[PAPEL]=Tabela2[[#This Row],[Ativo]]),Tabela3[Total Ações])</f>
        <v>38571591</v>
      </c>
      <c r="E205" s="66">
        <f>(Tabela2[[#This Row],[Lucro Líquido]])/Tabela2[[#This Row],[Total Ações]]</f>
        <v>6.3653583799537854</v>
      </c>
      <c r="F205" s="66">
        <v>1.9821435199999999</v>
      </c>
      <c r="G205" s="46">
        <f>IF(AND(Tabela2[[#This Row],[Dividendo / Ação]]&gt;0,Tabela2[[#This Row],[Lucro por ação]]&gt;0),Tabela2[[#This Row],[Dividendo / Ação]]/Tabela2[[#This Row],[Lucro por ação]],"")</f>
        <v>0.31139543159773997</v>
      </c>
      <c r="H205" s="6">
        <f>MAX(Tabela2[[#This Row],[Cotação 1]],Tabela2[[#This Row],[Cotação 2]])</f>
        <v>16.88</v>
      </c>
      <c r="I205" s="19">
        <f>IF(Tabela2[[#This Row],[Dividendo / Ação]]&gt;0,Tabela2[[#This Row],[Dividendo / Ação]]/Tabela2[[#This Row],[Cotação]],"")</f>
        <v>0.11742556398104266</v>
      </c>
      <c r="J205" s="61">
        <f>SUMPRODUCT(N(Tabela1[Código]=Tabela2[[#This Row],[Ativo]]),Tabela1[Fechamento])</f>
        <v>16.88</v>
      </c>
      <c r="K205" s="61">
        <f>SUMPRODUCT(N(Tabela17[Código]=Tabela2[[#This Row],[Ativo]]),Tabela17[Fechamento])</f>
        <v>0</v>
      </c>
    </row>
    <row r="206" spans="1:13">
      <c r="A206" s="4" t="s">
        <v>31</v>
      </c>
      <c r="B206" s="4">
        <v>2012</v>
      </c>
      <c r="C206" s="6">
        <v>4271685000</v>
      </c>
      <c r="D206" s="8">
        <f>SUMPRODUCT(N(Tabela3[PAPEL]=Tabela2[[#This Row],[Ativo]]),Tabela3[Total Ações])</f>
        <v>962672385</v>
      </c>
      <c r="E206" s="66">
        <f>(Tabela2[[#This Row],[Lucro Líquido]])/Tabela2[[#This Row],[Total Ações]]</f>
        <v>4.4373195560190499</v>
      </c>
      <c r="F206" s="66">
        <v>1.4286055</v>
      </c>
      <c r="G206" s="46">
        <f>IF(AND(Tabela2[[#This Row],[Dividendo / Ação]]&gt;0,Tabela2[[#This Row],[Lucro por ação]]&gt;0),Tabela2[[#This Row],[Dividendo / Ação]]/Tabela2[[#This Row],[Lucro por ação]],"")</f>
        <v>0.32195235929360838</v>
      </c>
      <c r="H206" s="6">
        <f>MAX(Tabela2[[#This Row],[Cotação 1]],Tabela2[[#This Row],[Cotação 2]])</f>
        <v>14.28</v>
      </c>
      <c r="I206" s="19">
        <f>IF(Tabela2[[#This Row],[Dividendo / Ação]]&gt;0,Tabela2[[#This Row],[Dividendo / Ação]]/Tabela2[[#This Row],[Cotação]],"")</f>
        <v>0.10004240196078432</v>
      </c>
      <c r="J206" s="61">
        <f>SUMPRODUCT(N(Tabela1[Código]=Tabela2[[#This Row],[Ativo]]),Tabela1[Fechamento])</f>
        <v>14.28</v>
      </c>
      <c r="K206" s="61">
        <f>SUMPRODUCT(N(Tabela17[Código]=Tabela2[[#This Row],[Ativo]]),Tabela17[Fechamento])</f>
        <v>0</v>
      </c>
      <c r="M206" s="67"/>
    </row>
    <row r="207" spans="1:13">
      <c r="A207" s="4" t="s">
        <v>31</v>
      </c>
      <c r="B207" s="3">
        <v>2011</v>
      </c>
      <c r="C207" s="5">
        <v>2415450000</v>
      </c>
      <c r="D207" s="62">
        <f>SUMPRODUCT(N(Tabela3[PAPEL]=Tabela2[[#This Row],[Ativo]]),Tabela3[Total Ações])</f>
        <v>962672385</v>
      </c>
      <c r="E207" s="65">
        <f>(Tabela2[[#This Row],[Lucro Líquido]])/Tabela2[[#This Row],[Total Ações]]</f>
        <v>2.5091090568677732</v>
      </c>
      <c r="F207" s="65">
        <v>1.9</v>
      </c>
      <c r="G207" s="22">
        <f>IF(AND(Tabela2[[#This Row],[Dividendo / Ação]]&gt;0,Tabela2[[#This Row],[Lucro por ação]]&gt;0),Tabela2[[#This Row],[Dividendo / Ação]]/Tabela2[[#This Row],[Lucro por ação]],"")</f>
        <v>0.75724089983232934</v>
      </c>
      <c r="H207" s="5">
        <f>MAX(Tabela2[[#This Row],[Cotação 1]],Tabela2[[#This Row],[Cotação 2]])</f>
        <v>14.28</v>
      </c>
      <c r="I207" s="18">
        <f>IF(Tabela2[[#This Row],[Dividendo / Ação]]&gt;0,Tabela2[[#This Row],[Dividendo / Ação]]/Tabela2[[#This Row],[Cotação]],"")</f>
        <v>0.13305322128851541</v>
      </c>
      <c r="J207" s="60">
        <f>SUMPRODUCT(N(Tabela1[Código]=Tabela2[[#This Row],[Ativo]]),Tabela1[Fechamento])</f>
        <v>14.28</v>
      </c>
      <c r="K207" s="60">
        <f>SUMPRODUCT(N(Tabela17[Código]=Tabela2[[#This Row],[Ativo]]),Tabela17[Fechamento])</f>
        <v>0</v>
      </c>
    </row>
    <row r="208" spans="1:13">
      <c r="A208" s="4" t="s">
        <v>31</v>
      </c>
      <c r="B208" s="3">
        <v>2010</v>
      </c>
      <c r="C208" s="5">
        <v>2257976000</v>
      </c>
      <c r="D208" s="62">
        <f>SUMPRODUCT(N(Tabela3[PAPEL]=Tabela2[[#This Row],[Ativo]]),Tabela3[Total Ações])</f>
        <v>962672385</v>
      </c>
      <c r="E208" s="65">
        <f>(Tabela2[[#This Row],[Lucro Líquido]])/Tabela2[[#This Row],[Total Ações]]</f>
        <v>2.3455290036184011</v>
      </c>
      <c r="F208" s="65">
        <v>1.75</v>
      </c>
      <c r="G208" s="22">
        <f>IF(AND(Tabela2[[#This Row],[Dividendo / Ação]]&gt;0,Tabela2[[#This Row],[Lucro por ação]]&gt;0),Tabela2[[#This Row],[Dividendo / Ação]]/Tabela2[[#This Row],[Lucro por ação]],"")</f>
        <v>0.74610034550854398</v>
      </c>
      <c r="H208" s="5">
        <f>MAX(Tabela2[[#This Row],[Cotação 1]],Tabela2[[#This Row],[Cotação 2]])</f>
        <v>14.28</v>
      </c>
      <c r="I208" s="18">
        <f>IF(Tabela2[[#This Row],[Dividendo / Ação]]&gt;0,Tabela2[[#This Row],[Dividendo / Ação]]/Tabela2[[#This Row],[Cotação]],"")</f>
        <v>0.12254901960784315</v>
      </c>
      <c r="J208" s="60">
        <f>SUMPRODUCT(N(Tabela1[Código]=Tabela2[[#This Row],[Ativo]]),Tabela1[Fechamento])</f>
        <v>14.28</v>
      </c>
      <c r="K208" s="60">
        <f>SUMPRODUCT(N(Tabela17[Código]=Tabela2[[#This Row],[Ativo]]),Tabela17[Fechamento])</f>
        <v>0</v>
      </c>
    </row>
    <row r="209" spans="1:14">
      <c r="A209" s="4" t="s">
        <v>31</v>
      </c>
      <c r="B209" s="3">
        <v>2009</v>
      </c>
      <c r="C209" s="5">
        <v>1861403000</v>
      </c>
      <c r="D209" s="62">
        <f>SUMPRODUCT(N(Tabela3[PAPEL]=Tabela2[[#This Row],[Ativo]]),Tabela3[Total Ações])</f>
        <v>962672385</v>
      </c>
      <c r="E209" s="65">
        <f>(Tabela2[[#This Row],[Lucro Líquido]])/Tabela2[[#This Row],[Total Ações]]</f>
        <v>1.9335788883151561</v>
      </c>
      <c r="F209" s="65">
        <v>1.5</v>
      </c>
      <c r="G209" s="22">
        <f>IF(AND(Tabela2[[#This Row],[Dividendo / Ação]]&gt;0,Tabela2[[#This Row],[Lucro por ação]]&gt;0),Tabela2[[#This Row],[Dividendo / Ação]]/Tabela2[[#This Row],[Lucro por ação]],"")</f>
        <v>0.77576353830954392</v>
      </c>
      <c r="H209" s="5">
        <f>MAX(Tabela2[[#This Row],[Cotação 1]],Tabela2[[#This Row],[Cotação 2]])</f>
        <v>14.28</v>
      </c>
      <c r="I209" s="18">
        <f>IF(Tabela2[[#This Row],[Dividendo / Ação]]&gt;0,Tabela2[[#This Row],[Dividendo / Ação]]/Tabela2[[#This Row],[Cotação]],"")</f>
        <v>0.10504201680672269</v>
      </c>
      <c r="J209" s="60">
        <f>SUMPRODUCT(N(Tabela1[Código]=Tabela2[[#This Row],[Ativo]]),Tabela1[Fechamento])</f>
        <v>14.28</v>
      </c>
      <c r="K209" s="60">
        <f>SUMPRODUCT(N(Tabela17[Código]=Tabela2[[#This Row],[Ativo]]),Tabela17[Fechamento])</f>
        <v>0</v>
      </c>
    </row>
    <row r="210" spans="1:14">
      <c r="A210" s="4" t="s">
        <v>30</v>
      </c>
      <c r="B210" s="4">
        <v>2012</v>
      </c>
      <c r="C210" s="6">
        <v>4271685000</v>
      </c>
      <c r="D210" s="8">
        <f>SUMPRODUCT(N(Tabela3[PAPEL]=Tabela2[[#This Row],[Ativo]]),Tabela3[Total Ações])</f>
        <v>962672385</v>
      </c>
      <c r="E210" s="66">
        <f>(Tabela2[[#This Row],[Lucro Líquido]])/Tabela2[[#This Row],[Total Ações]]</f>
        <v>4.4373195560190499</v>
      </c>
      <c r="F210" s="66">
        <v>1.4286055</v>
      </c>
      <c r="G210" s="46">
        <f>IF(AND(Tabela2[[#This Row],[Dividendo / Ação]]&gt;0,Tabela2[[#This Row],[Lucro por ação]]&gt;0),Tabela2[[#This Row],[Dividendo / Ação]]/Tabela2[[#This Row],[Lucro por ação]],"")</f>
        <v>0.32195235929360838</v>
      </c>
      <c r="H210" s="6">
        <f>MAX(Tabela2[[#This Row],[Cotação 1]],Tabela2[[#This Row],[Cotação 2]])</f>
        <v>14.03</v>
      </c>
      <c r="I210" s="19">
        <f>IF(Tabela2[[#This Row],[Dividendo / Ação]]&gt;0,Tabela2[[#This Row],[Dividendo / Ação]]/Tabela2[[#This Row],[Cotação]],"")</f>
        <v>0.10182505345687812</v>
      </c>
      <c r="J210" s="61">
        <f>SUMPRODUCT(N(Tabela1[Código]=Tabela2[[#This Row],[Ativo]]),Tabela1[Fechamento])</f>
        <v>14.03</v>
      </c>
      <c r="K210" s="61">
        <f>SUMPRODUCT(N(Tabela17[Código]=Tabela2[[#This Row],[Ativo]]),Tabela17[Fechamento])</f>
        <v>0</v>
      </c>
    </row>
    <row r="211" spans="1:14">
      <c r="A211" s="4" t="s">
        <v>30</v>
      </c>
      <c r="B211" s="4">
        <v>2011</v>
      </c>
      <c r="C211" s="5">
        <v>2415450000</v>
      </c>
      <c r="D211" s="8">
        <f>SUMPRODUCT(N(Tabela3[PAPEL]=Tabela2[[#This Row],[Ativo]]),Tabela3[Total Ações])</f>
        <v>962672385</v>
      </c>
      <c r="E211" s="66">
        <f>(Tabela2[[#This Row],[Lucro Líquido]])/Tabela2[[#This Row],[Total Ações]]</f>
        <v>2.5091090568677732</v>
      </c>
      <c r="F211" s="66">
        <v>1.9</v>
      </c>
      <c r="G211" s="46">
        <f>IF(AND(Tabela2[[#This Row],[Dividendo / Ação]]&gt;0,Tabela2[[#This Row],[Lucro por ação]]&gt;0),Tabela2[[#This Row],[Dividendo / Ação]]/Tabela2[[#This Row],[Lucro por ação]],"")</f>
        <v>0.75724089983232934</v>
      </c>
      <c r="H211" s="6">
        <f>MAX(Tabela2[[#This Row],[Cotação 1]],Tabela2[[#This Row],[Cotação 2]])</f>
        <v>14.03</v>
      </c>
      <c r="I211" s="19">
        <f>IF(Tabela2[[#This Row],[Dividendo / Ação]]&gt;0,Tabela2[[#This Row],[Dividendo / Ação]]/Tabela2[[#This Row],[Cotação]],"")</f>
        <v>0.13542409123307197</v>
      </c>
      <c r="J211" s="61">
        <f>SUMPRODUCT(N(Tabela1[Código]=Tabela2[[#This Row],[Ativo]]),Tabela1[Fechamento])</f>
        <v>14.03</v>
      </c>
      <c r="K211" s="61">
        <f>SUMPRODUCT(N(Tabela17[Código]=Tabela2[[#This Row],[Ativo]]),Tabela17[Fechamento])</f>
        <v>0</v>
      </c>
    </row>
    <row r="212" spans="1:14">
      <c r="A212" s="4" t="s">
        <v>30</v>
      </c>
      <c r="B212" s="4">
        <v>2010</v>
      </c>
      <c r="C212" s="5">
        <v>2257976000</v>
      </c>
      <c r="D212" s="8">
        <f>SUMPRODUCT(N(Tabela3[PAPEL]=Tabela2[[#This Row],[Ativo]]),Tabela3[Total Ações])</f>
        <v>962672385</v>
      </c>
      <c r="E212" s="66">
        <f>(Tabela2[[#This Row],[Lucro Líquido]])/Tabela2[[#This Row],[Total Ações]]</f>
        <v>2.3455290036184011</v>
      </c>
      <c r="F212" s="66">
        <v>1.75</v>
      </c>
      <c r="G212" s="46">
        <f>IF(AND(Tabela2[[#This Row],[Dividendo / Ação]]&gt;0,Tabela2[[#This Row],[Lucro por ação]]&gt;0),Tabela2[[#This Row],[Dividendo / Ação]]/Tabela2[[#This Row],[Lucro por ação]],"")</f>
        <v>0.74610034550854398</v>
      </c>
      <c r="H212" s="6">
        <f>MAX(Tabela2[[#This Row],[Cotação 1]],Tabela2[[#This Row],[Cotação 2]])</f>
        <v>14.03</v>
      </c>
      <c r="I212" s="19">
        <f>IF(Tabela2[[#This Row],[Dividendo / Ação]]&gt;0,Tabela2[[#This Row],[Dividendo / Ação]]/Tabela2[[#This Row],[Cotação]],"")</f>
        <v>0.12473271560940842</v>
      </c>
      <c r="J212" s="61">
        <f>SUMPRODUCT(N(Tabela1[Código]=Tabela2[[#This Row],[Ativo]]),Tabela1[Fechamento])</f>
        <v>14.03</v>
      </c>
      <c r="K212" s="61">
        <f>SUMPRODUCT(N(Tabela17[Código]=Tabela2[[#This Row],[Ativo]]),Tabela17[Fechamento])</f>
        <v>0</v>
      </c>
    </row>
    <row r="213" spans="1:14">
      <c r="A213" s="4" t="s">
        <v>30</v>
      </c>
      <c r="B213" s="4">
        <v>2009</v>
      </c>
      <c r="C213" s="5">
        <v>1861403000</v>
      </c>
      <c r="D213" s="8">
        <f>SUMPRODUCT(N(Tabela3[PAPEL]=Tabela2[[#This Row],[Ativo]]),Tabela3[Total Ações])</f>
        <v>962672385</v>
      </c>
      <c r="E213" s="66">
        <f>(Tabela2[[#This Row],[Lucro Líquido]])/Tabela2[[#This Row],[Total Ações]]</f>
        <v>1.9335788883151561</v>
      </c>
      <c r="F213" s="66">
        <v>1.5</v>
      </c>
      <c r="G213" s="46">
        <f>IF(AND(Tabela2[[#This Row],[Dividendo / Ação]]&gt;0,Tabela2[[#This Row],[Lucro por ação]]&gt;0),Tabela2[[#This Row],[Dividendo / Ação]]/Tabela2[[#This Row],[Lucro por ação]],"")</f>
        <v>0.77576353830954392</v>
      </c>
      <c r="H213" s="6">
        <f>MAX(Tabela2[[#This Row],[Cotação 1]],Tabela2[[#This Row],[Cotação 2]])</f>
        <v>14.03</v>
      </c>
      <c r="I213" s="19">
        <f>IF(Tabela2[[#This Row],[Dividendo / Ação]]&gt;0,Tabela2[[#This Row],[Dividendo / Ação]]/Tabela2[[#This Row],[Cotação]],"")</f>
        <v>0.10691375623663578</v>
      </c>
      <c r="J213" s="61">
        <f>SUMPRODUCT(N(Tabela1[Código]=Tabela2[[#This Row],[Ativo]]),Tabela1[Fechamento])</f>
        <v>14.03</v>
      </c>
      <c r="K213" s="61">
        <f>SUMPRODUCT(N(Tabela17[Código]=Tabela2[[#This Row],[Ativo]]),Tabela17[Fechamento])</f>
        <v>0</v>
      </c>
    </row>
    <row r="214" spans="1:14">
      <c r="A214" s="4" t="s">
        <v>101</v>
      </c>
      <c r="B214" s="4">
        <v>2012</v>
      </c>
      <c r="C214" s="6">
        <v>400000153.68000001</v>
      </c>
      <c r="D214" s="8">
        <f>SUMPRODUCT(N(Tabela3[PAPEL]=Tabela2[[#This Row],[Ativo]]),Tabela3[Total Ações])</f>
        <v>77855299</v>
      </c>
      <c r="E214" s="66">
        <f>(Tabela2[[#This Row],[Lucro Líquido]])/Tabela2[[#This Row],[Total Ações]]</f>
        <v>5.1377383276120998</v>
      </c>
      <c r="F214" s="66">
        <v>2.7486247275000002</v>
      </c>
      <c r="G214" s="46">
        <f>IF(AND(Tabela2[[#This Row],[Dividendo / Ação]]&gt;0,Tabela2[[#This Row],[Lucro por ação]]&gt;0),Tabela2[[#This Row],[Dividendo / Ação]]/Tabela2[[#This Row],[Lucro por ação]],"")</f>
        <v>0.53498729445364657</v>
      </c>
      <c r="H214" s="6">
        <f>MAX(Tabela2[[#This Row],[Cotação 1]],Tabela2[[#This Row],[Cotação 2]])</f>
        <v>44.5</v>
      </c>
      <c r="I214" s="19">
        <f>IF(Tabela2[[#This Row],[Dividendo / Ação]]&gt;0,Tabela2[[#This Row],[Dividendo / Ação]]/Tabela2[[#This Row],[Cotação]],"")</f>
        <v>6.1766847808988772E-2</v>
      </c>
      <c r="J214" s="61">
        <f>SUMPRODUCT(N(Tabela1[Código]=Tabela2[[#This Row],[Ativo]]),Tabela1[Fechamento])</f>
        <v>44.5</v>
      </c>
      <c r="K214" s="61">
        <f>SUMPRODUCT(N(Tabela17[Código]=Tabela2[[#This Row],[Ativo]]),Tabela17[Fechamento])</f>
        <v>0</v>
      </c>
    </row>
    <row r="215" spans="1:14">
      <c r="A215" s="4" t="s">
        <v>101</v>
      </c>
      <c r="B215" s="3">
        <v>2011</v>
      </c>
      <c r="C215" s="5">
        <v>471181647.69999999</v>
      </c>
      <c r="D215" s="62">
        <f>SUMPRODUCT(N(Tabela3[PAPEL]=Tabela2[[#This Row],[Ativo]]),Tabela3[Total Ações])</f>
        <v>77855299</v>
      </c>
      <c r="E215" s="65">
        <f>(Tabela2[[#This Row],[Lucro Líquido]])/Tabela2[[#This Row],[Total Ações]]</f>
        <v>6.0520177014540781</v>
      </c>
      <c r="F215" s="65">
        <v>3.5452297189999999</v>
      </c>
      <c r="G215" s="22">
        <f>IF(AND(Tabela2[[#This Row],[Dividendo / Ação]]&gt;0,Tabela2[[#This Row],[Lucro por ação]]&gt;0),Tabela2[[#This Row],[Dividendo / Ação]]/Tabela2[[#This Row],[Lucro por ação]],"")</f>
        <v>0.58579301877260059</v>
      </c>
      <c r="H215" s="5">
        <f>MAX(Tabela2[[#This Row],[Cotação 1]],Tabela2[[#This Row],[Cotação 2]])</f>
        <v>44.5</v>
      </c>
      <c r="I215" s="18">
        <f>IF(Tabela2[[#This Row],[Dividendo / Ação]]&gt;0,Tabela2[[#This Row],[Dividendo / Ação]]/Tabela2[[#This Row],[Cotação]],"")</f>
        <v>7.9668083573033704E-2</v>
      </c>
      <c r="J215" s="60">
        <f>SUMPRODUCT(N(Tabela1[Código]=Tabela2[[#This Row],[Ativo]]),Tabela1[Fechamento])</f>
        <v>44.5</v>
      </c>
      <c r="K215" s="60">
        <f>SUMPRODUCT(N(Tabela17[Código]=Tabela2[[#This Row],[Ativo]]),Tabela17[Fechamento])</f>
        <v>0</v>
      </c>
      <c r="N215" s="68"/>
    </row>
    <row r="216" spans="1:14">
      <c r="A216" s="4" t="s">
        <v>101</v>
      </c>
      <c r="B216" s="3">
        <v>2010</v>
      </c>
      <c r="C216" s="5">
        <v>458054165.95999998</v>
      </c>
      <c r="D216" s="62">
        <f>SUMPRODUCT(N(Tabela3[PAPEL]=Tabela2[[#This Row],[Ativo]]),Tabela3[Total Ações])</f>
        <v>77855299</v>
      </c>
      <c r="E216" s="65">
        <f>(Tabela2[[#This Row],[Lucro Líquido]])/Tabela2[[#This Row],[Total Ações]]</f>
        <v>5.8834038510339548</v>
      </c>
      <c r="F216" s="65">
        <v>4.272592929</v>
      </c>
      <c r="G216" s="22">
        <f>IF(AND(Tabela2[[#This Row],[Dividendo / Ação]]&gt;0,Tabela2[[#This Row],[Lucro por ação]]&gt;0),Tabela2[[#This Row],[Dividendo / Ação]]/Tabela2[[#This Row],[Lucro por ação]],"")</f>
        <v>0.72621105692908205</v>
      </c>
      <c r="H216" s="5">
        <f>MAX(Tabela2[[#This Row],[Cotação 1]],Tabela2[[#This Row],[Cotação 2]])</f>
        <v>44.5</v>
      </c>
      <c r="I216" s="18">
        <f>IF(Tabela2[[#This Row],[Dividendo / Ação]]&gt;0,Tabela2[[#This Row],[Dividendo / Ação]]/Tabela2[[#This Row],[Cotação]],"")</f>
        <v>9.6013324247191015E-2</v>
      </c>
      <c r="J216" s="60">
        <f>SUMPRODUCT(N(Tabela1[Código]=Tabela2[[#This Row],[Ativo]]),Tabela1[Fechamento])</f>
        <v>44.5</v>
      </c>
      <c r="K216" s="60">
        <f>SUMPRODUCT(N(Tabela17[Código]=Tabela2[[#This Row],[Ativo]]),Tabela17[Fechamento])</f>
        <v>0</v>
      </c>
      <c r="M216" s="68"/>
    </row>
    <row r="217" spans="1:14">
      <c r="A217" s="4" t="s">
        <v>86</v>
      </c>
      <c r="B217" s="4">
        <v>2012</v>
      </c>
      <c r="C217" s="6">
        <v>400000153.68000001</v>
      </c>
      <c r="D217" s="8">
        <f>SUMPRODUCT(N(Tabela3[PAPEL]=Tabela2[[#This Row],[Ativo]]),Tabela3[Total Ações])</f>
        <v>77855299</v>
      </c>
      <c r="E217" s="66">
        <f>(Tabela2[[#This Row],[Lucro Líquido]])/Tabela2[[#This Row],[Total Ações]]</f>
        <v>5.1377383276120998</v>
      </c>
      <c r="F217" s="66">
        <v>2.7486247275000002</v>
      </c>
      <c r="G217" s="46">
        <f>IF(AND(Tabela2[[#This Row],[Dividendo / Ação]]&gt;0,Tabela2[[#This Row],[Lucro por ação]]&gt;0),Tabela2[[#This Row],[Dividendo / Ação]]/Tabela2[[#This Row],[Lucro por ação]],"")</f>
        <v>0.53498729445364657</v>
      </c>
      <c r="H217" s="6">
        <f>MAX(Tabela2[[#This Row],[Cotação 1]],Tabela2[[#This Row],[Cotação 2]])</f>
        <v>43.1</v>
      </c>
      <c r="I217" s="19">
        <f>IF(Tabela2[[#This Row],[Dividendo / Ação]]&gt;0,Tabela2[[#This Row],[Dividendo / Ação]]/Tabela2[[#This Row],[Cotação]],"")</f>
        <v>6.377319553364269E-2</v>
      </c>
      <c r="J217" s="61">
        <f>SUMPRODUCT(N(Tabela1[Código]=Tabela2[[#This Row],[Ativo]]),Tabela1[Fechamento])</f>
        <v>43.1</v>
      </c>
      <c r="K217" s="61">
        <f>SUMPRODUCT(N(Tabela17[Código]=Tabela2[[#This Row],[Ativo]]),Tabela17[Fechamento])</f>
        <v>0</v>
      </c>
      <c r="M217" s="69"/>
    </row>
    <row r="218" spans="1:14">
      <c r="A218" s="4" t="s">
        <v>86</v>
      </c>
      <c r="B218" s="4">
        <v>2011</v>
      </c>
      <c r="C218" s="5">
        <v>471181647.69999999</v>
      </c>
      <c r="D218" s="8">
        <f>SUMPRODUCT(N(Tabela3[PAPEL]=Tabela2[[#This Row],[Ativo]]),Tabela3[Total Ações])</f>
        <v>77855299</v>
      </c>
      <c r="E218" s="66">
        <f>(Tabela2[[#This Row],[Lucro Líquido]])/Tabela2[[#This Row],[Total Ações]]</f>
        <v>6.0520177014540781</v>
      </c>
      <c r="F218" s="65">
        <v>3.5452297189999999</v>
      </c>
      <c r="G218" s="46">
        <f>IF(AND(Tabela2[[#This Row],[Dividendo / Ação]]&gt;0,Tabela2[[#This Row],[Lucro por ação]]&gt;0),Tabela2[[#This Row],[Dividendo / Ação]]/Tabela2[[#This Row],[Lucro por ação]],"")</f>
        <v>0.58579301877260059</v>
      </c>
      <c r="H218" s="6">
        <f>MAX(Tabela2[[#This Row],[Cotação 1]],Tabela2[[#This Row],[Cotação 2]])</f>
        <v>43.1</v>
      </c>
      <c r="I218" s="19">
        <f>IF(Tabela2[[#This Row],[Dividendo / Ação]]&gt;0,Tabela2[[#This Row],[Dividendo / Ação]]/Tabela2[[#This Row],[Cotação]],"")</f>
        <v>8.2255909953596287E-2</v>
      </c>
      <c r="J218" s="61">
        <f>SUMPRODUCT(N(Tabela1[Código]=Tabela2[[#This Row],[Ativo]]),Tabela1[Fechamento])</f>
        <v>43.1</v>
      </c>
      <c r="K218" s="61">
        <f>SUMPRODUCT(N(Tabela17[Código]=Tabela2[[#This Row],[Ativo]]),Tabela17[Fechamento])</f>
        <v>0</v>
      </c>
    </row>
    <row r="219" spans="1:14">
      <c r="A219" s="4" t="s">
        <v>86</v>
      </c>
      <c r="B219" s="4">
        <v>2010</v>
      </c>
      <c r="C219" s="5">
        <v>458054165.95999998</v>
      </c>
      <c r="D219" s="8">
        <f>SUMPRODUCT(N(Tabela3[PAPEL]=Tabela2[[#This Row],[Ativo]]),Tabela3[Total Ações])</f>
        <v>77855299</v>
      </c>
      <c r="E219" s="66">
        <f>(Tabela2[[#This Row],[Lucro Líquido]])/Tabela2[[#This Row],[Total Ações]]</f>
        <v>5.8834038510339548</v>
      </c>
      <c r="F219" s="65">
        <v>4.272592929</v>
      </c>
      <c r="G219" s="46">
        <f>IF(AND(Tabela2[[#This Row],[Dividendo / Ação]]&gt;0,Tabela2[[#This Row],[Lucro por ação]]&gt;0),Tabela2[[#This Row],[Dividendo / Ação]]/Tabela2[[#This Row],[Lucro por ação]],"")</f>
        <v>0.72621105692908205</v>
      </c>
      <c r="H219" s="6">
        <f>MAX(Tabela2[[#This Row],[Cotação 1]],Tabela2[[#This Row],[Cotação 2]])</f>
        <v>43.1</v>
      </c>
      <c r="I219" s="19">
        <f>IF(Tabela2[[#This Row],[Dividendo / Ação]]&gt;0,Tabela2[[#This Row],[Dividendo / Ação]]/Tabela2[[#This Row],[Cotação]],"")</f>
        <v>9.9132086519721579E-2</v>
      </c>
      <c r="J219" s="61">
        <f>SUMPRODUCT(N(Tabela1[Código]=Tabela2[[#This Row],[Ativo]]),Tabela1[Fechamento])</f>
        <v>43.1</v>
      </c>
      <c r="K219" s="61">
        <f>SUMPRODUCT(N(Tabela17[Código]=Tabela2[[#This Row],[Ativo]]),Tabela17[Fechamento])</f>
        <v>0</v>
      </c>
      <c r="M219" s="69"/>
    </row>
    <row r="220" spans="1:14">
      <c r="A220" s="4" t="s">
        <v>32</v>
      </c>
      <c r="B220" s="4">
        <v>2012</v>
      </c>
      <c r="C220" s="6">
        <v>1225923257.8099999</v>
      </c>
      <c r="D220" s="8">
        <f>SUMPRODUCT(N(Tabela3[PAPEL]=Tabela2[[#This Row],[Ativo]]),Tabela3[Total Ações])</f>
        <v>962274260</v>
      </c>
      <c r="E220" s="66">
        <f>(Tabela2[[#This Row],[Lucro Líquido]])/Tabela2[[#This Row],[Total Ações]]</f>
        <v>1.2739852958448665</v>
      </c>
      <c r="F220" s="66">
        <v>1.139118233</v>
      </c>
      <c r="G220" s="46">
        <f>IF(AND(Tabela2[[#This Row],[Dividendo / Ação]]&gt;0,Tabela2[[#This Row],[Lucro por ação]]&gt;0),Tabela2[[#This Row],[Dividendo / Ação]]/Tabela2[[#This Row],[Lucro por ação]],"")</f>
        <v>0.89413766133350314</v>
      </c>
      <c r="H220" s="6">
        <f>MAX(Tabela2[[#This Row],[Cotação 1]],Tabela2[[#This Row],[Cotação 2]])</f>
        <v>18.239999999999998</v>
      </c>
      <c r="I220" s="19">
        <f>IF(Tabela2[[#This Row],[Dividendo / Ação]]&gt;0,Tabela2[[#This Row],[Dividendo / Ação]]/Tabela2[[#This Row],[Cotação]],"")</f>
        <v>6.2451657510964917E-2</v>
      </c>
      <c r="J220" s="61">
        <f>SUMPRODUCT(N(Tabela1[Código]=Tabela2[[#This Row],[Ativo]]),Tabela1[Fechamento])</f>
        <v>18.239999999999998</v>
      </c>
      <c r="K220" s="61">
        <f>SUMPRODUCT(N(Tabela17[Código]=Tabela2[[#This Row],[Ativo]]),Tabela17[Fechamento])</f>
        <v>0</v>
      </c>
    </row>
    <row r="221" spans="1:14">
      <c r="A221" s="4" t="s">
        <v>32</v>
      </c>
      <c r="B221" s="4">
        <v>2011</v>
      </c>
      <c r="C221" s="6">
        <v>1572292596.6700001</v>
      </c>
      <c r="D221" s="8">
        <f>SUMPRODUCT(N(Tabela3[PAPEL]=Tabela2[[#This Row],[Ativo]]),Tabela3[Total Ações])</f>
        <v>962274260</v>
      </c>
      <c r="E221" s="66">
        <f>(Tabela2[[#This Row],[Lucro Líquido]])/Tabela2[[#This Row],[Total Ações]]</f>
        <v>1.6339339645954991</v>
      </c>
      <c r="F221" s="66">
        <v>1.5653283019999999</v>
      </c>
      <c r="G221" s="46">
        <f>IF(AND(Tabela2[[#This Row],[Dividendo / Ação]]&gt;0,Tabela2[[#This Row],[Lucro por ação]]&gt;0),Tabela2[[#This Row],[Dividendo / Ação]]/Tabela2[[#This Row],[Lucro por ação]],"")</f>
        <v>0.9580119735056225</v>
      </c>
      <c r="H221" s="6">
        <f>MAX(Tabela2[[#This Row],[Cotação 1]],Tabela2[[#This Row],[Cotação 2]])</f>
        <v>18.239999999999998</v>
      </c>
      <c r="I221" s="19">
        <f>IF(Tabela2[[#This Row],[Dividendo / Ação]]&gt;0,Tabela2[[#This Row],[Dividendo / Ação]]/Tabela2[[#This Row],[Cotação]],"")</f>
        <v>8.5818437609649134E-2</v>
      </c>
      <c r="J221" s="61">
        <f>SUMPRODUCT(N(Tabela1[Código]=Tabela2[[#This Row],[Ativo]]),Tabela1[Fechamento])</f>
        <v>18.239999999999998</v>
      </c>
      <c r="K221" s="61">
        <f>SUMPRODUCT(N(Tabela17[Código]=Tabela2[[#This Row],[Ativo]]),Tabela17[Fechamento])</f>
        <v>0</v>
      </c>
      <c r="M221" s="67"/>
    </row>
    <row r="222" spans="1:14">
      <c r="A222" s="4" t="s">
        <v>32</v>
      </c>
      <c r="B222" s="4">
        <v>2010</v>
      </c>
      <c r="C222" s="6">
        <v>1595150826.9300001</v>
      </c>
      <c r="D222" s="8">
        <f>SUMPRODUCT(N(Tabela3[PAPEL]=Tabela2[[#This Row],[Ativo]]),Tabela3[Total Ações])</f>
        <v>962274260</v>
      </c>
      <c r="E222" s="66">
        <f>(Tabela2[[#This Row],[Lucro Líquido]])/Tabela2[[#This Row],[Total Ações]]</f>
        <v>1.6576883464907397</v>
      </c>
      <c r="F222" s="66">
        <v>2.6197703689999998</v>
      </c>
      <c r="G222" s="46">
        <f>IF(AND(Tabela2[[#This Row],[Dividendo / Ação]]&gt;0,Tabela2[[#This Row],[Lucro por ação]]&gt;0),Tabela2[[#This Row],[Dividendo / Ação]]/Tabela2[[#This Row],[Lucro por ação]],"")</f>
        <v>1.580375692780823</v>
      </c>
      <c r="H222" s="6">
        <f>MAX(Tabela2[[#This Row],[Cotação 1]],Tabela2[[#This Row],[Cotação 2]])</f>
        <v>18.239999999999998</v>
      </c>
      <c r="I222" s="19">
        <f>IF(Tabela2[[#This Row],[Dividendo / Ação]]&gt;0,Tabela2[[#This Row],[Dividendo / Ação]]/Tabela2[[#This Row],[Cotação]],"")</f>
        <v>0.14362776145833334</v>
      </c>
      <c r="J222" s="61">
        <f>SUMPRODUCT(N(Tabela1[Código]=Tabela2[[#This Row],[Ativo]]),Tabela1[Fechamento])</f>
        <v>18.239999999999998</v>
      </c>
      <c r="K222" s="61">
        <f>SUMPRODUCT(N(Tabela17[Código]=Tabela2[[#This Row],[Ativo]]),Tabela17[Fechamento])</f>
        <v>0</v>
      </c>
    </row>
    <row r="223" spans="1:14">
      <c r="A223" s="4" t="s">
        <v>32</v>
      </c>
      <c r="B223" s="4">
        <v>2009</v>
      </c>
      <c r="C223" s="6">
        <v>1649898817.26</v>
      </c>
      <c r="D223" s="8">
        <f>SUMPRODUCT(N(Tabela3[PAPEL]=Tabela2[[#This Row],[Ativo]]),Tabela3[Total Ações])</f>
        <v>962274260</v>
      </c>
      <c r="E223" s="66">
        <f>(Tabela2[[#This Row],[Lucro Líquido]])/Tabela2[[#This Row],[Total Ações]]</f>
        <v>1.7145827191304068</v>
      </c>
      <c r="F223" s="66">
        <v>2.5560733889999998</v>
      </c>
      <c r="G223" s="46">
        <f>IF(AND(Tabela2[[#This Row],[Dividendo / Ação]]&gt;0,Tabela2[[#This Row],[Lucro por ação]]&gt;0),Tabela2[[#This Row],[Dividendo / Ação]]/Tabela2[[#This Row],[Lucro por ação]],"")</f>
        <v>1.4907845276175278</v>
      </c>
      <c r="H223" s="6">
        <f>MAX(Tabela2[[#This Row],[Cotação 1]],Tabela2[[#This Row],[Cotação 2]])</f>
        <v>18.239999999999998</v>
      </c>
      <c r="I223" s="19">
        <f>IF(Tabela2[[#This Row],[Dividendo / Ação]]&gt;0,Tabela2[[#This Row],[Dividendo / Ação]]/Tabela2[[#This Row],[Cotação]],"")</f>
        <v>0.14013560246710527</v>
      </c>
      <c r="J223" s="61">
        <f>SUMPRODUCT(N(Tabela1[Código]=Tabela2[[#This Row],[Ativo]]),Tabela1[Fechamento])</f>
        <v>18.239999999999998</v>
      </c>
      <c r="K223" s="61">
        <f>SUMPRODUCT(N(Tabela17[Código]=Tabela2[[#This Row],[Ativo]]),Tabela17[Fechamento])</f>
        <v>0</v>
      </c>
    </row>
    <row r="224" spans="1:14">
      <c r="A224" s="4" t="s">
        <v>34</v>
      </c>
      <c r="B224" s="4">
        <v>2012</v>
      </c>
      <c r="C224" s="6">
        <v>700688167.34000003</v>
      </c>
      <c r="D224" s="8">
        <f>SUMPRODUCT(N(Tabela3[PAPEL]=Tabela2[[#This Row],[Ativo]]),Tabela3[Total Ações])</f>
        <v>273655375</v>
      </c>
      <c r="E224" s="66">
        <f>(Tabela2[[#This Row],[Lucro Líquido]])/Tabela2[[#This Row],[Total Ações]]</f>
        <v>2.5604765385660708</v>
      </c>
      <c r="F224" s="66">
        <v>0.93527000000000005</v>
      </c>
      <c r="G224" s="46">
        <f>IF(AND(Tabela2[[#This Row],[Dividendo / Ação]]&gt;0,Tabela2[[#This Row],[Lucro por ação]]&gt;0),Tabela2[[#This Row],[Dividendo / Ação]]/Tabela2[[#This Row],[Lucro por ação]],"")</f>
        <v>0.36527184917061339</v>
      </c>
      <c r="H224" s="6">
        <f>MAX(Tabela2[[#This Row],[Cotação 1]],Tabela2[[#This Row],[Cotação 2]])</f>
        <v>22.04</v>
      </c>
      <c r="I224" s="19">
        <f>IF(Tabela2[[#This Row],[Dividendo / Ação]]&gt;0,Tabela2[[#This Row],[Dividendo / Ação]]/Tabela2[[#This Row],[Cotação]],"")</f>
        <v>4.2435117967332125E-2</v>
      </c>
      <c r="J224" s="61">
        <f>SUMPRODUCT(N(Tabela1[Código]=Tabela2[[#This Row],[Ativo]]),Tabela1[Fechamento])</f>
        <v>22.04</v>
      </c>
      <c r="K224" s="61">
        <f>SUMPRODUCT(N(Tabela17[Código]=Tabela2[[#This Row],[Ativo]]),Tabela17[Fechamento])</f>
        <v>0</v>
      </c>
    </row>
    <row r="225" spans="1:13">
      <c r="A225" s="4" t="s">
        <v>34</v>
      </c>
      <c r="B225" s="3">
        <v>2011</v>
      </c>
      <c r="C225" s="5">
        <v>1203117000</v>
      </c>
      <c r="D225" s="62">
        <f>SUMPRODUCT(N(Tabela3[PAPEL]=Tabela2[[#This Row],[Ativo]]),Tabela3[Total Ações])</f>
        <v>273655375</v>
      </c>
      <c r="E225" s="65">
        <f>(Tabela2[[#This Row],[Lucro Líquido]])/Tabela2[[#This Row],[Total Ações]]</f>
        <v>4.396467637443628</v>
      </c>
      <c r="F225" s="65">
        <v>1.4683299999999999</v>
      </c>
      <c r="G225" s="22">
        <f>IF(AND(Tabela2[[#This Row],[Dividendo / Ação]]&gt;0,Tabela2[[#This Row],[Lucro por ação]]&gt;0),Tabela2[[#This Row],[Dividendo / Ação]]/Tabela2[[#This Row],[Lucro por ação]],"")</f>
        <v>0.33397948559761848</v>
      </c>
      <c r="H225" s="5">
        <f>MAX(Tabela2[[#This Row],[Cotação 1]],Tabela2[[#This Row],[Cotação 2]])</f>
        <v>22.04</v>
      </c>
      <c r="I225" s="18">
        <f>IF(Tabela2[[#This Row],[Dividendo / Ação]]&gt;0,Tabela2[[#This Row],[Dividendo / Ação]]/Tabela2[[#This Row],[Cotação]],"")</f>
        <v>6.6621143375680578E-2</v>
      </c>
      <c r="J225" s="60">
        <f>SUMPRODUCT(N(Tabela1[Código]=Tabela2[[#This Row],[Ativo]]),Tabela1[Fechamento])</f>
        <v>22.04</v>
      </c>
      <c r="K225" s="60">
        <f>SUMPRODUCT(N(Tabela17[Código]=Tabela2[[#This Row],[Ativo]]),Tabela17[Fechamento])</f>
        <v>0</v>
      </c>
    </row>
    <row r="226" spans="1:13">
      <c r="A226" s="4" t="s">
        <v>34</v>
      </c>
      <c r="B226" s="3">
        <v>2010</v>
      </c>
      <c r="C226" s="5">
        <v>1041534000</v>
      </c>
      <c r="D226" s="62">
        <f>SUMPRODUCT(N(Tabela3[PAPEL]=Tabela2[[#This Row],[Ativo]]),Tabela3[Total Ações])</f>
        <v>273655375</v>
      </c>
      <c r="E226" s="65">
        <f>(Tabela2[[#This Row],[Lucro Líquido]])/Tabela2[[#This Row],[Total Ações]]</f>
        <v>3.8060060029882474</v>
      </c>
      <c r="F226" s="65">
        <v>0.98026999999999997</v>
      </c>
      <c r="G226" s="22">
        <f>IF(AND(Tabela2[[#This Row],[Dividendo / Ação]]&gt;0,Tabela2[[#This Row],[Lucro por ação]]&gt;0),Tabela2[[#This Row],[Dividendo / Ação]]/Tabela2[[#This Row],[Lucro por ação]],"")</f>
        <v>0.25755871095062666</v>
      </c>
      <c r="H226" s="5">
        <f>MAX(Tabela2[[#This Row],[Cotação 1]],Tabela2[[#This Row],[Cotação 2]])</f>
        <v>22.04</v>
      </c>
      <c r="I226" s="18">
        <f>IF(Tabela2[[#This Row],[Dividendo / Ação]]&gt;0,Tabela2[[#This Row],[Dividendo / Ação]]/Tabela2[[#This Row],[Cotação]],"")</f>
        <v>4.4476860254083483E-2</v>
      </c>
      <c r="J226" s="60">
        <f>SUMPRODUCT(N(Tabela1[Código]=Tabela2[[#This Row],[Ativo]]),Tabela1[Fechamento])</f>
        <v>22.04</v>
      </c>
      <c r="K226" s="60">
        <f>SUMPRODUCT(N(Tabela17[Código]=Tabela2[[#This Row],[Ativo]]),Tabela17[Fechamento])</f>
        <v>0</v>
      </c>
    </row>
    <row r="227" spans="1:13">
      <c r="A227" s="4" t="s">
        <v>34</v>
      </c>
      <c r="B227" s="3">
        <v>2009</v>
      </c>
      <c r="C227" s="5">
        <v>900821000</v>
      </c>
      <c r="D227" s="62">
        <f>SUMPRODUCT(N(Tabela3[PAPEL]=Tabela2[[#This Row],[Ativo]]),Tabela3[Total Ações])</f>
        <v>273655375</v>
      </c>
      <c r="E227" s="65">
        <f>(Tabela2[[#This Row],[Lucro Líquido]])/Tabela2[[#This Row],[Total Ações]]</f>
        <v>3.2918081729620696</v>
      </c>
      <c r="F227" s="65">
        <v>0.86965000000000003</v>
      </c>
      <c r="G227" s="22">
        <f>IF(AND(Tabela2[[#This Row],[Dividendo / Ação]]&gt;0,Tabela2[[#This Row],[Lucro por ação]]&gt;0),Tabela2[[#This Row],[Dividendo / Ação]]/Tabela2[[#This Row],[Lucro por ação]],"")</f>
        <v>0.26418611119051399</v>
      </c>
      <c r="H227" s="5">
        <f>MAX(Tabela2[[#This Row],[Cotação 1]],Tabela2[[#This Row],[Cotação 2]])</f>
        <v>22.04</v>
      </c>
      <c r="I227" s="18">
        <f>IF(Tabela2[[#This Row],[Dividendo / Ação]]&gt;0,Tabela2[[#This Row],[Dividendo / Ação]]/Tabela2[[#This Row],[Cotação]],"")</f>
        <v>3.9457803992740473E-2</v>
      </c>
      <c r="J227" s="60">
        <f>SUMPRODUCT(N(Tabela1[Código]=Tabela2[[#This Row],[Ativo]]),Tabela1[Fechamento])</f>
        <v>22.04</v>
      </c>
      <c r="K227" s="60">
        <f>SUMPRODUCT(N(Tabela17[Código]=Tabela2[[#This Row],[Ativo]]),Tabela17[Fechamento])</f>
        <v>0</v>
      </c>
    </row>
    <row r="228" spans="1:13">
      <c r="A228" s="4" t="s">
        <v>107</v>
      </c>
      <c r="B228" s="4">
        <v>2012</v>
      </c>
      <c r="C228" s="6">
        <v>700688167.34000003</v>
      </c>
      <c r="D228" s="8">
        <f>SUMPRODUCT(N(Tabela3[PAPEL]=Tabela2[[#This Row],[Ativo]]),Tabela3[Total Ações])</f>
        <v>273655375</v>
      </c>
      <c r="E228" s="66">
        <f>(Tabela2[[#This Row],[Lucro Líquido]])/Tabela2[[#This Row],[Total Ações]]</f>
        <v>2.5604765385660708</v>
      </c>
      <c r="F228" s="66">
        <v>2.5250699999999999</v>
      </c>
      <c r="G228" s="46">
        <f>IF(AND(Tabela2[[#This Row],[Dividendo / Ação]]&gt;0,Tabela2[[#This Row],[Lucro por ação]]&gt;0),Tabela2[[#This Row],[Dividendo / Ação]]/Tabela2[[#This Row],[Lucro por ação]],"")</f>
        <v>0.98617189494503266</v>
      </c>
      <c r="H228" s="6">
        <f>MAX(Tabela2[[#This Row],[Cotação 1]],Tabela2[[#This Row],[Cotação 2]])</f>
        <v>30</v>
      </c>
      <c r="I228" s="19">
        <f>IF(Tabela2[[#This Row],[Dividendo / Ação]]&gt;0,Tabela2[[#This Row],[Dividendo / Ação]]/Tabela2[[#This Row],[Cotação]],"")</f>
        <v>8.4168999999999994E-2</v>
      </c>
      <c r="J228" s="61">
        <f>SUMPRODUCT(N(Tabela1[Código]=Tabela2[[#This Row],[Ativo]]),Tabela1[Fechamento])</f>
        <v>30</v>
      </c>
      <c r="K228" s="61">
        <f>SUMPRODUCT(N(Tabela17[Código]=Tabela2[[#This Row],[Ativo]]),Tabela17[Fechamento])</f>
        <v>0</v>
      </c>
    </row>
    <row r="229" spans="1:13">
      <c r="A229" s="4" t="s">
        <v>107</v>
      </c>
      <c r="B229" s="3">
        <v>2011</v>
      </c>
      <c r="C229" s="5">
        <v>1203117000</v>
      </c>
      <c r="D229" s="62">
        <f>SUMPRODUCT(N(Tabela3[PAPEL]=Tabela2[[#This Row],[Ativo]]),Tabela3[Total Ações])</f>
        <v>273655375</v>
      </c>
      <c r="E229" s="65">
        <f>(Tabela2[[#This Row],[Lucro Líquido]])/Tabela2[[#This Row],[Total Ações]]</f>
        <v>4.396467637443628</v>
      </c>
      <c r="F229" s="65">
        <v>2.5250699999999999</v>
      </c>
      <c r="G229" s="22">
        <f>IF(AND(Tabela2[[#This Row],[Dividendo / Ação]]&gt;0,Tabela2[[#This Row],[Lucro por ação]]&gt;0),Tabela2[[#This Row],[Dividendo / Ação]]/Tabela2[[#This Row],[Lucro por ação]],"")</f>
        <v>0.57434063166861571</v>
      </c>
      <c r="H229" s="5">
        <f>MAX(Tabela2[[#This Row],[Cotação 1]],Tabela2[[#This Row],[Cotação 2]])</f>
        <v>30</v>
      </c>
      <c r="I229" s="18">
        <f>IF(Tabela2[[#This Row],[Dividendo / Ação]]&gt;0,Tabela2[[#This Row],[Dividendo / Ação]]/Tabela2[[#This Row],[Cotação]],"")</f>
        <v>8.4168999999999994E-2</v>
      </c>
      <c r="J229" s="60">
        <f>SUMPRODUCT(N(Tabela1[Código]=Tabela2[[#This Row],[Ativo]]),Tabela1[Fechamento])</f>
        <v>30</v>
      </c>
      <c r="K229" s="60">
        <f>SUMPRODUCT(N(Tabela17[Código]=Tabela2[[#This Row],[Ativo]]),Tabela17[Fechamento])</f>
        <v>0</v>
      </c>
      <c r="M229" s="67"/>
    </row>
    <row r="230" spans="1:13">
      <c r="A230" s="4" t="s">
        <v>107</v>
      </c>
      <c r="B230" s="3">
        <v>2010</v>
      </c>
      <c r="C230" s="5">
        <v>1041534000</v>
      </c>
      <c r="D230" s="62">
        <f>SUMPRODUCT(N(Tabela3[PAPEL]=Tabela2[[#This Row],[Ativo]]),Tabela3[Total Ações])</f>
        <v>273655375</v>
      </c>
      <c r="E230" s="65">
        <f>(Tabela2[[#This Row],[Lucro Líquido]])/Tabela2[[#This Row],[Total Ações]]</f>
        <v>3.8060060029882474</v>
      </c>
      <c r="F230" s="65">
        <v>2.5250699999999999</v>
      </c>
      <c r="G230" s="22">
        <f>IF(AND(Tabela2[[#This Row],[Dividendo / Ação]]&gt;0,Tabela2[[#This Row],[Lucro por ação]]&gt;0),Tabela2[[#This Row],[Dividendo / Ação]]/Tabela2[[#This Row],[Lucro por ação]],"")</f>
        <v>0.66344351480724584</v>
      </c>
      <c r="H230" s="5">
        <f>MAX(Tabela2[[#This Row],[Cotação 1]],Tabela2[[#This Row],[Cotação 2]])</f>
        <v>30</v>
      </c>
      <c r="I230" s="18">
        <f>IF(Tabela2[[#This Row],[Dividendo / Ação]]&gt;0,Tabela2[[#This Row],[Dividendo / Ação]]/Tabela2[[#This Row],[Cotação]],"")</f>
        <v>8.4168999999999994E-2</v>
      </c>
      <c r="J230" s="60">
        <f>SUMPRODUCT(N(Tabela1[Código]=Tabela2[[#This Row],[Ativo]]),Tabela1[Fechamento])</f>
        <v>30</v>
      </c>
      <c r="K230" s="60">
        <f>SUMPRODUCT(N(Tabela17[Código]=Tabela2[[#This Row],[Ativo]]),Tabela17[Fechamento])</f>
        <v>0</v>
      </c>
    </row>
    <row r="231" spans="1:13">
      <c r="A231" s="4" t="s">
        <v>107</v>
      </c>
      <c r="B231" s="3">
        <v>2009</v>
      </c>
      <c r="C231" s="5">
        <v>900821000</v>
      </c>
      <c r="D231" s="62">
        <f>SUMPRODUCT(N(Tabela3[PAPEL]=Tabela2[[#This Row],[Ativo]]),Tabela3[Total Ações])</f>
        <v>273655375</v>
      </c>
      <c r="E231" s="65">
        <f>(Tabela2[[#This Row],[Lucro Líquido]])/Tabela2[[#This Row],[Total Ações]]</f>
        <v>3.2918081729620696</v>
      </c>
      <c r="F231" s="65">
        <v>1.6297900000000001</v>
      </c>
      <c r="G231" s="22">
        <f>IF(AND(Tabela2[[#This Row],[Dividendo / Ação]]&gt;0,Tabela2[[#This Row],[Lucro por ação]]&gt;0),Tabela2[[#This Row],[Dividendo / Ação]]/Tabela2[[#This Row],[Lucro por ação]],"")</f>
        <v>0.49510479176356903</v>
      </c>
      <c r="H231" s="5">
        <f>MAX(Tabela2[[#This Row],[Cotação 1]],Tabela2[[#This Row],[Cotação 2]])</f>
        <v>30</v>
      </c>
      <c r="I231" s="18">
        <f>IF(Tabela2[[#This Row],[Dividendo / Ação]]&gt;0,Tabela2[[#This Row],[Dividendo / Ação]]/Tabela2[[#This Row],[Cotação]],"")</f>
        <v>5.4326333333333338E-2</v>
      </c>
      <c r="J231" s="60">
        <f>SUMPRODUCT(N(Tabela1[Código]=Tabela2[[#This Row],[Ativo]]),Tabela1[Fechamento])</f>
        <v>30</v>
      </c>
      <c r="K231" s="60">
        <f>SUMPRODUCT(N(Tabela17[Código]=Tabela2[[#This Row],[Ativo]]),Tabela17[Fechamento])</f>
        <v>0</v>
      </c>
    </row>
    <row r="232" spans="1:13">
      <c r="A232" s="4" t="s">
        <v>108</v>
      </c>
      <c r="B232" s="4">
        <v>2012</v>
      </c>
      <c r="C232" s="6">
        <v>700688167.34000003</v>
      </c>
      <c r="D232" s="8">
        <f>SUMPRODUCT(N(Tabela3[PAPEL]=Tabela2[[#This Row],[Ativo]]),Tabela3[Total Ações])</f>
        <v>273655375</v>
      </c>
      <c r="E232" s="66">
        <f>(Tabela2[[#This Row],[Lucro Líquido]])/Tabela2[[#This Row],[Total Ações]]</f>
        <v>2.5604765385660708</v>
      </c>
      <c r="F232" s="66">
        <v>1.0288900000000001</v>
      </c>
      <c r="G232" s="46">
        <f>IF(AND(Tabela2[[#This Row],[Dividendo / Ação]]&gt;0,Tabela2[[#This Row],[Lucro por ação]]&gt;0),Tabela2[[#This Row],[Dividendo / Ação]]/Tabela2[[#This Row],[Lucro por ação]],"")</f>
        <v>0.40183535545152993</v>
      </c>
      <c r="H232" s="6">
        <f>MAX(Tabela2[[#This Row],[Cotação 1]],Tabela2[[#This Row],[Cotação 2]])</f>
        <v>30.18</v>
      </c>
      <c r="I232" s="19">
        <f>IF(Tabela2[[#This Row],[Dividendo / Ação]]&gt;0,Tabela2[[#This Row],[Dividendo / Ação]]/Tabela2[[#This Row],[Cotação]],"")</f>
        <v>3.4091782637508283E-2</v>
      </c>
      <c r="J232" s="61">
        <f>SUMPRODUCT(N(Tabela1[Código]=Tabela2[[#This Row],[Ativo]]),Tabela1[Fechamento])</f>
        <v>30.18</v>
      </c>
      <c r="K232" s="61">
        <f>SUMPRODUCT(N(Tabela17[Código]=Tabela2[[#This Row],[Ativo]]),Tabela17[Fechamento])</f>
        <v>0</v>
      </c>
    </row>
    <row r="233" spans="1:13">
      <c r="A233" s="4" t="s">
        <v>108</v>
      </c>
      <c r="B233" s="4">
        <v>2011</v>
      </c>
      <c r="C233" s="5">
        <v>1203117000</v>
      </c>
      <c r="D233" s="8">
        <f>SUMPRODUCT(N(Tabela3[PAPEL]=Tabela2[[#This Row],[Ativo]]),Tabela3[Total Ações])</f>
        <v>273655375</v>
      </c>
      <c r="E233" s="66">
        <f>(Tabela2[[#This Row],[Lucro Líquido]])/Tabela2[[#This Row],[Total Ações]]</f>
        <v>4.396467637443628</v>
      </c>
      <c r="F233" s="66">
        <v>1.6154599999999999</v>
      </c>
      <c r="G233" s="46">
        <f>IF(AND(Tabela2[[#This Row],[Dividendo / Ação]]&gt;0,Tabela2[[#This Row],[Lucro por ação]]&gt;0),Tabela2[[#This Row],[Dividendo / Ação]]/Tabela2[[#This Row],[Lucro por ação]],"")</f>
        <v>0.3674449883905721</v>
      </c>
      <c r="H233" s="6">
        <f>MAX(Tabela2[[#This Row],[Cotação 1]],Tabela2[[#This Row],[Cotação 2]])</f>
        <v>30.18</v>
      </c>
      <c r="I233" s="19">
        <f>IF(Tabela2[[#This Row],[Dividendo / Ação]]&gt;0,Tabela2[[#This Row],[Dividendo / Ação]]/Tabela2[[#This Row],[Cotação]],"")</f>
        <v>5.3527501656726303E-2</v>
      </c>
      <c r="J233" s="61">
        <f>SUMPRODUCT(N(Tabela1[Código]=Tabela2[[#This Row],[Ativo]]),Tabela1[Fechamento])</f>
        <v>30.18</v>
      </c>
      <c r="K233" s="61">
        <f>SUMPRODUCT(N(Tabela17[Código]=Tabela2[[#This Row],[Ativo]]),Tabela17[Fechamento])</f>
        <v>0</v>
      </c>
    </row>
    <row r="234" spans="1:13">
      <c r="A234" s="4" t="s">
        <v>108</v>
      </c>
      <c r="B234" s="4">
        <v>2010</v>
      </c>
      <c r="C234" s="5">
        <v>1041534000</v>
      </c>
      <c r="D234" s="8">
        <f>SUMPRODUCT(N(Tabela3[PAPEL]=Tabela2[[#This Row],[Ativo]]),Tabela3[Total Ações])</f>
        <v>273655375</v>
      </c>
      <c r="E234" s="66">
        <f>(Tabela2[[#This Row],[Lucro Líquido]])/Tabela2[[#This Row],[Total Ações]]</f>
        <v>3.8060060029882474</v>
      </c>
      <c r="F234" s="66">
        <v>1.0785400000000001</v>
      </c>
      <c r="G234" s="46">
        <f>IF(AND(Tabela2[[#This Row],[Dividendo / Ação]]&gt;0,Tabela2[[#This Row],[Lucro por ação]]&gt;0),Tabela2[[#This Row],[Dividendo / Ação]]/Tabela2[[#This Row],[Lucro por ação]],"")</f>
        <v>0.28337842850305417</v>
      </c>
      <c r="H234" s="6">
        <f>MAX(Tabela2[[#This Row],[Cotação 1]],Tabela2[[#This Row],[Cotação 2]])</f>
        <v>30.18</v>
      </c>
      <c r="I234" s="19">
        <f>IF(Tabela2[[#This Row],[Dividendo / Ação]]&gt;0,Tabela2[[#This Row],[Dividendo / Ação]]/Tabela2[[#This Row],[Cotação]],"")</f>
        <v>3.5736911862160374E-2</v>
      </c>
      <c r="J234" s="61">
        <f>SUMPRODUCT(N(Tabela1[Código]=Tabela2[[#This Row],[Ativo]]),Tabela1[Fechamento])</f>
        <v>30.18</v>
      </c>
      <c r="K234" s="61">
        <f>SUMPRODUCT(N(Tabela17[Código]=Tabela2[[#This Row],[Ativo]]),Tabela17[Fechamento])</f>
        <v>0</v>
      </c>
    </row>
    <row r="235" spans="1:13">
      <c r="A235" s="4" t="s">
        <v>108</v>
      </c>
      <c r="B235" s="4">
        <v>2009</v>
      </c>
      <c r="C235" s="5">
        <v>900821000</v>
      </c>
      <c r="D235" s="8">
        <f>SUMPRODUCT(N(Tabela3[PAPEL]=Tabela2[[#This Row],[Ativo]]),Tabela3[Total Ações])</f>
        <v>273655375</v>
      </c>
      <c r="E235" s="66">
        <f>(Tabela2[[#This Row],[Lucro Líquido]])/Tabela2[[#This Row],[Total Ações]]</f>
        <v>3.2918081729620696</v>
      </c>
      <c r="F235" s="66">
        <v>0.95679000000000003</v>
      </c>
      <c r="G235" s="46">
        <f>IF(AND(Tabela2[[#This Row],[Dividendo / Ação]]&gt;0,Tabela2[[#This Row],[Lucro por ação]]&gt;0),Tabela2[[#This Row],[Dividendo / Ação]]/Tabela2[[#This Row],[Lucro por ação]],"")</f>
        <v>0.29065788458112102</v>
      </c>
      <c r="H235" s="6">
        <f>MAX(Tabela2[[#This Row],[Cotação 1]],Tabela2[[#This Row],[Cotação 2]])</f>
        <v>30.18</v>
      </c>
      <c r="I235" s="19">
        <f>IF(Tabela2[[#This Row],[Dividendo / Ação]]&gt;0,Tabela2[[#This Row],[Dividendo / Ação]]/Tabela2[[#This Row],[Cotação]],"")</f>
        <v>3.1702783300198809E-2</v>
      </c>
      <c r="J235" s="61">
        <f>SUMPRODUCT(N(Tabela1[Código]=Tabela2[[#This Row],[Ativo]]),Tabela1[Fechamento])</f>
        <v>30.18</v>
      </c>
      <c r="K235" s="61">
        <f>SUMPRODUCT(N(Tabela17[Código]=Tabela2[[#This Row],[Ativo]]),Tabela17[Fechamento])</f>
        <v>0</v>
      </c>
    </row>
    <row r="236" spans="1:13">
      <c r="A236" s="4" t="s">
        <v>714</v>
      </c>
      <c r="B236" s="4">
        <v>2012</v>
      </c>
      <c r="C236" s="6">
        <v>94365000</v>
      </c>
      <c r="D236" s="91">
        <f>SUMPRODUCT(N(Tabela3[PAPEL]=Tabela2[[#This Row],[Ativo]]),Tabela3[Total Ações])</f>
        <v>105765903</v>
      </c>
      <c r="E236" s="66">
        <f>(Tabela2[[#This Row],[Lucro Líquido]])/Tabela2[[#This Row],[Total Ações]]</f>
        <v>0.8922062528979684</v>
      </c>
      <c r="F236" s="66">
        <v>0.23760000000000001</v>
      </c>
      <c r="G236" s="45">
        <f>IF(AND(Tabela2[[#This Row],[Dividendo / Ação]]&gt;0,Tabela2[[#This Row],[Lucro por ação]]&gt;0),Tabela2[[#This Row],[Dividendo / Ação]]/Tabela2[[#This Row],[Lucro por ação]],"")</f>
        <v>0.2663061363090129</v>
      </c>
      <c r="H236" s="61">
        <f>MAX(Tabela2[[#This Row],[Cotação 1]],Tabela2[[#This Row],[Cotação 2]])</f>
        <v>3.99</v>
      </c>
      <c r="I236" s="46">
        <f>IF(Tabela2[[#This Row],[Dividendo / Ação]]&gt;0,Tabela2[[#This Row],[Dividendo / Ação]]/Tabela2[[#This Row],[Cotação]],"")</f>
        <v>5.9548872180451129E-2</v>
      </c>
      <c r="J236" s="17">
        <f>SUMPRODUCT(N(Tabela1[Código]=Tabela2[[#This Row],[Ativo]]),Tabela1[Fechamento])</f>
        <v>0</v>
      </c>
      <c r="K236" s="17">
        <f>SUMPRODUCT(N(Tabela17[Código]=Tabela2[[#This Row],[Ativo]]),Tabela17[Fechamento])</f>
        <v>3.99</v>
      </c>
    </row>
    <row r="237" spans="1:13">
      <c r="A237" s="4" t="s">
        <v>714</v>
      </c>
      <c r="B237" s="3">
        <v>2011</v>
      </c>
      <c r="C237" s="5">
        <v>76912864.659999996</v>
      </c>
      <c r="D237" s="67">
        <f>SUMPRODUCT(N(Tabela3[PAPEL]=Tabela2[[#This Row],[Ativo]]),Tabela3[Total Ações])</f>
        <v>105765903</v>
      </c>
      <c r="E237" s="65">
        <f>(Tabela2[[#This Row],[Lucro Líquido]])/Tabela2[[#This Row],[Total Ações]]</f>
        <v>0.72719905450057942</v>
      </c>
      <c r="F237" s="65">
        <v>0.17430000000000001</v>
      </c>
      <c r="G237" s="77">
        <f>IF(AND(Tabela2[[#This Row],[Dividendo / Ação]]&gt;0,Tabela2[[#This Row],[Lucro por ação]]&gt;0),Tabela2[[#This Row],[Dividendo / Ação]]/Tabela2[[#This Row],[Lucro por ação]],"")</f>
        <v>0.23968678028563242</v>
      </c>
      <c r="H237" s="60">
        <f>MAX(Tabela2[[#This Row],[Cotação 1]],Tabela2[[#This Row],[Cotação 2]])</f>
        <v>3.99</v>
      </c>
      <c r="I237" s="22">
        <f>IF(Tabela2[[#This Row],[Dividendo / Ação]]&gt;0,Tabela2[[#This Row],[Dividendo / Ação]]/Tabela2[[#This Row],[Cotação]],"")</f>
        <v>4.3684210526315791E-2</v>
      </c>
      <c r="J237" s="7">
        <f>SUMPRODUCT(N(Tabela1[Código]=Tabela2[[#This Row],[Ativo]]),Tabela1[Fechamento])</f>
        <v>0</v>
      </c>
      <c r="K237" s="7">
        <f>SUMPRODUCT(N(Tabela17[Código]=Tabela2[[#This Row],[Ativo]]),Tabela17[Fechamento])</f>
        <v>3.99</v>
      </c>
    </row>
    <row r="238" spans="1:13">
      <c r="A238" s="4" t="s">
        <v>714</v>
      </c>
      <c r="B238" s="3">
        <v>2010</v>
      </c>
      <c r="C238" s="5">
        <v>61174998.299999997</v>
      </c>
      <c r="D238" s="67">
        <f>SUMPRODUCT(N(Tabela3[PAPEL]=Tabela2[[#This Row],[Ativo]]),Tabela3[Total Ações])</f>
        <v>105765903</v>
      </c>
      <c r="E238" s="65">
        <f>(Tabela2[[#This Row],[Lucro Líquido]])/Tabela2[[#This Row],[Total Ações]]</f>
        <v>0.57840000004538317</v>
      </c>
      <c r="F238" s="65">
        <v>0.1163</v>
      </c>
      <c r="G238" s="77">
        <f>IF(AND(Tabela2[[#This Row],[Dividendo / Ação]]&gt;0,Tabela2[[#This Row],[Lucro por ação]]&gt;0),Tabela2[[#This Row],[Dividendo / Ação]]/Tabela2[[#This Row],[Lucro por ação]],"")</f>
        <v>0.20107192252917483</v>
      </c>
      <c r="H238" s="60">
        <f>MAX(Tabela2[[#This Row],[Cotação 1]],Tabela2[[#This Row],[Cotação 2]])</f>
        <v>3.99</v>
      </c>
      <c r="I238" s="22">
        <f>IF(Tabela2[[#This Row],[Dividendo / Ação]]&gt;0,Tabela2[[#This Row],[Dividendo / Ação]]/Tabela2[[#This Row],[Cotação]],"")</f>
        <v>2.9147869674185461E-2</v>
      </c>
      <c r="J238" s="7">
        <f>SUMPRODUCT(N(Tabela1[Código]=Tabela2[[#This Row],[Ativo]]),Tabela1[Fechamento])</f>
        <v>0</v>
      </c>
      <c r="K238" s="7">
        <f>SUMPRODUCT(N(Tabela17[Código]=Tabela2[[#This Row],[Ativo]]),Tabela17[Fechamento])</f>
        <v>3.99</v>
      </c>
    </row>
    <row r="239" spans="1:13">
      <c r="A239" s="4" t="s">
        <v>714</v>
      </c>
      <c r="B239" s="4">
        <v>2009</v>
      </c>
      <c r="C239" s="6">
        <v>67848826.769999996</v>
      </c>
      <c r="D239" s="91">
        <f>SUMPRODUCT(N(Tabela3[PAPEL]=Tabela2[[#This Row],[Ativo]]),Tabela3[Total Ações])</f>
        <v>105765903</v>
      </c>
      <c r="E239" s="66">
        <f>(Tabela2[[#This Row],[Lucro Líquido]])/Tabela2[[#This Row],[Total Ações]]</f>
        <v>0.64149999995745322</v>
      </c>
      <c r="F239" s="66">
        <v>0.16420000000000001</v>
      </c>
      <c r="G239" s="45">
        <f>IF(AND(Tabela2[[#This Row],[Dividendo / Ação]]&gt;0,Tabela2[[#This Row],[Lucro por ação]]&gt;0),Tabela2[[#This Row],[Dividendo / Ação]]/Tabela2[[#This Row],[Lucro por ação]],"")</f>
        <v>0.25596258770208946</v>
      </c>
      <c r="H239" s="61">
        <f>MAX(Tabela2[[#This Row],[Cotação 1]],Tabela2[[#This Row],[Cotação 2]])</f>
        <v>3.99</v>
      </c>
      <c r="I239" s="46">
        <f>IF(Tabela2[[#This Row],[Dividendo / Ação]]&gt;0,Tabela2[[#This Row],[Dividendo / Ação]]/Tabela2[[#This Row],[Cotação]],"")</f>
        <v>4.1152882205513788E-2</v>
      </c>
      <c r="J239" s="17">
        <f>SUMPRODUCT(N(Tabela1[Código]=Tabela2[[#This Row],[Ativo]]),Tabela1[Fechamento])</f>
        <v>0</v>
      </c>
      <c r="K239" s="17">
        <f>SUMPRODUCT(N(Tabela17[Código]=Tabela2[[#This Row],[Ativo]]),Tabela17[Fechamento])</f>
        <v>3.99</v>
      </c>
    </row>
    <row r="240" spans="1:13">
      <c r="A240" s="4" t="s">
        <v>715</v>
      </c>
      <c r="B240" s="4">
        <v>2012</v>
      </c>
      <c r="C240" s="6">
        <v>94365000</v>
      </c>
      <c r="D240" s="91">
        <f>SUMPRODUCT(N(Tabela3[PAPEL]=Tabela2[[#This Row],[Ativo]]),Tabela3[Total Ações])</f>
        <v>105765903</v>
      </c>
      <c r="E240" s="66">
        <f>(Tabela2[[#This Row],[Lucro Líquido]])/Tabela2[[#This Row],[Total Ações]]</f>
        <v>0.8922062528979684</v>
      </c>
      <c r="F240" s="66">
        <v>0.26429999999999998</v>
      </c>
      <c r="G240" s="45">
        <f>IF(AND(Tabela2[[#This Row],[Dividendo / Ação]]&gt;0,Tabela2[[#This Row],[Lucro por ação]]&gt;0),Tabela2[[#This Row],[Dividendo / Ação]]/Tabela2[[#This Row],[Lucro por ação]],"")</f>
        <v>0.29623195213161657</v>
      </c>
      <c r="H240" s="61">
        <f>MAX(Tabela2[[#This Row],[Cotação 1]],Tabela2[[#This Row],[Cotação 2]])</f>
        <v>3.9</v>
      </c>
      <c r="I240" s="46">
        <f>IF(Tabela2[[#This Row],[Dividendo / Ação]]&gt;0,Tabela2[[#This Row],[Dividendo / Ação]]/Tabela2[[#This Row],[Cotação]],"")</f>
        <v>6.7769230769230762E-2</v>
      </c>
      <c r="J240" s="17">
        <f>SUMPRODUCT(N(Tabela1[Código]=Tabela2[[#This Row],[Ativo]]),Tabela1[Fechamento])</f>
        <v>0</v>
      </c>
      <c r="K240" s="17">
        <f>SUMPRODUCT(N(Tabela17[Código]=Tabela2[[#This Row],[Ativo]]),Tabela17[Fechamento])</f>
        <v>3.9</v>
      </c>
    </row>
    <row r="241" spans="1:13">
      <c r="A241" s="4" t="s">
        <v>715</v>
      </c>
      <c r="B241" s="4">
        <v>2011</v>
      </c>
      <c r="C241" s="5">
        <v>76912864.659999996</v>
      </c>
      <c r="D241" s="91">
        <f>SUMPRODUCT(N(Tabela3[PAPEL]=Tabela2[[#This Row],[Ativo]]),Tabela3[Total Ações])</f>
        <v>105765903</v>
      </c>
      <c r="E241" s="66">
        <f>(Tabela2[[#This Row],[Lucro Líquido]])/Tabela2[[#This Row],[Total Ações]]</f>
        <v>0.72719905450057942</v>
      </c>
      <c r="F241" s="66">
        <v>0.2402</v>
      </c>
      <c r="G241" s="45">
        <f>IF(AND(Tabela2[[#This Row],[Dividendo / Ação]]&gt;0,Tabela2[[#This Row],[Lucro por ação]]&gt;0),Tabela2[[#This Row],[Dividendo / Ação]]/Tabela2[[#This Row],[Lucro por ação]],"")</f>
        <v>0.33030846026740618</v>
      </c>
      <c r="H241" s="61">
        <f>MAX(Tabela2[[#This Row],[Cotação 1]],Tabela2[[#This Row],[Cotação 2]])</f>
        <v>3.9</v>
      </c>
      <c r="I241" s="46">
        <f>IF(Tabela2[[#This Row],[Dividendo / Ação]]&gt;0,Tabela2[[#This Row],[Dividendo / Ação]]/Tabela2[[#This Row],[Cotação]],"")</f>
        <v>6.158974358974359E-2</v>
      </c>
      <c r="J241" s="17">
        <f>SUMPRODUCT(N(Tabela1[Código]=Tabela2[[#This Row],[Ativo]]),Tabela1[Fechamento])</f>
        <v>0</v>
      </c>
      <c r="K241" s="17">
        <f>SUMPRODUCT(N(Tabela17[Código]=Tabela2[[#This Row],[Ativo]]),Tabela17[Fechamento])</f>
        <v>3.9</v>
      </c>
    </row>
    <row r="242" spans="1:13">
      <c r="A242" s="4" t="s">
        <v>715</v>
      </c>
      <c r="B242" s="4">
        <v>2010</v>
      </c>
      <c r="C242" s="5">
        <v>61174998.299999997</v>
      </c>
      <c r="D242" s="91">
        <f>SUMPRODUCT(N(Tabela3[PAPEL]=Tabela2[[#This Row],[Ativo]]),Tabela3[Total Ações])</f>
        <v>105765903</v>
      </c>
      <c r="E242" s="66">
        <f>(Tabela2[[#This Row],[Lucro Líquido]])/Tabela2[[#This Row],[Total Ações]]</f>
        <v>0.57840000004538317</v>
      </c>
      <c r="F242" s="66">
        <v>0.2198</v>
      </c>
      <c r="G242" s="45">
        <f>IF(AND(Tabela2[[#This Row],[Dividendo / Ação]]&gt;0,Tabela2[[#This Row],[Lucro por ação]]&gt;0),Tabela2[[#This Row],[Dividendo / Ação]]/Tabela2[[#This Row],[Lucro por ação]],"")</f>
        <v>0.38001383122882737</v>
      </c>
      <c r="H242" s="61">
        <f>MAX(Tabela2[[#This Row],[Cotação 1]],Tabela2[[#This Row],[Cotação 2]])</f>
        <v>3.9</v>
      </c>
      <c r="I242" s="46">
        <f>IF(Tabela2[[#This Row],[Dividendo / Ação]]&gt;0,Tabela2[[#This Row],[Dividendo / Ação]]/Tabela2[[#This Row],[Cotação]],"")</f>
        <v>5.6358974358974356E-2</v>
      </c>
      <c r="J242" s="17">
        <f>SUMPRODUCT(N(Tabela1[Código]=Tabela2[[#This Row],[Ativo]]),Tabela1[Fechamento])</f>
        <v>0</v>
      </c>
      <c r="K242" s="17">
        <f>SUMPRODUCT(N(Tabela17[Código]=Tabela2[[#This Row],[Ativo]]),Tabela17[Fechamento])</f>
        <v>3.9</v>
      </c>
    </row>
    <row r="243" spans="1:13">
      <c r="A243" s="4" t="s">
        <v>715</v>
      </c>
      <c r="B243" s="4">
        <v>2009</v>
      </c>
      <c r="C243" s="6">
        <v>67848826.769999996</v>
      </c>
      <c r="D243" s="91">
        <f>SUMPRODUCT(N(Tabela3[PAPEL]=Tabela2[[#This Row],[Ativo]]),Tabela3[Total Ações])</f>
        <v>105765903</v>
      </c>
      <c r="E243" s="66">
        <f>(Tabela2[[#This Row],[Lucro Líquido]])/Tabela2[[#This Row],[Total Ações]]</f>
        <v>0.64149999995745322</v>
      </c>
      <c r="F243" s="66">
        <v>0.19839999999999999</v>
      </c>
      <c r="G243" s="45">
        <f>IF(AND(Tabela2[[#This Row],[Dividendo / Ação]]&gt;0,Tabela2[[#This Row],[Lucro por ação]]&gt;0),Tabela2[[#This Row],[Dividendo / Ação]]/Tabela2[[#This Row],[Lucro por ação]],"")</f>
        <v>0.30927513641957699</v>
      </c>
      <c r="H243" s="61">
        <f>MAX(Tabela2[[#This Row],[Cotação 1]],Tabela2[[#This Row],[Cotação 2]])</f>
        <v>3.9</v>
      </c>
      <c r="I243" s="46">
        <f>IF(Tabela2[[#This Row],[Dividendo / Ação]]&gt;0,Tabela2[[#This Row],[Dividendo / Ação]]/Tabela2[[#This Row],[Cotação]],"")</f>
        <v>5.087179487179487E-2</v>
      </c>
      <c r="J243" s="17">
        <f>SUMPRODUCT(N(Tabela1[Código]=Tabela2[[#This Row],[Ativo]]),Tabela1[Fechamento])</f>
        <v>0</v>
      </c>
      <c r="K243" s="17">
        <f>SUMPRODUCT(N(Tabela17[Código]=Tabela2[[#This Row],[Ativo]]),Tabela17[Fechamento])</f>
        <v>3.9</v>
      </c>
    </row>
    <row r="244" spans="1:13">
      <c r="A244" s="14" t="s">
        <v>302</v>
      </c>
      <c r="B244" s="3">
        <v>2012</v>
      </c>
      <c r="C244" s="5">
        <v>13717907.74</v>
      </c>
      <c r="D244" s="62">
        <f>SUMPRODUCT(N(Tabela3[PAPEL]=Tabela2[[#This Row],[Ativo]]),Tabela3[Total Ações])</f>
        <v>7680000</v>
      </c>
      <c r="E244" s="65">
        <f>(Tabela2[[#This Row],[Lucro Líquido]])/Tabela2[[#This Row],[Total Ações]]</f>
        <v>1.7861859036458334</v>
      </c>
      <c r="F244" s="65">
        <v>1.24</v>
      </c>
      <c r="G244" s="22">
        <f>IF(AND(Tabela2[[#This Row],[Dividendo / Ação]]&gt;0,Tabela2[[#This Row],[Lucro por ação]]&gt;0),Tabela2[[#This Row],[Dividendo / Ação]]/Tabela2[[#This Row],[Lucro por ação]],"")</f>
        <v>0.69421665318766745</v>
      </c>
      <c r="H244" s="51">
        <f>MAX(Tabela2[[#This Row],[Cotação 1]],Tabela2[[#This Row],[Cotação 2]])</f>
        <v>30.01</v>
      </c>
      <c r="I244" s="18">
        <f>IF(Tabela2[[#This Row],[Dividendo / Ação]]&gt;0,Tabela2[[#This Row],[Dividendo / Ação]]/Tabela2[[#This Row],[Cotação]],"")</f>
        <v>4.1319560146617793E-2</v>
      </c>
      <c r="J244" s="7">
        <f>SUMPRODUCT(N(Tabela1[Código]=Tabela2[[#This Row],[Ativo]]),Tabela1[Fechamento])</f>
        <v>0</v>
      </c>
      <c r="K244" s="7">
        <f>SUMPRODUCT(N(Tabela17[Código]=Tabela2[[#This Row],[Ativo]]),Tabela17[Fechamento])</f>
        <v>30.01</v>
      </c>
    </row>
    <row r="245" spans="1:13">
      <c r="A245" s="14" t="s">
        <v>302</v>
      </c>
      <c r="B245" s="3">
        <v>2011</v>
      </c>
      <c r="C245" s="5">
        <v>28253000</v>
      </c>
      <c r="D245" s="62">
        <f>SUMPRODUCT(N(Tabela3[PAPEL]=Tabela2[[#This Row],[Ativo]]),Tabela3[Total Ações])</f>
        <v>7680000</v>
      </c>
      <c r="E245" s="65">
        <f>(Tabela2[[#This Row],[Lucro Líquido]])/Tabela2[[#This Row],[Total Ações]]</f>
        <v>3.6787760416666666</v>
      </c>
      <c r="F245" s="65">
        <v>2.48</v>
      </c>
      <c r="G245" s="22">
        <f>IF(AND(Tabela2[[#This Row],[Dividendo / Ação]]&gt;0,Tabela2[[#This Row],[Lucro por ação]]&gt;0),Tabela2[[#This Row],[Dividendo / Ação]]/Tabela2[[#This Row],[Lucro por ação]],"")</f>
        <v>0.67413725976002548</v>
      </c>
      <c r="H245" s="51">
        <f>MAX(Tabela2[[#This Row],[Cotação 1]],Tabela2[[#This Row],[Cotação 2]])</f>
        <v>30.01</v>
      </c>
      <c r="I245" s="18">
        <f>IF(Tabela2[[#This Row],[Dividendo / Ação]]&gt;0,Tabela2[[#This Row],[Dividendo / Ação]]/Tabela2[[#This Row],[Cotação]],"")</f>
        <v>8.2639120293235585E-2</v>
      </c>
      <c r="J245" s="7">
        <f>SUMPRODUCT(N(Tabela1[Código]=Tabela2[[#This Row],[Ativo]]),Tabela1[Fechamento])</f>
        <v>0</v>
      </c>
      <c r="K245" s="7">
        <f>SUMPRODUCT(N(Tabela17[Código]=Tabela2[[#This Row],[Ativo]]),Tabela17[Fechamento])</f>
        <v>30.01</v>
      </c>
    </row>
    <row r="246" spans="1:13">
      <c r="A246" s="14" t="s">
        <v>302</v>
      </c>
      <c r="B246" s="3">
        <v>2010</v>
      </c>
      <c r="C246" s="5">
        <v>23457000</v>
      </c>
      <c r="D246" s="62">
        <f>SUMPRODUCT(N(Tabela3[PAPEL]=Tabela2[[#This Row],[Ativo]]),Tabela3[Total Ações])</f>
        <v>7680000</v>
      </c>
      <c r="E246" s="65">
        <f>(Tabela2[[#This Row],[Lucro Líquido]])/Tabela2[[#This Row],[Total Ações]]</f>
        <v>3.0542968749999999</v>
      </c>
      <c r="F246" s="65">
        <v>2.5</v>
      </c>
      <c r="G246" s="22">
        <f>IF(AND(Tabela2[[#This Row],[Dividendo / Ação]]&gt;0,Tabela2[[#This Row],[Lucro por ação]]&gt;0),Tabela2[[#This Row],[Dividendo / Ação]]/Tabela2[[#This Row],[Lucro por ação]],"")</f>
        <v>0.81851899219849089</v>
      </c>
      <c r="H246" s="51">
        <f>MAX(Tabela2[[#This Row],[Cotação 1]],Tabela2[[#This Row],[Cotação 2]])</f>
        <v>30.01</v>
      </c>
      <c r="I246" s="18">
        <f>IF(Tabela2[[#This Row],[Dividendo / Ação]]&gt;0,Tabela2[[#This Row],[Dividendo / Ação]]/Tabela2[[#This Row],[Cotação]],"")</f>
        <v>8.3305564811729418E-2</v>
      </c>
      <c r="J246" s="7">
        <f>SUMPRODUCT(N(Tabela1[Código]=Tabela2[[#This Row],[Ativo]]),Tabela1[Fechamento])</f>
        <v>0</v>
      </c>
      <c r="K246" s="7">
        <f>SUMPRODUCT(N(Tabela17[Código]=Tabela2[[#This Row],[Ativo]]),Tabela17[Fechamento])</f>
        <v>30.01</v>
      </c>
      <c r="M246" s="5"/>
    </row>
    <row r="247" spans="1:13">
      <c r="A247" s="14" t="s">
        <v>303</v>
      </c>
      <c r="B247" s="4">
        <v>2012</v>
      </c>
      <c r="C247" s="5">
        <v>13717907.74</v>
      </c>
      <c r="D247" s="8">
        <f>SUMPRODUCT(N(Tabela3[PAPEL]=Tabela2[[#This Row],[Ativo]]),Tabela3[Total Ações])</f>
        <v>7680000</v>
      </c>
      <c r="E247" s="66">
        <f>(Tabela2[[#This Row],[Lucro Líquido]])/Tabela2[[#This Row],[Total Ações]]</f>
        <v>1.7861859036458334</v>
      </c>
      <c r="F247" s="66">
        <v>1.37</v>
      </c>
      <c r="G247" s="46">
        <f>IF(AND(Tabela2[[#This Row],[Dividendo / Ação]]&gt;0,Tabela2[[#This Row],[Lucro por ação]]&gt;0),Tabela2[[#This Row],[Dividendo / Ação]]/Tabela2[[#This Row],[Lucro por ação]],"")</f>
        <v>0.7669974313444391</v>
      </c>
      <c r="H247" s="13">
        <f>MAX(Tabela2[[#This Row],[Cotação 1]],Tabela2[[#This Row],[Cotação 2]])</f>
        <v>30.05</v>
      </c>
      <c r="I247" s="19">
        <f>IF(Tabela2[[#This Row],[Dividendo / Ação]]&gt;0,Tabela2[[#This Row],[Dividendo / Ação]]/Tabela2[[#This Row],[Cotação]],"")</f>
        <v>4.5590682196339438E-2</v>
      </c>
      <c r="J247" s="17">
        <f>SUMPRODUCT(N(Tabela1[Código]=Tabela2[[#This Row],[Ativo]]),Tabela1[Fechamento])</f>
        <v>0</v>
      </c>
      <c r="K247" s="17">
        <f>SUMPRODUCT(N(Tabela17[Código]=Tabela2[[#This Row],[Ativo]]),Tabela17[Fechamento])</f>
        <v>30.05</v>
      </c>
    </row>
    <row r="248" spans="1:13">
      <c r="A248" s="14" t="s">
        <v>303</v>
      </c>
      <c r="B248" s="4">
        <v>2011</v>
      </c>
      <c r="C248" s="5">
        <v>28253000</v>
      </c>
      <c r="D248" s="8">
        <f>SUMPRODUCT(N(Tabela3[PAPEL]=Tabela2[[#This Row],[Ativo]]),Tabela3[Total Ações])</f>
        <v>7680000</v>
      </c>
      <c r="E248" s="66">
        <f>(Tabela2[[#This Row],[Lucro Líquido]])/Tabela2[[#This Row],[Total Ações]]</f>
        <v>3.6787760416666666</v>
      </c>
      <c r="F248" s="66">
        <v>2.74</v>
      </c>
      <c r="G248" s="46">
        <f>IF(AND(Tabela2[[#This Row],[Dividendo / Ação]]&gt;0,Tabela2[[#This Row],[Lucro por ação]]&gt;0),Tabela2[[#This Row],[Dividendo / Ação]]/Tabela2[[#This Row],[Lucro por ação]],"")</f>
        <v>0.7448129402187379</v>
      </c>
      <c r="H248" s="13">
        <f>MAX(Tabela2[[#This Row],[Cotação 1]],Tabela2[[#This Row],[Cotação 2]])</f>
        <v>30.05</v>
      </c>
      <c r="I248" s="19">
        <f>IF(Tabela2[[#This Row],[Dividendo / Ação]]&gt;0,Tabela2[[#This Row],[Dividendo / Ação]]/Tabela2[[#This Row],[Cotação]],"")</f>
        <v>9.1181364392678876E-2</v>
      </c>
      <c r="J248" s="17">
        <f>SUMPRODUCT(N(Tabela1[Código]=Tabela2[[#This Row],[Ativo]]),Tabela1[Fechamento])</f>
        <v>0</v>
      </c>
      <c r="K248" s="17">
        <f>SUMPRODUCT(N(Tabela17[Código]=Tabela2[[#This Row],[Ativo]]),Tabela17[Fechamento])</f>
        <v>30.05</v>
      </c>
    </row>
    <row r="249" spans="1:13">
      <c r="A249" s="14" t="s">
        <v>303</v>
      </c>
      <c r="B249" s="4">
        <v>2010</v>
      </c>
      <c r="C249" s="5">
        <v>23457000</v>
      </c>
      <c r="D249" s="8">
        <f>SUMPRODUCT(N(Tabela3[PAPEL]=Tabela2[[#This Row],[Ativo]]),Tabela3[Total Ações])</f>
        <v>7680000</v>
      </c>
      <c r="E249" s="66">
        <f>(Tabela2[[#This Row],[Lucro Líquido]])/Tabela2[[#This Row],[Total Ações]]</f>
        <v>3.0542968749999999</v>
      </c>
      <c r="F249" s="66">
        <v>2.75</v>
      </c>
      <c r="G249" s="46">
        <f>IF(AND(Tabela2[[#This Row],[Dividendo / Ação]]&gt;0,Tabela2[[#This Row],[Lucro por ação]]&gt;0),Tabela2[[#This Row],[Dividendo / Ação]]/Tabela2[[#This Row],[Lucro por ação]],"")</f>
        <v>0.90037089141833992</v>
      </c>
      <c r="H249" s="13">
        <f>MAX(Tabela2[[#This Row],[Cotação 1]],Tabela2[[#This Row],[Cotação 2]])</f>
        <v>30.05</v>
      </c>
      <c r="I249" s="19">
        <f>IF(Tabela2[[#This Row],[Dividendo / Ação]]&gt;0,Tabela2[[#This Row],[Dividendo / Ação]]/Tabela2[[#This Row],[Cotação]],"")</f>
        <v>9.1514143094841932E-2</v>
      </c>
      <c r="J249" s="17">
        <f>SUMPRODUCT(N(Tabela1[Código]=Tabela2[[#This Row],[Ativo]]),Tabela1[Fechamento])</f>
        <v>0</v>
      </c>
      <c r="K249" s="17">
        <f>SUMPRODUCT(N(Tabela17[Código]=Tabela2[[#This Row],[Ativo]]),Tabela17[Fechamento])</f>
        <v>30.05</v>
      </c>
    </row>
    <row r="250" spans="1:13">
      <c r="A250" s="3" t="s">
        <v>332</v>
      </c>
      <c r="B250" s="3">
        <v>2012</v>
      </c>
      <c r="C250" s="5">
        <v>638200000</v>
      </c>
      <c r="D250" s="62">
        <f>SUMPRODUCT(N(Tabela3[PAPEL]=Tabela2[[#This Row],[Ativo]]),Tabela3[Total Ações])</f>
        <v>407214353</v>
      </c>
      <c r="E250" s="65">
        <f>(Tabela2[[#This Row],[Lucro Líquido]])/Tabela2[[#This Row],[Total Ações]]</f>
        <v>1.5672335596677753</v>
      </c>
      <c r="F250" s="65">
        <v>0.74068530099999996</v>
      </c>
      <c r="G250" s="22">
        <f>IF(AND(Tabela2[[#This Row],[Dividendo / Ação]]&gt;0,Tabela2[[#This Row],[Lucro por ação]]&gt;0),Tabela2[[#This Row],[Dividendo / Ação]]/Tabela2[[#This Row],[Lucro por ação]],"")</f>
        <v>0.4726068405254234</v>
      </c>
      <c r="H250" s="51">
        <f>MAX(Tabela2[[#This Row],[Cotação 1]],Tabela2[[#This Row],[Cotação 2]])</f>
        <v>37.42</v>
      </c>
      <c r="I250" s="18">
        <f>IF(Tabela2[[#This Row],[Dividendo / Ação]]&gt;0,Tabela2[[#This Row],[Dividendo / Ação]]/Tabela2[[#This Row],[Cotação]],"")</f>
        <v>1.9793834874398716E-2</v>
      </c>
      <c r="J250" s="7">
        <f>SUMPRODUCT(N(Tabela1[Código]=Tabela2[[#This Row],[Ativo]]),Tabela1[Fechamento])</f>
        <v>0</v>
      </c>
      <c r="K250" s="7">
        <f>SUMPRODUCT(N(Tabela17[Código]=Tabela2[[#This Row],[Ativo]]),Tabela17[Fechamento])</f>
        <v>37.42</v>
      </c>
    </row>
    <row r="251" spans="1:13">
      <c r="A251" s="3" t="s">
        <v>332</v>
      </c>
      <c r="B251" s="3">
        <v>2011</v>
      </c>
      <c r="C251" s="5">
        <v>2605800000</v>
      </c>
      <c r="D251" s="62">
        <f>SUMPRODUCT(N(Tabela3[PAPEL]=Tabela2[[#This Row],[Ativo]]),Tabela3[Total Ações])</f>
        <v>407214353</v>
      </c>
      <c r="E251" s="65">
        <f>(Tabela2[[#This Row],[Lucro Líquido]])/Tabela2[[#This Row],[Total Ações]]</f>
        <v>6.399086821971621</v>
      </c>
      <c r="F251" s="65">
        <v>0.61834152200000003</v>
      </c>
      <c r="G251" s="22">
        <f>IF(AND(Tabela2[[#This Row],[Dividendo / Ação]]&gt;0,Tabela2[[#This Row],[Lucro por ação]]&gt;0),Tabela2[[#This Row],[Dividendo / Ação]]/Tabela2[[#This Row],[Lucro por ação]],"")</f>
        <v>9.6629650323994662E-2</v>
      </c>
      <c r="H251" s="51">
        <f>MAX(Tabela2[[#This Row],[Cotação 1]],Tabela2[[#This Row],[Cotação 2]])</f>
        <v>37.42</v>
      </c>
      <c r="I251" s="18">
        <f>IF(Tabela2[[#This Row],[Dividendo / Ação]]&gt;0,Tabela2[[#This Row],[Dividendo / Ação]]/Tabela2[[#This Row],[Cotação]],"")</f>
        <v>1.6524359219668626E-2</v>
      </c>
      <c r="J251" s="7">
        <f>SUMPRODUCT(N(Tabela1[Código]=Tabela2[[#This Row],[Ativo]]),Tabela1[Fechamento])</f>
        <v>0</v>
      </c>
      <c r="K251" s="7">
        <f>SUMPRODUCT(N(Tabela17[Código]=Tabela2[[#This Row],[Ativo]]),Tabela17[Fechamento])</f>
        <v>37.42</v>
      </c>
    </row>
    <row r="252" spans="1:13">
      <c r="A252" s="3" t="s">
        <v>332</v>
      </c>
      <c r="B252" s="3">
        <v>2010</v>
      </c>
      <c r="C252" s="5">
        <v>771500000</v>
      </c>
      <c r="D252" s="62">
        <f>SUMPRODUCT(N(Tabela3[PAPEL]=Tabela2[[#This Row],[Ativo]]),Tabela3[Total Ações])</f>
        <v>407214353</v>
      </c>
      <c r="E252" s="65">
        <f>(Tabela2[[#This Row],[Lucro Líquido]])/Tabela2[[#This Row],[Total Ações]]</f>
        <v>1.8945795852141782</v>
      </c>
      <c r="F252" s="65">
        <v>0.49227156500000002</v>
      </c>
      <c r="G252" s="22">
        <f>IF(AND(Tabela2[[#This Row],[Dividendo / Ação]]&gt;0,Tabela2[[#This Row],[Lucro por ação]]&gt;0),Tabela2[[#This Row],[Dividendo / Ação]]/Tabela2[[#This Row],[Lucro por ação]],"")</f>
        <v>0.25983155779879774</v>
      </c>
      <c r="H252" s="51">
        <f>MAX(Tabela2[[#This Row],[Cotação 1]],Tabela2[[#This Row],[Cotação 2]])</f>
        <v>37.42</v>
      </c>
      <c r="I252" s="18">
        <f>IF(Tabela2[[#This Row],[Dividendo / Ação]]&gt;0,Tabela2[[#This Row],[Dividendo / Ação]]/Tabela2[[#This Row],[Cotação]],"")</f>
        <v>1.3155306386958845E-2</v>
      </c>
      <c r="J252" s="7">
        <f>SUMPRODUCT(N(Tabela1[Código]=Tabela2[[#This Row],[Ativo]]),Tabela1[Fechamento])</f>
        <v>0</v>
      </c>
      <c r="K252" s="7">
        <f>SUMPRODUCT(N(Tabela17[Código]=Tabela2[[#This Row],[Ativo]]),Tabela17[Fechamento])</f>
        <v>37.42</v>
      </c>
    </row>
    <row r="253" spans="1:13">
      <c r="A253" s="15" t="s">
        <v>203</v>
      </c>
      <c r="B253" s="4">
        <v>2012</v>
      </c>
      <c r="C253" s="6">
        <v>486927674.55000001</v>
      </c>
      <c r="D253" s="8">
        <f>SUMPRODUCT(N(Tabela3[PAPEL]=Tabela2[[#This Row],[Ativo]]),Tabela3[Total Ações])</f>
        <v>119684430</v>
      </c>
      <c r="E253" s="66">
        <f>(Tabela2[[#This Row],[Lucro Líquido]])/Tabela2[[#This Row],[Total Ações]]</f>
        <v>4.0684295739220211</v>
      </c>
      <c r="F253" s="66">
        <v>1.3564000000000001</v>
      </c>
      <c r="G253" s="46">
        <f>IF(AND(Tabela2[[#This Row],[Dividendo / Ação]]&gt;0,Tabela2[[#This Row],[Lucro por ação]]&gt;0),Tabela2[[#This Row],[Dividendo / Ação]]/Tabela2[[#This Row],[Lucro por ação]],"")</f>
        <v>0.33339645564822007</v>
      </c>
      <c r="H253" s="6">
        <f>MAX(Tabela2[[#This Row],[Cotação 1]],Tabela2[[#This Row],[Cotação 2]])</f>
        <v>35.380000000000003</v>
      </c>
      <c r="I253" s="19">
        <f>IF(Tabela2[[#This Row],[Dividendo / Ação]]&gt;0,Tabela2[[#This Row],[Dividendo / Ação]]/Tabela2[[#This Row],[Cotação]],"")</f>
        <v>3.8338044092707746E-2</v>
      </c>
      <c r="J253" s="61">
        <f>SUMPRODUCT(N(Tabela1[Código]=Tabela2[[#This Row],[Ativo]]),Tabela1[Fechamento])</f>
        <v>35.380000000000003</v>
      </c>
      <c r="K253" s="61">
        <f>SUMPRODUCT(N(Tabela17[Código]=Tabela2[[#This Row],[Ativo]]),Tabela17[Fechamento])</f>
        <v>0</v>
      </c>
    </row>
    <row r="254" spans="1:13">
      <c r="A254" s="15" t="s">
        <v>203</v>
      </c>
      <c r="B254" s="4">
        <v>2011</v>
      </c>
      <c r="C254" s="6">
        <v>470437900</v>
      </c>
      <c r="D254" s="8">
        <f>SUMPRODUCT(N(Tabela3[PAPEL]=Tabela2[[#This Row],[Ativo]]),Tabela3[Total Ações])</f>
        <v>119684430</v>
      </c>
      <c r="E254" s="66">
        <f>(Tabela2[[#This Row],[Lucro Líquido]])/Tabela2[[#This Row],[Total Ações]]</f>
        <v>3.9306524666575258</v>
      </c>
      <c r="F254" s="66">
        <v>1.33</v>
      </c>
      <c r="G254" s="46">
        <f>IF(AND(Tabela2[[#This Row],[Dividendo / Ação]]&gt;0,Tabela2[[#This Row],[Lucro por ação]]&gt;0),Tabela2[[#This Row],[Dividendo / Ação]]/Tabela2[[#This Row],[Lucro por ação]],"")</f>
        <v>0.33836621560465263</v>
      </c>
      <c r="H254" s="6">
        <f>MAX(Tabela2[[#This Row],[Cotação 1]],Tabela2[[#This Row],[Cotação 2]])</f>
        <v>35.380000000000003</v>
      </c>
      <c r="I254" s="19">
        <f>IF(Tabela2[[#This Row],[Dividendo / Ação]]&gt;0,Tabela2[[#This Row],[Dividendo / Ação]]/Tabela2[[#This Row],[Cotação]],"")</f>
        <v>3.7591859807801019E-2</v>
      </c>
      <c r="J254" s="61">
        <f>SUMPRODUCT(N(Tabela1[Código]=Tabela2[[#This Row],[Ativo]]),Tabela1[Fechamento])</f>
        <v>35.380000000000003</v>
      </c>
      <c r="K254" s="61">
        <f>SUMPRODUCT(N(Tabela17[Código]=Tabela2[[#This Row],[Ativo]]),Tabela17[Fechamento])</f>
        <v>0</v>
      </c>
    </row>
    <row r="255" spans="1:13">
      <c r="A255" s="15" t="s">
        <v>203</v>
      </c>
      <c r="B255" s="4">
        <v>2010</v>
      </c>
      <c r="C255" s="6">
        <v>677124500</v>
      </c>
      <c r="D255" s="8">
        <f>SUMPRODUCT(N(Tabela3[PAPEL]=Tabela2[[#This Row],[Ativo]]),Tabela3[Total Ações])</f>
        <v>119684430</v>
      </c>
      <c r="E255" s="66">
        <f>(Tabela2[[#This Row],[Lucro Líquido]])/Tabela2[[#This Row],[Total Ações]]</f>
        <v>5.6575821934398656</v>
      </c>
      <c r="F255" s="66">
        <v>1.95</v>
      </c>
      <c r="G255" s="46">
        <f>IF(AND(Tabela2[[#This Row],[Dividendo / Ação]]&gt;0,Tabela2[[#This Row],[Lucro por ação]]&gt;0),Tabela2[[#This Row],[Dividendo / Ação]]/Tabela2[[#This Row],[Lucro por ação]],"")</f>
        <v>0.34467020245169089</v>
      </c>
      <c r="H255" s="6">
        <f>MAX(Tabela2[[#This Row],[Cotação 1]],Tabela2[[#This Row],[Cotação 2]])</f>
        <v>35.380000000000003</v>
      </c>
      <c r="I255" s="19">
        <f>IF(Tabela2[[#This Row],[Dividendo / Ação]]&gt;0,Tabela2[[#This Row],[Dividendo / Ação]]/Tabela2[[#This Row],[Cotação]],"")</f>
        <v>5.5115884680610509E-2</v>
      </c>
      <c r="J255" s="61">
        <f>SUMPRODUCT(N(Tabela1[Código]=Tabela2[[#This Row],[Ativo]]),Tabela1[Fechamento])</f>
        <v>35.380000000000003</v>
      </c>
      <c r="K255" s="61">
        <f>SUMPRODUCT(N(Tabela17[Código]=Tabela2[[#This Row],[Ativo]]),Tabela17[Fechamento])</f>
        <v>0</v>
      </c>
    </row>
    <row r="256" spans="1:13">
      <c r="A256" s="15" t="s">
        <v>203</v>
      </c>
      <c r="B256" s="4">
        <v>2009</v>
      </c>
      <c r="C256" s="6">
        <v>525306600</v>
      </c>
      <c r="D256" s="8">
        <f>SUMPRODUCT(N(Tabela3[PAPEL]=Tabela2[[#This Row],[Ativo]]),Tabela3[Total Ações])</f>
        <v>119684430</v>
      </c>
      <c r="E256" s="66">
        <f>(Tabela2[[#This Row],[Lucro Líquido]])/Tabela2[[#This Row],[Total Ações]]</f>
        <v>4.3890972284364809</v>
      </c>
      <c r="F256" s="66">
        <v>1.5</v>
      </c>
      <c r="G256" s="46">
        <f>IF(AND(Tabela2[[#This Row],[Dividendo / Ação]]&gt;0,Tabela2[[#This Row],[Lucro por ação]]&gt;0),Tabela2[[#This Row],[Dividendo / Ação]]/Tabela2[[#This Row],[Lucro por ação]],"")</f>
        <v>0.34175592882328149</v>
      </c>
      <c r="H256" s="6">
        <f>MAX(Tabela2[[#This Row],[Cotação 1]],Tabela2[[#This Row],[Cotação 2]])</f>
        <v>35.380000000000003</v>
      </c>
      <c r="I256" s="19">
        <f>IF(Tabela2[[#This Row],[Dividendo / Ação]]&gt;0,Tabela2[[#This Row],[Dividendo / Ação]]/Tabela2[[#This Row],[Cotação]],"")</f>
        <v>4.239683436970039E-2</v>
      </c>
      <c r="J256" s="61">
        <f>SUMPRODUCT(N(Tabela1[Código]=Tabela2[[#This Row],[Ativo]]),Tabela1[Fechamento])</f>
        <v>35.380000000000003</v>
      </c>
      <c r="K256" s="61">
        <f>SUMPRODUCT(N(Tabela17[Código]=Tabela2[[#This Row],[Ativo]]),Tabela17[Fechamento])</f>
        <v>0</v>
      </c>
    </row>
    <row r="257" spans="1:13">
      <c r="A257" s="4" t="s">
        <v>103</v>
      </c>
      <c r="B257" s="4">
        <v>2012</v>
      </c>
      <c r="C257" s="6">
        <v>245872000</v>
      </c>
      <c r="D257" s="8">
        <f>SUMPRODUCT(N(Tabela3[PAPEL]=Tabela2[[#This Row],[Ativo]]),Tabela3[Total Ações])</f>
        <v>168074028</v>
      </c>
      <c r="E257" s="66">
        <f>(Tabela2[[#This Row],[Lucro Líquido]])/Tabela2[[#This Row],[Total Ações]]</f>
        <v>1.4628792022524741</v>
      </c>
      <c r="F257" s="66">
        <v>0.210547822</v>
      </c>
      <c r="G257" s="46">
        <f>IF(AND(Tabela2[[#This Row],[Dividendo / Ação]]&gt;0,Tabela2[[#This Row],[Lucro por ação]]&gt;0),Tabela2[[#This Row],[Dividendo / Ação]]/Tabela2[[#This Row],[Lucro por ação]],"")</f>
        <v>0.14392700482432735</v>
      </c>
      <c r="H257" s="6">
        <f>MAX(Tabela2[[#This Row],[Cotação 1]],Tabela2[[#This Row],[Cotação 2]])</f>
        <v>9.5</v>
      </c>
      <c r="I257" s="19">
        <f>IF(Tabela2[[#This Row],[Dividendo / Ação]]&gt;0,Tabela2[[#This Row],[Dividendo / Ação]]/Tabela2[[#This Row],[Cotação]],"")</f>
        <v>2.2162928631578947E-2</v>
      </c>
      <c r="J257" s="61">
        <f>SUMPRODUCT(N(Tabela1[Código]=Tabela2[[#This Row],[Ativo]]),Tabela1[Fechamento])</f>
        <v>9.5</v>
      </c>
      <c r="K257" s="61">
        <f>SUMPRODUCT(N(Tabela17[Código]=Tabela2[[#This Row],[Ativo]]),Tabela17[Fechamento])</f>
        <v>0</v>
      </c>
    </row>
    <row r="258" spans="1:13">
      <c r="A258" s="4" t="s">
        <v>103</v>
      </c>
      <c r="B258" s="3">
        <v>2011</v>
      </c>
      <c r="C258" s="5">
        <v>232128000</v>
      </c>
      <c r="D258" s="62">
        <f>SUMPRODUCT(N(Tabela3[PAPEL]=Tabela2[[#This Row],[Ativo]]),Tabela3[Total Ações])</f>
        <v>168074028</v>
      </c>
      <c r="E258" s="65">
        <f>(Tabela2[[#This Row],[Lucro Líquido]])/Tabela2[[#This Row],[Total Ações]]</f>
        <v>1.3811057113476213</v>
      </c>
      <c r="F258" s="65">
        <v>1.158632954</v>
      </c>
      <c r="G258" s="22">
        <f>IF(AND(Tabela2[[#This Row],[Dividendo / Ação]]&gt;0,Tabela2[[#This Row],[Lucro por ação]]&gt;0),Tabela2[[#This Row],[Dividendo / Ação]]/Tabela2[[#This Row],[Lucro por ação]],"")</f>
        <v>0.83891692321615097</v>
      </c>
      <c r="H258" s="5">
        <f>MAX(Tabela2[[#This Row],[Cotação 1]],Tabela2[[#This Row],[Cotação 2]])</f>
        <v>9.5</v>
      </c>
      <c r="I258" s="18">
        <f>IF(Tabela2[[#This Row],[Dividendo / Ação]]&gt;0,Tabela2[[#This Row],[Dividendo / Ação]]/Tabela2[[#This Row],[Cotação]],"")</f>
        <v>0.12196136357894737</v>
      </c>
      <c r="J258" s="60">
        <f>SUMPRODUCT(N(Tabela1[Código]=Tabela2[[#This Row],[Ativo]]),Tabela1[Fechamento])</f>
        <v>9.5</v>
      </c>
      <c r="K258" s="60">
        <f>SUMPRODUCT(N(Tabela17[Código]=Tabela2[[#This Row],[Ativo]]),Tabela17[Fechamento])</f>
        <v>0</v>
      </c>
    </row>
    <row r="259" spans="1:13">
      <c r="A259" s="4" t="s">
        <v>103</v>
      </c>
      <c r="B259" s="3">
        <v>2010</v>
      </c>
      <c r="C259" s="5">
        <v>253664000</v>
      </c>
      <c r="D259" s="62">
        <f>SUMPRODUCT(N(Tabela3[PAPEL]=Tabela2[[#This Row],[Ativo]]),Tabela3[Total Ações])</f>
        <v>168074028</v>
      </c>
      <c r="E259" s="65">
        <f>(Tabela2[[#This Row],[Lucro Líquido]])/Tabela2[[#This Row],[Total Ações]]</f>
        <v>1.5092397261996957</v>
      </c>
      <c r="F259" s="65">
        <v>1.1372260759999999</v>
      </c>
      <c r="G259" s="22">
        <f>IF(AND(Tabela2[[#This Row],[Dividendo / Ação]]&gt;0,Tabela2[[#This Row],[Lucro por ação]]&gt;0),Tabela2[[#This Row],[Dividendo / Ação]]/Tabela2[[#This Row],[Lucro por ação]],"")</f>
        <v>0.75350923796815517</v>
      </c>
      <c r="H259" s="5">
        <f>MAX(Tabela2[[#This Row],[Cotação 1]],Tabela2[[#This Row],[Cotação 2]])</f>
        <v>9.5</v>
      </c>
      <c r="I259" s="18">
        <f>IF(Tabela2[[#This Row],[Dividendo / Ação]]&gt;0,Tabela2[[#This Row],[Dividendo / Ação]]/Tabela2[[#This Row],[Cotação]],"")</f>
        <v>0.11970800799999999</v>
      </c>
      <c r="J259" s="60">
        <f>SUMPRODUCT(N(Tabela1[Código]=Tabela2[[#This Row],[Ativo]]),Tabela1[Fechamento])</f>
        <v>9.5</v>
      </c>
      <c r="K259" s="60">
        <f>SUMPRODUCT(N(Tabela17[Código]=Tabela2[[#This Row],[Ativo]]),Tabela17[Fechamento])</f>
        <v>0</v>
      </c>
    </row>
    <row r="260" spans="1:13">
      <c r="A260" s="4" t="s">
        <v>103</v>
      </c>
      <c r="B260" s="3">
        <v>2009</v>
      </c>
      <c r="C260" s="5">
        <v>244788000</v>
      </c>
      <c r="D260" s="62">
        <f>SUMPRODUCT(N(Tabela3[PAPEL]=Tabela2[[#This Row],[Ativo]]),Tabela3[Total Ações])</f>
        <v>168074028</v>
      </c>
      <c r="E260" s="65">
        <f>(Tabela2[[#This Row],[Lucro Líquido]])/Tabela2[[#This Row],[Total Ações]]</f>
        <v>1.4564296632433893</v>
      </c>
      <c r="F260" s="65">
        <v>0.9505576</v>
      </c>
      <c r="G260" s="22">
        <f>IF(AND(Tabela2[[#This Row],[Dividendo / Ação]]&gt;0,Tabela2[[#This Row],[Lucro por ação]]&gt;0),Tabela2[[#This Row],[Dividendo / Ação]]/Tabela2[[#This Row],[Lucro por ação]],"")</f>
        <v>0.65266289474162464</v>
      </c>
      <c r="H260" s="5">
        <f>MAX(Tabela2[[#This Row],[Cotação 1]],Tabela2[[#This Row],[Cotação 2]])</f>
        <v>9.5</v>
      </c>
      <c r="I260" s="18">
        <f>IF(Tabela2[[#This Row],[Dividendo / Ação]]&gt;0,Tabela2[[#This Row],[Dividendo / Ação]]/Tabela2[[#This Row],[Cotação]],"")</f>
        <v>0.1000586947368421</v>
      </c>
      <c r="J260" s="60">
        <f>SUMPRODUCT(N(Tabela1[Código]=Tabela2[[#This Row],[Ativo]]),Tabela1[Fechamento])</f>
        <v>9.5</v>
      </c>
      <c r="K260" s="60">
        <f>SUMPRODUCT(N(Tabela17[Código]=Tabela2[[#This Row],[Ativo]]),Tabela17[Fechamento])</f>
        <v>0</v>
      </c>
    </row>
    <row r="261" spans="1:13">
      <c r="A261" s="4" t="s">
        <v>104</v>
      </c>
      <c r="B261" s="4">
        <v>2012</v>
      </c>
      <c r="C261" s="6">
        <v>245872000</v>
      </c>
      <c r="D261" s="8">
        <f>SUMPRODUCT(N(Tabela3[PAPEL]=Tabela2[[#This Row],[Ativo]]),Tabela3[Total Ações])</f>
        <v>168074028</v>
      </c>
      <c r="E261" s="66">
        <f>(Tabela2[[#This Row],[Lucro Líquido]])/Tabela2[[#This Row],[Total Ações]]</f>
        <v>1.4628792022524741</v>
      </c>
      <c r="F261" s="66">
        <v>0.23160260399999999</v>
      </c>
      <c r="G261" s="46">
        <f>IF(AND(Tabela2[[#This Row],[Dividendo / Ação]]&gt;0,Tabela2[[#This Row],[Lucro por ação]]&gt;0),Tabela2[[#This Row],[Dividendo / Ação]]/Tabela2[[#This Row],[Lucro por ação]],"")</f>
        <v>0.1583197051700434</v>
      </c>
      <c r="H261" s="6">
        <f>MAX(Tabela2[[#This Row],[Cotação 1]],Tabela2[[#This Row],[Cotação 2]])</f>
        <v>10.119999999999999</v>
      </c>
      <c r="I261" s="19">
        <f>IF(Tabela2[[#This Row],[Dividendo / Ação]]&gt;0,Tabela2[[#This Row],[Dividendo / Ação]]/Tabela2[[#This Row],[Cotação]],"")</f>
        <v>2.2885632806324111E-2</v>
      </c>
      <c r="J261" s="61">
        <f>SUMPRODUCT(N(Tabela1[Código]=Tabela2[[#This Row],[Ativo]]),Tabela1[Fechamento])</f>
        <v>10.119999999999999</v>
      </c>
      <c r="K261" s="61">
        <f>SUMPRODUCT(N(Tabela17[Código]=Tabela2[[#This Row],[Ativo]]),Tabela17[Fechamento])</f>
        <v>0</v>
      </c>
    </row>
    <row r="262" spans="1:13">
      <c r="A262" s="4" t="s">
        <v>104</v>
      </c>
      <c r="B262" s="3">
        <v>2011</v>
      </c>
      <c r="C262" s="5">
        <v>232128000</v>
      </c>
      <c r="D262" s="62">
        <f>SUMPRODUCT(N(Tabela3[PAPEL]=Tabela2[[#This Row],[Ativo]]),Tabela3[Total Ações])</f>
        <v>168074028</v>
      </c>
      <c r="E262" s="65">
        <f>(Tabela2[[#This Row],[Lucro Líquido]])/Tabela2[[#This Row],[Total Ações]]</f>
        <v>1.3811057113476213</v>
      </c>
      <c r="F262" s="65">
        <v>1.2744962500000001</v>
      </c>
      <c r="G262" s="22">
        <f>IF(AND(Tabela2[[#This Row],[Dividendo / Ação]]&gt;0,Tabela2[[#This Row],[Lucro por ação]]&gt;0),Tabela2[[#This Row],[Dividendo / Ação]]/Tabela2[[#This Row],[Lucro por ação]],"")</f>
        <v>0.92280861597220065</v>
      </c>
      <c r="H262" s="5">
        <f>MAX(Tabela2[[#This Row],[Cotação 1]],Tabela2[[#This Row],[Cotação 2]])</f>
        <v>10.119999999999999</v>
      </c>
      <c r="I262" s="18">
        <f>IF(Tabela2[[#This Row],[Dividendo / Ação]]&gt;0,Tabela2[[#This Row],[Dividendo / Ação]]/Tabela2[[#This Row],[Cotação]],"")</f>
        <v>0.12593836462450594</v>
      </c>
      <c r="J262" s="60">
        <f>SUMPRODUCT(N(Tabela1[Código]=Tabela2[[#This Row],[Ativo]]),Tabela1[Fechamento])</f>
        <v>10.119999999999999</v>
      </c>
      <c r="K262" s="60">
        <f>SUMPRODUCT(N(Tabela17[Código]=Tabela2[[#This Row],[Ativo]]),Tabela17[Fechamento])</f>
        <v>0</v>
      </c>
    </row>
    <row r="263" spans="1:13">
      <c r="A263" s="4" t="s">
        <v>104</v>
      </c>
      <c r="B263" s="3">
        <v>2010</v>
      </c>
      <c r="C263" s="5">
        <v>253664000</v>
      </c>
      <c r="D263" s="62">
        <f>SUMPRODUCT(N(Tabela3[PAPEL]=Tabela2[[#This Row],[Ativo]]),Tabela3[Total Ações])</f>
        <v>168074028</v>
      </c>
      <c r="E263" s="65">
        <f>(Tabela2[[#This Row],[Lucro Líquido]])/Tabela2[[#This Row],[Total Ações]]</f>
        <v>1.5092397261996957</v>
      </c>
      <c r="F263" s="65">
        <v>1.250948685</v>
      </c>
      <c r="G263" s="22">
        <f>IF(AND(Tabela2[[#This Row],[Dividendo / Ação]]&gt;0,Tabela2[[#This Row],[Lucro por ação]]&gt;0),Tabela2[[#This Row],[Dividendo / Ação]]/Tabela2[[#This Row],[Lucro por ação]],"")</f>
        <v>0.82886016269259011</v>
      </c>
      <c r="H263" s="5">
        <f>MAX(Tabela2[[#This Row],[Cotação 1]],Tabela2[[#This Row],[Cotação 2]])</f>
        <v>10.119999999999999</v>
      </c>
      <c r="I263" s="18">
        <f>IF(Tabela2[[#This Row],[Dividendo / Ação]]&gt;0,Tabela2[[#This Row],[Dividendo / Ação]]/Tabela2[[#This Row],[Cotação]],"")</f>
        <v>0.12361153013833993</v>
      </c>
      <c r="J263" s="60">
        <f>SUMPRODUCT(N(Tabela1[Código]=Tabela2[[#This Row],[Ativo]]),Tabela1[Fechamento])</f>
        <v>10.119999999999999</v>
      </c>
      <c r="K263" s="60">
        <f>SUMPRODUCT(N(Tabela17[Código]=Tabela2[[#This Row],[Ativo]]),Tabela17[Fechamento])</f>
        <v>0</v>
      </c>
    </row>
    <row r="264" spans="1:13">
      <c r="A264" s="4" t="s">
        <v>104</v>
      </c>
      <c r="B264" s="3">
        <v>2009</v>
      </c>
      <c r="C264" s="5">
        <v>244788000</v>
      </c>
      <c r="D264" s="62">
        <f>SUMPRODUCT(N(Tabela3[PAPEL]=Tabela2[[#This Row],[Ativo]]),Tabela3[Total Ações])</f>
        <v>168074028</v>
      </c>
      <c r="E264" s="65">
        <f>(Tabela2[[#This Row],[Lucro Líquido]])/Tabela2[[#This Row],[Total Ações]]</f>
        <v>1.4564296632433893</v>
      </c>
      <c r="F264" s="65">
        <v>1.0456133000000001</v>
      </c>
      <c r="G264" s="22">
        <f>IF(AND(Tabela2[[#This Row],[Dividendo / Ação]]&gt;0,Tabela2[[#This Row],[Lucro por ação]]&gt;0),Tabela2[[#This Row],[Dividendo / Ação]]/Tabela2[[#This Row],[Lucro por ação]],"")</f>
        <v>0.717929143019153</v>
      </c>
      <c r="H264" s="5">
        <f>MAX(Tabela2[[#This Row],[Cotação 1]],Tabela2[[#This Row],[Cotação 2]])</f>
        <v>10.119999999999999</v>
      </c>
      <c r="I264" s="18">
        <f>IF(Tabela2[[#This Row],[Dividendo / Ação]]&gt;0,Tabela2[[#This Row],[Dividendo / Ação]]/Tabela2[[#This Row],[Cotação]],"")</f>
        <v>0.10332147233201583</v>
      </c>
      <c r="J264" s="60">
        <f>SUMPRODUCT(N(Tabela1[Código]=Tabela2[[#This Row],[Ativo]]),Tabela1[Fechamento])</f>
        <v>10.119999999999999</v>
      </c>
      <c r="K264" s="60">
        <f>SUMPRODUCT(N(Tabela17[Código]=Tabela2[[#This Row],[Ativo]]),Tabela17[Fechamento])</f>
        <v>0</v>
      </c>
    </row>
    <row r="265" spans="1:13">
      <c r="A265" s="4" t="s">
        <v>71</v>
      </c>
      <c r="B265" s="4">
        <v>2012</v>
      </c>
      <c r="C265" s="6">
        <v>245872000</v>
      </c>
      <c r="D265" s="8">
        <f>SUMPRODUCT(N(Tabela3[PAPEL]=Tabela2[[#This Row],[Ativo]]),Tabela3[Total Ações])</f>
        <v>168074028</v>
      </c>
      <c r="E265" s="66">
        <f>(Tabela2[[#This Row],[Lucro Líquido]])/Tabela2[[#This Row],[Total Ações]]</f>
        <v>1.4628792022524741</v>
      </c>
      <c r="F265" s="66">
        <v>0.23160260399999999</v>
      </c>
      <c r="G265" s="46">
        <f>IF(AND(Tabela2[[#This Row],[Dividendo / Ação]]&gt;0,Tabela2[[#This Row],[Lucro por ação]]&gt;0),Tabela2[[#This Row],[Dividendo / Ação]]/Tabela2[[#This Row],[Lucro por ação]],"")</f>
        <v>0.1583197051700434</v>
      </c>
      <c r="H265" s="6">
        <f>MAX(Tabela2[[#This Row],[Cotação 1]],Tabela2[[#This Row],[Cotação 2]])</f>
        <v>9</v>
      </c>
      <c r="I265" s="19">
        <f>IF(Tabela2[[#This Row],[Dividendo / Ação]]&gt;0,Tabela2[[#This Row],[Dividendo / Ação]]/Tabela2[[#This Row],[Cotação]],"")</f>
        <v>2.5733622666666664E-2</v>
      </c>
      <c r="J265" s="61">
        <f>SUMPRODUCT(N(Tabela1[Código]=Tabela2[[#This Row],[Ativo]]),Tabela1[Fechamento])</f>
        <v>9</v>
      </c>
      <c r="K265" s="61">
        <f>SUMPRODUCT(N(Tabela17[Código]=Tabela2[[#This Row],[Ativo]]),Tabela17[Fechamento])</f>
        <v>0</v>
      </c>
    </row>
    <row r="266" spans="1:13">
      <c r="A266" s="4" t="s">
        <v>71</v>
      </c>
      <c r="B266" s="4">
        <v>2011</v>
      </c>
      <c r="C266" s="5">
        <v>232128000</v>
      </c>
      <c r="D266" s="8">
        <f>SUMPRODUCT(N(Tabela3[PAPEL]=Tabela2[[#This Row],[Ativo]]),Tabela3[Total Ações])</f>
        <v>168074028</v>
      </c>
      <c r="E266" s="66">
        <f>(Tabela2[[#This Row],[Lucro Líquido]])/Tabela2[[#This Row],[Total Ações]]</f>
        <v>1.3811057113476213</v>
      </c>
      <c r="F266" s="65">
        <v>1.2744962500000001</v>
      </c>
      <c r="G266" s="46">
        <f>IF(AND(Tabela2[[#This Row],[Dividendo / Ação]]&gt;0,Tabela2[[#This Row],[Lucro por ação]]&gt;0),Tabela2[[#This Row],[Dividendo / Ação]]/Tabela2[[#This Row],[Lucro por ação]],"")</f>
        <v>0.92280861597220065</v>
      </c>
      <c r="H266" s="6">
        <f>MAX(Tabela2[[#This Row],[Cotação 1]],Tabela2[[#This Row],[Cotação 2]])</f>
        <v>9</v>
      </c>
      <c r="I266" s="19">
        <f>IF(Tabela2[[#This Row],[Dividendo / Ação]]&gt;0,Tabela2[[#This Row],[Dividendo / Ação]]/Tabela2[[#This Row],[Cotação]],"")</f>
        <v>0.14161069444444446</v>
      </c>
      <c r="J266" s="61">
        <f>SUMPRODUCT(N(Tabela1[Código]=Tabela2[[#This Row],[Ativo]]),Tabela1[Fechamento])</f>
        <v>9</v>
      </c>
      <c r="K266" s="61">
        <f>SUMPRODUCT(N(Tabela17[Código]=Tabela2[[#This Row],[Ativo]]),Tabela17[Fechamento])</f>
        <v>0</v>
      </c>
    </row>
    <row r="267" spans="1:13">
      <c r="A267" s="4" t="s">
        <v>71</v>
      </c>
      <c r="B267" s="4">
        <v>2010</v>
      </c>
      <c r="C267" s="5">
        <v>253664000</v>
      </c>
      <c r="D267" s="8">
        <f>SUMPRODUCT(N(Tabela3[PAPEL]=Tabela2[[#This Row],[Ativo]]),Tabela3[Total Ações])</f>
        <v>168074028</v>
      </c>
      <c r="E267" s="66">
        <f>(Tabela2[[#This Row],[Lucro Líquido]])/Tabela2[[#This Row],[Total Ações]]</f>
        <v>1.5092397261996957</v>
      </c>
      <c r="F267" s="65">
        <v>1.250948685</v>
      </c>
      <c r="G267" s="46">
        <f>IF(AND(Tabela2[[#This Row],[Dividendo / Ação]]&gt;0,Tabela2[[#This Row],[Lucro por ação]]&gt;0),Tabela2[[#This Row],[Dividendo / Ação]]/Tabela2[[#This Row],[Lucro por ação]],"")</f>
        <v>0.82886016269259011</v>
      </c>
      <c r="H267" s="6">
        <f>MAX(Tabela2[[#This Row],[Cotação 1]],Tabela2[[#This Row],[Cotação 2]])</f>
        <v>9</v>
      </c>
      <c r="I267" s="19">
        <f>IF(Tabela2[[#This Row],[Dividendo / Ação]]&gt;0,Tabela2[[#This Row],[Dividendo / Ação]]/Tabela2[[#This Row],[Cotação]],"")</f>
        <v>0.13899429833333332</v>
      </c>
      <c r="J267" s="61">
        <f>SUMPRODUCT(N(Tabela1[Código]=Tabela2[[#This Row],[Ativo]]),Tabela1[Fechamento])</f>
        <v>9</v>
      </c>
      <c r="K267" s="61">
        <f>SUMPRODUCT(N(Tabela17[Código]=Tabela2[[#This Row],[Ativo]]),Tabela17[Fechamento])</f>
        <v>0</v>
      </c>
    </row>
    <row r="268" spans="1:13">
      <c r="A268" s="4" t="s">
        <v>71</v>
      </c>
      <c r="B268" s="4">
        <v>2009</v>
      </c>
      <c r="C268" s="5">
        <v>244788000</v>
      </c>
      <c r="D268" s="8">
        <f>SUMPRODUCT(N(Tabela3[PAPEL]=Tabela2[[#This Row],[Ativo]]),Tabela3[Total Ações])</f>
        <v>168074028</v>
      </c>
      <c r="E268" s="66">
        <f>(Tabela2[[#This Row],[Lucro Líquido]])/Tabela2[[#This Row],[Total Ações]]</f>
        <v>1.4564296632433893</v>
      </c>
      <c r="F268" s="65">
        <v>1.0456133000000001</v>
      </c>
      <c r="G268" s="46">
        <f>IF(AND(Tabela2[[#This Row],[Dividendo / Ação]]&gt;0,Tabela2[[#This Row],[Lucro por ação]]&gt;0),Tabela2[[#This Row],[Dividendo / Ação]]/Tabela2[[#This Row],[Lucro por ação]],"")</f>
        <v>0.717929143019153</v>
      </c>
      <c r="H268" s="6">
        <f>MAX(Tabela2[[#This Row],[Cotação 1]],Tabela2[[#This Row],[Cotação 2]])</f>
        <v>9</v>
      </c>
      <c r="I268" s="19">
        <f>IF(Tabela2[[#This Row],[Dividendo / Ação]]&gt;0,Tabela2[[#This Row],[Dividendo / Ação]]/Tabela2[[#This Row],[Cotação]],"")</f>
        <v>0.11617925555555557</v>
      </c>
      <c r="J268" s="61">
        <f>SUMPRODUCT(N(Tabela1[Código]=Tabela2[[#This Row],[Ativo]]),Tabela1[Fechamento])</f>
        <v>9</v>
      </c>
      <c r="K268" s="61">
        <f>SUMPRODUCT(N(Tabela17[Código]=Tabela2[[#This Row],[Ativo]]),Tabela17[Fechamento])</f>
        <v>0</v>
      </c>
    </row>
    <row r="269" spans="1:13">
      <c r="A269" s="4" t="s">
        <v>15</v>
      </c>
      <c r="B269" s="4">
        <v>2012</v>
      </c>
      <c r="C269" s="6">
        <v>357464258.91000003</v>
      </c>
      <c r="D269" s="8">
        <f>SUMPRODUCT(N(Tabela3[PAPEL]=Tabela2[[#This Row],[Ativo]]),Tabela3[Total Ações])</f>
        <v>243051520</v>
      </c>
      <c r="E269" s="66">
        <f>(Tabela2[[#This Row],[Lucro Líquido]])/Tabela2[[#This Row],[Total Ações]]</f>
        <v>1.4707345130365777</v>
      </c>
      <c r="F269" s="66">
        <v>0.74467047200000003</v>
      </c>
      <c r="G269" s="46">
        <f>IF(AND(Tabela2[[#This Row],[Dividendo / Ação]]&gt;0,Tabela2[[#This Row],[Lucro por ação]]&gt;0),Tabela2[[#This Row],[Dividendo / Ação]]/Tabela2[[#This Row],[Lucro por ação]],"")</f>
        <v>0.50632555733155615</v>
      </c>
      <c r="H269" s="6">
        <f>MAX(Tabela2[[#This Row],[Cotação 1]],Tabela2[[#This Row],[Cotação 2]])</f>
        <v>8</v>
      </c>
      <c r="I269" s="19">
        <f>IF(Tabela2[[#This Row],[Dividendo / Ação]]&gt;0,Tabela2[[#This Row],[Dividendo / Ação]]/Tabela2[[#This Row],[Cotação]],"")</f>
        <v>9.3083809000000003E-2</v>
      </c>
      <c r="J269" s="61">
        <f>SUMPRODUCT(N(Tabela1[Código]=Tabela2[[#This Row],[Ativo]]),Tabela1[Fechamento])</f>
        <v>8</v>
      </c>
      <c r="K269" s="61">
        <f>SUMPRODUCT(N(Tabela17[Código]=Tabela2[[#This Row],[Ativo]]),Tabela17[Fechamento])</f>
        <v>0</v>
      </c>
    </row>
    <row r="270" spans="1:13">
      <c r="A270" s="4" t="s">
        <v>15</v>
      </c>
      <c r="B270" s="4">
        <v>2011</v>
      </c>
      <c r="C270" s="6">
        <v>305060417.76999998</v>
      </c>
      <c r="D270" s="8">
        <f>SUMPRODUCT(N(Tabela3[PAPEL]=Tabela2[[#This Row],[Ativo]]),Tabela3[Total Ações])</f>
        <v>243051520</v>
      </c>
      <c r="E270" s="66">
        <f>(Tabela2[[#This Row],[Lucro Líquido]])/Tabela2[[#This Row],[Total Ações]]</f>
        <v>1.2551265582293005</v>
      </c>
      <c r="F270" s="66">
        <v>0.63549999999999995</v>
      </c>
      <c r="G270" s="46">
        <f>IF(AND(Tabela2[[#This Row],[Dividendo / Ação]]&gt;0,Tabela2[[#This Row],[Lucro por ação]]&gt;0),Tabela2[[#This Row],[Dividendo / Ação]]/Tabela2[[#This Row],[Lucro por ação]],"")</f>
        <v>0.50632344271046792</v>
      </c>
      <c r="H270" s="6">
        <f>MAX(Tabela2[[#This Row],[Cotação 1]],Tabela2[[#This Row],[Cotação 2]])</f>
        <v>8</v>
      </c>
      <c r="I270" s="19">
        <f>IF(Tabela2[[#This Row],[Dividendo / Ação]]&gt;0,Tabela2[[#This Row],[Dividendo / Ação]]/Tabela2[[#This Row],[Cotação]],"")</f>
        <v>7.9437499999999994E-2</v>
      </c>
      <c r="J270" s="61">
        <f>SUMPRODUCT(N(Tabela1[Código]=Tabela2[[#This Row],[Ativo]]),Tabela1[Fechamento])</f>
        <v>8</v>
      </c>
      <c r="K270" s="61">
        <f>SUMPRODUCT(N(Tabela17[Código]=Tabela2[[#This Row],[Ativo]]),Tabela17[Fechamento])</f>
        <v>0</v>
      </c>
      <c r="M270" s="70"/>
    </row>
    <row r="271" spans="1:13">
      <c r="A271" s="4" t="s">
        <v>15</v>
      </c>
      <c r="B271" s="4">
        <v>2010</v>
      </c>
      <c r="C271" s="6">
        <v>276916946.19</v>
      </c>
      <c r="D271" s="8">
        <f>SUMPRODUCT(N(Tabela3[PAPEL]=Tabela2[[#This Row],[Ativo]]),Tabela3[Total Ações])</f>
        <v>243051520</v>
      </c>
      <c r="E271" s="66">
        <f>(Tabela2[[#This Row],[Lucro Líquido]])/Tabela2[[#This Row],[Total Ações]]</f>
        <v>1.1393343526096853</v>
      </c>
      <c r="F271" s="66">
        <v>0.57389999999999997</v>
      </c>
      <c r="G271" s="46">
        <f>IF(AND(Tabela2[[#This Row],[Dividendo / Ação]]&gt;0,Tabela2[[#This Row],[Lucro por ação]]&gt;0),Tabela2[[#This Row],[Dividendo / Ação]]/Tabela2[[#This Row],[Lucro por ação]],"")</f>
        <v>0.50371517253514031</v>
      </c>
      <c r="H271" s="6">
        <f>MAX(Tabela2[[#This Row],[Cotação 1]],Tabela2[[#This Row],[Cotação 2]])</f>
        <v>8</v>
      </c>
      <c r="I271" s="19">
        <f>IF(Tabela2[[#This Row],[Dividendo / Ação]]&gt;0,Tabela2[[#This Row],[Dividendo / Ação]]/Tabela2[[#This Row],[Cotação]],"")</f>
        <v>7.1737499999999996E-2</v>
      </c>
      <c r="J271" s="61">
        <f>SUMPRODUCT(N(Tabela1[Código]=Tabela2[[#This Row],[Ativo]]),Tabela1[Fechamento])</f>
        <v>8</v>
      </c>
      <c r="K271" s="61">
        <f>SUMPRODUCT(N(Tabela17[Código]=Tabela2[[#This Row],[Ativo]]),Tabela17[Fechamento])</f>
        <v>0</v>
      </c>
    </row>
    <row r="272" spans="1:13">
      <c r="A272" s="4" t="s">
        <v>15</v>
      </c>
      <c r="B272" s="4">
        <v>2009</v>
      </c>
      <c r="C272" s="6">
        <v>211087826.47999999</v>
      </c>
      <c r="D272" s="8">
        <f>SUMPRODUCT(N(Tabela3[PAPEL]=Tabela2[[#This Row],[Ativo]]),Tabela3[Total Ações])</f>
        <v>243051520</v>
      </c>
      <c r="E272" s="66">
        <f>(Tabela2[[#This Row],[Lucro Líquido]])/Tabela2[[#This Row],[Total Ações]]</f>
        <v>0.8684900488587769</v>
      </c>
      <c r="F272" s="66">
        <v>0.43609999999999999</v>
      </c>
      <c r="G272" s="46">
        <f>IF(AND(Tabela2[[#This Row],[Dividendo / Ação]]&gt;0,Tabela2[[#This Row],[Lucro por ação]]&gt;0),Tabela2[[#This Row],[Dividendo / Ação]]/Tabela2[[#This Row],[Lucro por ação]],"")</f>
        <v>0.50213586278052236</v>
      </c>
      <c r="H272" s="6">
        <f>MAX(Tabela2[[#This Row],[Cotação 1]],Tabela2[[#This Row],[Cotação 2]])</f>
        <v>8</v>
      </c>
      <c r="I272" s="19">
        <f>IF(Tabela2[[#This Row],[Dividendo / Ação]]&gt;0,Tabela2[[#This Row],[Dividendo / Ação]]/Tabela2[[#This Row],[Cotação]],"")</f>
        <v>5.4512499999999998E-2</v>
      </c>
      <c r="J272" s="61">
        <f>SUMPRODUCT(N(Tabela1[Código]=Tabela2[[#This Row],[Ativo]]),Tabela1[Fechamento])</f>
        <v>8</v>
      </c>
      <c r="K272" s="61">
        <f>SUMPRODUCT(N(Tabela17[Código]=Tabela2[[#This Row],[Ativo]]),Tabela17[Fechamento])</f>
        <v>0</v>
      </c>
      <c r="M272" s="69"/>
    </row>
    <row r="273" spans="1:14">
      <c r="A273" s="4" t="s">
        <v>461</v>
      </c>
      <c r="B273" s="4">
        <v>2012</v>
      </c>
      <c r="C273" s="6">
        <v>459255478.19</v>
      </c>
      <c r="D273" s="91">
        <f>SUMPRODUCT(N(Tabela3[PAPEL]=Tabela2[[#This Row],[Ativo]]),Tabela3[Total Ações])</f>
        <v>605059489</v>
      </c>
      <c r="E273" s="66">
        <f>(Tabela2[[#This Row],[Lucro Líquido]])/Tabela2[[#This Row],[Total Ações]]</f>
        <v>0.7590253298052152</v>
      </c>
      <c r="F273" s="66">
        <v>0.28884578700000002</v>
      </c>
      <c r="G273" s="45">
        <f>IF(AND(Tabela2[[#This Row],[Dividendo / Ação]]&gt;0,Tabela2[[#This Row],[Lucro por ação]]&gt;0),Tabela2[[#This Row],[Dividendo / Ação]]/Tabela2[[#This Row],[Lucro por ação]],"")</f>
        <v>0.38054828430314053</v>
      </c>
      <c r="H273" s="61">
        <f>MAX(Tabela2[[#This Row],[Cotação 1]],Tabela2[[#This Row],[Cotação 2]])</f>
        <v>12.44</v>
      </c>
      <c r="I273" s="46">
        <f>IF(Tabela2[[#This Row],[Dividendo / Ação]]&gt;0,Tabela2[[#This Row],[Dividendo / Ação]]/Tabela2[[#This Row],[Cotação]],"")</f>
        <v>2.3219114710610934E-2</v>
      </c>
      <c r="J273" s="17">
        <f>SUMPRODUCT(N(Tabela1[Código]=Tabela2[[#This Row],[Ativo]]),Tabela1[Fechamento])</f>
        <v>0</v>
      </c>
      <c r="K273" s="17">
        <f>SUMPRODUCT(N(Tabela17[Código]=Tabela2[[#This Row],[Ativo]]),Tabela17[Fechamento])</f>
        <v>12.44</v>
      </c>
    </row>
    <row r="274" spans="1:14">
      <c r="A274" s="4" t="s">
        <v>461</v>
      </c>
      <c r="B274" s="4">
        <v>2011</v>
      </c>
      <c r="C274" s="6">
        <v>374211888.35000002</v>
      </c>
      <c r="D274" s="91">
        <f>SUMPRODUCT(N(Tabela3[PAPEL]=Tabela2[[#This Row],[Ativo]]),Tabela3[Total Ações])</f>
        <v>605059489</v>
      </c>
      <c r="E274" s="66">
        <f>(Tabela2[[#This Row],[Lucro Líquido]])/Tabela2[[#This Row],[Total Ações]]</f>
        <v>0.61847123324761211</v>
      </c>
      <c r="F274" s="66">
        <v>0.23499071399999999</v>
      </c>
      <c r="G274" s="45">
        <f>IF(AND(Tabela2[[#This Row],[Dividendo / Ação]]&gt;0,Tabela2[[#This Row],[Lucro por ação]]&gt;0),Tabela2[[#This Row],[Dividendo / Ação]]/Tabela2[[#This Row],[Lucro por ação]],"")</f>
        <v>0.37995415367349633</v>
      </c>
      <c r="H274" s="61">
        <f>MAX(Tabela2[[#This Row],[Cotação 1]],Tabela2[[#This Row],[Cotação 2]])</f>
        <v>12.44</v>
      </c>
      <c r="I274" s="46">
        <f>IF(Tabela2[[#This Row],[Dividendo / Ação]]&gt;0,Tabela2[[#This Row],[Dividendo / Ação]]/Tabela2[[#This Row],[Cotação]],"")</f>
        <v>1.888992877813505E-2</v>
      </c>
      <c r="J274" s="17">
        <f>SUMPRODUCT(N(Tabela1[Código]=Tabela2[[#This Row],[Ativo]]),Tabela1[Fechamento])</f>
        <v>0</v>
      </c>
      <c r="K274" s="17">
        <f>SUMPRODUCT(N(Tabela17[Código]=Tabela2[[#This Row],[Ativo]]),Tabela17[Fechamento])</f>
        <v>12.44</v>
      </c>
    </row>
    <row r="275" spans="1:14">
      <c r="A275" s="4" t="s">
        <v>461</v>
      </c>
      <c r="B275" s="4">
        <v>2010</v>
      </c>
      <c r="C275" s="6">
        <v>466895395.82999998</v>
      </c>
      <c r="D275" s="91">
        <f>SUMPRODUCT(N(Tabela3[PAPEL]=Tabela2[[#This Row],[Ativo]]),Tabela3[Total Ações])</f>
        <v>605059489</v>
      </c>
      <c r="E275" s="66">
        <f>(Tabela2[[#This Row],[Lucro Líquido]])/Tabela2[[#This Row],[Total Ações]]</f>
        <v>0.77165205127458136</v>
      </c>
      <c r="F275" s="66">
        <v>0.34668314900000002</v>
      </c>
      <c r="G275" s="45">
        <f>IF(AND(Tabela2[[#This Row],[Dividendo / Ação]]&gt;0,Tabela2[[#This Row],[Lucro por ação]]&gt;0),Tabela2[[#This Row],[Dividendo / Ação]]/Tabela2[[#This Row],[Lucro por ação]],"")</f>
        <v>0.44927392913342723</v>
      </c>
      <c r="H275" s="61">
        <f>MAX(Tabela2[[#This Row],[Cotação 1]],Tabela2[[#This Row],[Cotação 2]])</f>
        <v>12.44</v>
      </c>
      <c r="I275" s="46">
        <f>IF(Tabela2[[#This Row],[Dividendo / Ação]]&gt;0,Tabela2[[#This Row],[Dividendo / Ação]]/Tabela2[[#This Row],[Cotação]],"")</f>
        <v>2.7868420337620582E-2</v>
      </c>
      <c r="J275" s="17">
        <f>SUMPRODUCT(N(Tabela1[Código]=Tabela2[[#This Row],[Ativo]]),Tabela1[Fechamento])</f>
        <v>0</v>
      </c>
      <c r="K275" s="17">
        <f>SUMPRODUCT(N(Tabela17[Código]=Tabela2[[#This Row],[Ativo]]),Tabela17[Fechamento])</f>
        <v>12.44</v>
      </c>
    </row>
    <row r="276" spans="1:14">
      <c r="A276" s="4" t="s">
        <v>461</v>
      </c>
      <c r="B276" s="4">
        <v>2009</v>
      </c>
      <c r="C276" s="6">
        <v>179469272.13999999</v>
      </c>
      <c r="D276" s="91">
        <f>SUMPRODUCT(N(Tabela3[PAPEL]=Tabela2[[#This Row],[Ativo]]),Tabela3[Total Ações])</f>
        <v>605059489</v>
      </c>
      <c r="E276" s="66">
        <f>(Tabela2[[#This Row],[Lucro Líquido]])/Tabela2[[#This Row],[Total Ações]]</f>
        <v>0.29661425926335649</v>
      </c>
      <c r="F276" s="66">
        <v>7.8760800000000006E-2</v>
      </c>
      <c r="G276" s="45">
        <f>IF(AND(Tabela2[[#This Row],[Dividendo / Ação]]&gt;0,Tabela2[[#This Row],[Lucro por ação]]&gt;0),Tabela2[[#This Row],[Dividendo / Ação]]/Tabela2[[#This Row],[Lucro por ação]],"")</f>
        <v>0.26553275016380867</v>
      </c>
      <c r="H276" s="61">
        <f>MAX(Tabela2[[#This Row],[Cotação 1]],Tabela2[[#This Row],[Cotação 2]])</f>
        <v>12.44</v>
      </c>
      <c r="I276" s="46">
        <f>IF(Tabela2[[#This Row],[Dividendo / Ação]]&gt;0,Tabela2[[#This Row],[Dividendo / Ação]]/Tabela2[[#This Row],[Cotação]],"")</f>
        <v>6.3312540192926054E-3</v>
      </c>
      <c r="J276" s="17">
        <f>SUMPRODUCT(N(Tabela1[Código]=Tabela2[[#This Row],[Ativo]]),Tabela1[Fechamento])</f>
        <v>0</v>
      </c>
      <c r="K276" s="17">
        <f>SUMPRODUCT(N(Tabela17[Código]=Tabela2[[#This Row],[Ativo]]),Tabela17[Fechamento])</f>
        <v>12.44</v>
      </c>
    </row>
    <row r="277" spans="1:14">
      <c r="A277" s="4" t="s">
        <v>105</v>
      </c>
      <c r="B277" s="4">
        <v>2012</v>
      </c>
      <c r="C277" s="6">
        <v>-130200000</v>
      </c>
      <c r="D277" s="8">
        <f>SUMPRODUCT(N(Tabela3[PAPEL]=Tabela2[[#This Row],[Ativo]]),Tabela3[Total Ações])</f>
        <v>387229828</v>
      </c>
      <c r="E277" s="66">
        <f>(Tabela2[[#This Row],[Lucro Líquido]])/Tabela2[[#This Row],[Total Ações]]</f>
        <v>-0.33623442871761416</v>
      </c>
      <c r="F277" s="66">
        <v>0</v>
      </c>
      <c r="G277" s="46" t="str">
        <f>IF(AND(Tabela2[[#This Row],[Dividendo / Ação]]&gt;0,Tabela2[[#This Row],[Lucro por ação]]&gt;0),Tabela2[[#This Row],[Dividendo / Ação]]/Tabela2[[#This Row],[Lucro por ação]],"")</f>
        <v/>
      </c>
      <c r="H277" s="6">
        <f>MAX(Tabela2[[#This Row],[Cotação 1]],Tabela2[[#This Row],[Cotação 2]])</f>
        <v>1.59</v>
      </c>
      <c r="I277" s="19" t="str">
        <f>IF(Tabela2[[#This Row],[Dividendo / Ação]]&gt;0,Tabela2[[#This Row],[Dividendo / Ação]]/Tabela2[[#This Row],[Cotação]],"")</f>
        <v/>
      </c>
      <c r="J277" s="61">
        <f>SUMPRODUCT(N(Tabela1[Código]=Tabela2[[#This Row],[Ativo]]),Tabela1[Fechamento])</f>
        <v>1.59</v>
      </c>
      <c r="K277" s="61">
        <f>SUMPRODUCT(N(Tabela17[Código]=Tabela2[[#This Row],[Ativo]]),Tabela17[Fechamento])</f>
        <v>0</v>
      </c>
    </row>
    <row r="278" spans="1:14">
      <c r="A278" s="4" t="s">
        <v>105</v>
      </c>
      <c r="B278" s="3">
        <v>2011</v>
      </c>
      <c r="C278" s="5">
        <v>88173075.810000002</v>
      </c>
      <c r="D278" s="62">
        <f>SUMPRODUCT(N(Tabela3[PAPEL]=Tabela2[[#This Row],[Ativo]]),Tabela3[Total Ações])</f>
        <v>387229828</v>
      </c>
      <c r="E278" s="65">
        <f>(Tabela2[[#This Row],[Lucro Líquido]])/Tabela2[[#This Row],[Total Ações]]</f>
        <v>0.22770217951805097</v>
      </c>
      <c r="F278" s="65">
        <v>0.1</v>
      </c>
      <c r="G278" s="22">
        <f>IF(AND(Tabela2[[#This Row],[Dividendo / Ação]]&gt;0,Tabela2[[#This Row],[Lucro por ação]]&gt;0),Tabela2[[#This Row],[Dividendo / Ação]]/Tabela2[[#This Row],[Lucro por ação]],"")</f>
        <v>0.43917014853198871</v>
      </c>
      <c r="H278" s="5">
        <f>MAX(Tabela2[[#This Row],[Cotação 1]],Tabela2[[#This Row],[Cotação 2]])</f>
        <v>1.59</v>
      </c>
      <c r="I278" s="18">
        <f>IF(Tabela2[[#This Row],[Dividendo / Ação]]&gt;0,Tabela2[[#This Row],[Dividendo / Ação]]/Tabela2[[#This Row],[Cotação]],"")</f>
        <v>6.2893081761006289E-2</v>
      </c>
      <c r="J278" s="60">
        <f>SUMPRODUCT(N(Tabela1[Código]=Tabela2[[#This Row],[Ativo]]),Tabela1[Fechamento])</f>
        <v>1.59</v>
      </c>
      <c r="K278" s="60">
        <f>SUMPRODUCT(N(Tabela17[Código]=Tabela2[[#This Row],[Ativo]]),Tabela17[Fechamento])</f>
        <v>0</v>
      </c>
    </row>
    <row r="279" spans="1:14">
      <c r="A279" s="4" t="s">
        <v>106</v>
      </c>
      <c r="B279" s="4">
        <v>2012</v>
      </c>
      <c r="C279" s="6">
        <v>-130200000</v>
      </c>
      <c r="D279" s="8">
        <f>SUMPRODUCT(N(Tabela3[PAPEL]=Tabela2[[#This Row],[Ativo]]),Tabela3[Total Ações])</f>
        <v>387229828</v>
      </c>
      <c r="E279" s="66">
        <f>(Tabela2[[#This Row],[Lucro Líquido]])/Tabela2[[#This Row],[Total Ações]]</f>
        <v>-0.33623442871761416</v>
      </c>
      <c r="F279" s="66">
        <v>0</v>
      </c>
      <c r="G279" s="46" t="str">
        <f>IF(AND(Tabela2[[#This Row],[Dividendo / Ação]]&gt;0,Tabela2[[#This Row],[Lucro por ação]]&gt;0),Tabela2[[#This Row],[Dividendo / Ação]]/Tabela2[[#This Row],[Lucro por ação]],"")</f>
        <v/>
      </c>
      <c r="H279" s="6">
        <f>MAX(Tabela2[[#This Row],[Cotação 1]],Tabela2[[#This Row],[Cotação 2]])</f>
        <v>1.7</v>
      </c>
      <c r="I279" s="19" t="str">
        <f>IF(Tabela2[[#This Row],[Dividendo / Ação]]&gt;0,Tabela2[[#This Row],[Dividendo / Ação]]/Tabela2[[#This Row],[Cotação]],"")</f>
        <v/>
      </c>
      <c r="J279" s="61">
        <f>SUMPRODUCT(N(Tabela1[Código]=Tabela2[[#This Row],[Ativo]]),Tabela1[Fechamento])</f>
        <v>1.7</v>
      </c>
      <c r="K279" s="61">
        <f>SUMPRODUCT(N(Tabela17[Código]=Tabela2[[#This Row],[Ativo]]),Tabela17[Fechamento])</f>
        <v>0</v>
      </c>
    </row>
    <row r="280" spans="1:14">
      <c r="A280" s="4" t="s">
        <v>106</v>
      </c>
      <c r="B280" s="4">
        <v>2011</v>
      </c>
      <c r="C280" s="5">
        <v>88173075.810000002</v>
      </c>
      <c r="D280" s="8">
        <f>SUMPRODUCT(N(Tabela3[PAPEL]=Tabela2[[#This Row],[Ativo]]),Tabela3[Total Ações])</f>
        <v>387229828</v>
      </c>
      <c r="E280" s="66">
        <f>(Tabela2[[#This Row],[Lucro Líquido]])/Tabela2[[#This Row],[Total Ações]]</f>
        <v>0.22770217951805097</v>
      </c>
      <c r="F280" s="66">
        <v>0.1</v>
      </c>
      <c r="G280" s="46">
        <f>IF(AND(Tabela2[[#This Row],[Dividendo / Ação]]&gt;0,Tabela2[[#This Row],[Lucro por ação]]&gt;0),Tabela2[[#This Row],[Dividendo / Ação]]/Tabela2[[#This Row],[Lucro por ação]],"")</f>
        <v>0.43917014853198871</v>
      </c>
      <c r="H280" s="6">
        <f>MAX(Tabela2[[#This Row],[Cotação 1]],Tabela2[[#This Row],[Cotação 2]])</f>
        <v>1.7</v>
      </c>
      <c r="I280" s="19">
        <f>IF(Tabela2[[#This Row],[Dividendo / Ação]]&gt;0,Tabela2[[#This Row],[Dividendo / Ação]]/Tabela2[[#This Row],[Cotação]],"")</f>
        <v>5.8823529411764712E-2</v>
      </c>
      <c r="J280" s="61">
        <f>SUMPRODUCT(N(Tabela1[Código]=Tabela2[[#This Row],[Ativo]]),Tabela1[Fechamento])</f>
        <v>1.7</v>
      </c>
      <c r="K280" s="61">
        <f>SUMPRODUCT(N(Tabela17[Código]=Tabela2[[#This Row],[Ativo]]),Tabela17[Fechamento])</f>
        <v>0</v>
      </c>
    </row>
    <row r="281" spans="1:14">
      <c r="A281" s="14" t="s">
        <v>317</v>
      </c>
      <c r="B281" s="3">
        <v>2012</v>
      </c>
      <c r="C281" s="5">
        <v>459346.49</v>
      </c>
      <c r="D281" s="62">
        <f>SUMPRODUCT(N(Tabela3[PAPEL]=Tabela2[[#This Row],[Ativo]]),Tabela3[Total Ações])</f>
        <v>31485170</v>
      </c>
      <c r="E281" s="65">
        <f>(Tabela2[[#This Row],[Lucro Líquido]])/Tabela2[[#This Row],[Total Ações]]</f>
        <v>1.4589296802272307E-2</v>
      </c>
      <c r="F281" s="65">
        <v>0</v>
      </c>
      <c r="G281" s="22" t="str">
        <f>IF(AND(Tabela2[[#This Row],[Dividendo / Ação]]&gt;0,Tabela2[[#This Row],[Lucro por ação]]&gt;0),Tabela2[[#This Row],[Dividendo / Ação]]/Tabela2[[#This Row],[Lucro por ação]],"")</f>
        <v/>
      </c>
      <c r="H281" s="51">
        <f>MAX(Tabela2[[#This Row],[Cotação 1]],Tabela2[[#This Row],[Cotação 2]])</f>
        <v>10</v>
      </c>
      <c r="I281" s="18" t="str">
        <f>IF(Tabela2[[#This Row],[Dividendo / Ação]]&gt;0,Tabela2[[#This Row],[Dividendo / Ação]]/Tabela2[[#This Row],[Cotação]],"")</f>
        <v/>
      </c>
      <c r="J281" s="7">
        <f>SUMPRODUCT(N(Tabela1[Código]=Tabela2[[#This Row],[Ativo]]),Tabela1[Fechamento])</f>
        <v>0</v>
      </c>
      <c r="K281" s="7">
        <f>SUMPRODUCT(N(Tabela17[Código]=Tabela2[[#This Row],[Ativo]]),Tabela17[Fechamento])</f>
        <v>10</v>
      </c>
    </row>
    <row r="282" spans="1:14">
      <c r="A282" s="14" t="s">
        <v>317</v>
      </c>
      <c r="B282" s="3">
        <v>2011</v>
      </c>
      <c r="C282" s="5">
        <v>14826895.1</v>
      </c>
      <c r="D282" s="62">
        <f>SUMPRODUCT(N(Tabela3[PAPEL]=Tabela2[[#This Row],[Ativo]]),Tabela3[Total Ações])</f>
        <v>31485170</v>
      </c>
      <c r="E282" s="65">
        <f>(Tabela2[[#This Row],[Lucro Líquido]])/Tabela2[[#This Row],[Total Ações]]</f>
        <v>0.47091678717313579</v>
      </c>
      <c r="F282" s="65">
        <v>0.11279</v>
      </c>
      <c r="G282" s="22">
        <f>IF(AND(Tabela2[[#This Row],[Dividendo / Ação]]&gt;0,Tabela2[[#This Row],[Lucro por ação]]&gt;0),Tabela2[[#This Row],[Dividendo / Ação]]/Tabela2[[#This Row],[Lucro por ação]],"")</f>
        <v>0.2395115295784348</v>
      </c>
      <c r="H282" s="51">
        <f>MAX(Tabela2[[#This Row],[Cotação 1]],Tabela2[[#This Row],[Cotação 2]])</f>
        <v>10</v>
      </c>
      <c r="I282" s="18">
        <f>IF(Tabela2[[#This Row],[Dividendo / Ação]]&gt;0,Tabela2[[#This Row],[Dividendo / Ação]]/Tabela2[[#This Row],[Cotação]],"")</f>
        <v>1.1279000000000001E-2</v>
      </c>
      <c r="J282" s="7">
        <f>SUMPRODUCT(N(Tabela1[Código]=Tabela2[[#This Row],[Ativo]]),Tabela1[Fechamento])</f>
        <v>0</v>
      </c>
      <c r="K282" s="7">
        <f>SUMPRODUCT(N(Tabela17[Código]=Tabela2[[#This Row],[Ativo]]),Tabela17[Fechamento])</f>
        <v>10</v>
      </c>
      <c r="M282" s="3">
        <v>0.102805983</v>
      </c>
      <c r="N282" s="3">
        <v>0.39897712400000002</v>
      </c>
    </row>
    <row r="283" spans="1:14">
      <c r="A283" s="14" t="s">
        <v>317</v>
      </c>
      <c r="B283" s="3">
        <v>2010</v>
      </c>
      <c r="C283" s="5">
        <v>45200803.640000001</v>
      </c>
      <c r="D283" s="62">
        <f>SUMPRODUCT(N(Tabela3[PAPEL]=Tabela2[[#This Row],[Ativo]]),Tabela3[Total Ações])</f>
        <v>31485170</v>
      </c>
      <c r="E283" s="65">
        <f>(Tabela2[[#This Row],[Lucro Líquido]])/Tabela2[[#This Row],[Total Ações]]</f>
        <v>1.4356220290377979</v>
      </c>
      <c r="F283" s="65">
        <v>0.31025000000000003</v>
      </c>
      <c r="G283" s="22">
        <f>IF(AND(Tabela2[[#This Row],[Dividendo / Ação]]&gt;0,Tabela2[[#This Row],[Lucro por ação]]&gt;0),Tabela2[[#This Row],[Dividendo / Ação]]/Tabela2[[#This Row],[Lucro por ação]],"")</f>
        <v>0.21610841414013407</v>
      </c>
      <c r="H283" s="51">
        <f>MAX(Tabela2[[#This Row],[Cotação 1]],Tabela2[[#This Row],[Cotação 2]])</f>
        <v>10</v>
      </c>
      <c r="I283" s="18">
        <f>IF(Tabela2[[#This Row],[Dividendo / Ação]]&gt;0,Tabela2[[#This Row],[Dividendo / Ação]]/Tabela2[[#This Row],[Cotação]],"")</f>
        <v>3.1025000000000004E-2</v>
      </c>
      <c r="J283" s="7">
        <f>SUMPRODUCT(N(Tabela1[Código]=Tabela2[[#This Row],[Ativo]]),Tabela1[Fechamento])</f>
        <v>0</v>
      </c>
      <c r="K283" s="7">
        <f>SUMPRODUCT(N(Tabela17[Código]=Tabela2[[#This Row],[Ativo]]),Tabela17[Fechamento])</f>
        <v>10</v>
      </c>
      <c r="M283" s="3">
        <v>0.102805983</v>
      </c>
      <c r="N283" s="3">
        <v>0.385525487</v>
      </c>
    </row>
    <row r="284" spans="1:14">
      <c r="A284" s="14" t="s">
        <v>317</v>
      </c>
      <c r="B284" s="3">
        <v>2009</v>
      </c>
      <c r="C284" s="6">
        <v>3829778.75</v>
      </c>
      <c r="D284" s="62">
        <f>SUMPRODUCT(N(Tabela3[PAPEL]=Tabela2[[#This Row],[Ativo]]),Tabela3[Total Ações])</f>
        <v>31485170</v>
      </c>
      <c r="E284" s="65">
        <f>(Tabela2[[#This Row],[Lucro Líquido]])/Tabela2[[#This Row],[Total Ações]]</f>
        <v>0.12163754396117284</v>
      </c>
      <c r="F284" s="65">
        <v>4.3194999999999997E-2</v>
      </c>
      <c r="G284" s="22">
        <f>IF(AND(Tabela2[[#This Row],[Dividendo / Ação]]&gt;0,Tabela2[[#This Row],[Lucro por ação]]&gt;0),Tabela2[[#This Row],[Dividendo / Ação]]/Tabela2[[#This Row],[Lucro por ação]],"")</f>
        <v>0.35511239863399419</v>
      </c>
      <c r="H284" s="51">
        <f>MAX(Tabela2[[#This Row],[Cotação 1]],Tabela2[[#This Row],[Cotação 2]])</f>
        <v>10</v>
      </c>
      <c r="I284" s="18">
        <f>IF(Tabela2[[#This Row],[Dividendo / Ação]]&gt;0,Tabela2[[#This Row],[Dividendo / Ação]]/Tabela2[[#This Row],[Cotação]],"")</f>
        <v>4.3194999999999996E-3</v>
      </c>
      <c r="J284" s="7">
        <f>SUMPRODUCT(N(Tabela1[Código]=Tabela2[[#This Row],[Ativo]]),Tabela1[Fechamento])</f>
        <v>0</v>
      </c>
      <c r="K284" s="7">
        <f>SUMPRODUCT(N(Tabela17[Código]=Tabela2[[#This Row],[Ativo]]),Tabela17[Fechamento])</f>
        <v>10</v>
      </c>
      <c r="M284" s="3">
        <v>0.102805983</v>
      </c>
      <c r="N284" s="3">
        <v>0.33254521399999998</v>
      </c>
    </row>
    <row r="285" spans="1:14">
      <c r="A285" s="14" t="s">
        <v>318</v>
      </c>
      <c r="B285" s="4">
        <v>2012</v>
      </c>
      <c r="C285" s="5">
        <v>459346.49</v>
      </c>
      <c r="D285" s="8">
        <f>SUMPRODUCT(N(Tabela3[PAPEL]=Tabela2[[#This Row],[Ativo]]),Tabela3[Total Ações])</f>
        <v>31485170</v>
      </c>
      <c r="E285" s="66">
        <f>(Tabela2[[#This Row],[Lucro Líquido]])/Tabela2[[#This Row],[Total Ações]]</f>
        <v>1.4589296802272307E-2</v>
      </c>
      <c r="F285" s="65">
        <v>2E-3</v>
      </c>
      <c r="G285" s="46">
        <f>IF(AND(Tabela2[[#This Row],[Dividendo / Ação]]&gt;0,Tabela2[[#This Row],[Lucro por ação]]&gt;0),Tabela2[[#This Row],[Dividendo / Ação]]/Tabela2[[#This Row],[Lucro por ação]],"")</f>
        <v>0.13708679911758986</v>
      </c>
      <c r="H285" s="13">
        <f>MAX(Tabela2[[#This Row],[Cotação 1]],Tabela2[[#This Row],[Cotação 2]])</f>
        <v>10.91</v>
      </c>
      <c r="I285" s="19">
        <f>IF(Tabela2[[#This Row],[Dividendo / Ação]]&gt;0,Tabela2[[#This Row],[Dividendo / Ação]]/Tabela2[[#This Row],[Cotação]],"")</f>
        <v>1.8331805682859762E-4</v>
      </c>
      <c r="J285" s="17">
        <f>SUMPRODUCT(N(Tabela1[Código]=Tabela2[[#This Row],[Ativo]]),Tabela1[Fechamento])</f>
        <v>0</v>
      </c>
      <c r="K285" s="17">
        <f>SUMPRODUCT(N(Tabela17[Código]=Tabela2[[#This Row],[Ativo]]),Tabela17[Fechamento])</f>
        <v>10.91</v>
      </c>
      <c r="M285" s="3">
        <v>0.102805983</v>
      </c>
      <c r="N285" s="3">
        <v>1.0620213060000001</v>
      </c>
    </row>
    <row r="286" spans="1:14">
      <c r="A286" s="14" t="s">
        <v>318</v>
      </c>
      <c r="B286" s="4">
        <v>2011</v>
      </c>
      <c r="C286" s="5">
        <v>14826895.1</v>
      </c>
      <c r="D286" s="8">
        <f>SUMPRODUCT(N(Tabela3[PAPEL]=Tabela2[[#This Row],[Ativo]]),Tabela3[Total Ações])</f>
        <v>31485170</v>
      </c>
      <c r="E286" s="66">
        <f>(Tabela2[[#This Row],[Lucro Líquido]])/Tabela2[[#This Row],[Total Ações]]</f>
        <v>0.47091678717313579</v>
      </c>
      <c r="F286" s="65">
        <v>0.11279</v>
      </c>
      <c r="G286" s="46">
        <f>IF(AND(Tabela2[[#This Row],[Dividendo / Ação]]&gt;0,Tabela2[[#This Row],[Lucro por ação]]&gt;0),Tabela2[[#This Row],[Dividendo / Ação]]/Tabela2[[#This Row],[Lucro por ação]],"")</f>
        <v>0.2395115295784348</v>
      </c>
      <c r="H286" s="13">
        <f>MAX(Tabela2[[#This Row],[Cotação 1]],Tabela2[[#This Row],[Cotação 2]])</f>
        <v>10.91</v>
      </c>
      <c r="I286" s="19">
        <f>IF(Tabela2[[#This Row],[Dividendo / Ação]]&gt;0,Tabela2[[#This Row],[Dividendo / Ação]]/Tabela2[[#This Row],[Cotação]],"")</f>
        <v>1.0338221814848763E-2</v>
      </c>
      <c r="J286" s="17">
        <f>SUMPRODUCT(N(Tabela1[Código]=Tabela2[[#This Row],[Ativo]]),Tabela1[Fechamento])</f>
        <v>0</v>
      </c>
      <c r="K286" s="17">
        <f>SUMPRODUCT(N(Tabela17[Código]=Tabela2[[#This Row],[Ativo]]),Tabela17[Fechamento])</f>
        <v>10.91</v>
      </c>
      <c r="M286" s="3">
        <v>0.12257636399999999</v>
      </c>
      <c r="N286" s="3">
        <f>SUM(N282:N285)</f>
        <v>2.1790691310000003</v>
      </c>
    </row>
    <row r="287" spans="1:14">
      <c r="A287" s="14" t="s">
        <v>318</v>
      </c>
      <c r="B287" s="4">
        <v>2010</v>
      </c>
      <c r="C287" s="5">
        <v>45200803.640000001</v>
      </c>
      <c r="D287" s="8">
        <f>SUMPRODUCT(N(Tabela3[PAPEL]=Tabela2[[#This Row],[Ativo]]),Tabela3[Total Ações])</f>
        <v>31485170</v>
      </c>
      <c r="E287" s="66">
        <f>(Tabela2[[#This Row],[Lucro Líquido]])/Tabela2[[#This Row],[Total Ações]]</f>
        <v>1.4356220290377979</v>
      </c>
      <c r="F287" s="65">
        <v>0.31025000000000003</v>
      </c>
      <c r="G287" s="46">
        <f>IF(AND(Tabela2[[#This Row],[Dividendo / Ação]]&gt;0,Tabela2[[#This Row],[Lucro por ação]]&gt;0),Tabela2[[#This Row],[Dividendo / Ação]]/Tabela2[[#This Row],[Lucro por ação]],"")</f>
        <v>0.21610841414013407</v>
      </c>
      <c r="H287" s="13">
        <f>MAX(Tabela2[[#This Row],[Cotação 1]],Tabela2[[#This Row],[Cotação 2]])</f>
        <v>10.91</v>
      </c>
      <c r="I287" s="19">
        <f>IF(Tabela2[[#This Row],[Dividendo / Ação]]&gt;0,Tabela2[[#This Row],[Dividendo / Ação]]/Tabela2[[#This Row],[Cotação]],"")</f>
        <v>2.8437213565536208E-2</v>
      </c>
      <c r="J287" s="17">
        <f>SUMPRODUCT(N(Tabela1[Código]=Tabela2[[#This Row],[Ativo]]),Tabela1[Fechamento])</f>
        <v>0</v>
      </c>
      <c r="K287" s="17">
        <f>SUMPRODUCT(N(Tabela17[Código]=Tabela2[[#This Row],[Ativo]]),Tabela17[Fechamento])</f>
        <v>10.91</v>
      </c>
      <c r="M287" s="3">
        <v>6.9196333999999998E-2</v>
      </c>
    </row>
    <row r="288" spans="1:14">
      <c r="A288" s="14" t="s">
        <v>318</v>
      </c>
      <c r="B288" s="4">
        <v>2009</v>
      </c>
      <c r="C288" s="6">
        <v>3829778.75</v>
      </c>
      <c r="D288" s="8">
        <f>SUMPRODUCT(N(Tabela3[PAPEL]=Tabela2[[#This Row],[Ativo]]),Tabela3[Total Ações])</f>
        <v>31485170</v>
      </c>
      <c r="E288" s="66">
        <f>(Tabela2[[#This Row],[Lucro Líquido]])/Tabela2[[#This Row],[Total Ações]]</f>
        <v>0.12163754396117284</v>
      </c>
      <c r="F288" s="65">
        <v>4.3194999999999997E-2</v>
      </c>
      <c r="G288" s="46">
        <f>IF(AND(Tabela2[[#This Row],[Dividendo / Ação]]&gt;0,Tabela2[[#This Row],[Lucro por ação]]&gt;0),Tabela2[[#This Row],[Dividendo / Ação]]/Tabela2[[#This Row],[Lucro por ação]],"")</f>
        <v>0.35511239863399419</v>
      </c>
      <c r="H288" s="13">
        <f>MAX(Tabela2[[#This Row],[Cotação 1]],Tabela2[[#This Row],[Cotação 2]])</f>
        <v>10.91</v>
      </c>
      <c r="I288" s="19">
        <f>IF(Tabela2[[#This Row],[Dividendo / Ação]]&gt;0,Tabela2[[#This Row],[Dividendo / Ação]]/Tabela2[[#This Row],[Cotação]],"")</f>
        <v>3.9592117323556369E-3</v>
      </c>
      <c r="J288" s="17">
        <f>SUMPRODUCT(N(Tabela1[Código]=Tabela2[[#This Row],[Ativo]]),Tabela1[Fechamento])</f>
        <v>0</v>
      </c>
      <c r="K288" s="17">
        <f>SUMPRODUCT(N(Tabela17[Código]=Tabela2[[#This Row],[Ativo]]),Tabela17[Fechamento])</f>
        <v>10.91</v>
      </c>
      <c r="M288" s="3">
        <f>SUM(M282:M287)</f>
        <v>0.60299663000000003</v>
      </c>
    </row>
    <row r="289" spans="1:11">
      <c r="A289" s="4" t="s">
        <v>2</v>
      </c>
      <c r="B289" s="4">
        <v>2012</v>
      </c>
      <c r="C289" s="6">
        <v>-6878916000</v>
      </c>
      <c r="D289" s="8">
        <f>SUMPRODUCT(N(Tabela3[PAPEL]=Tabela2[[#This Row],[Ativo]]),Tabela3[Total Ações])</f>
        <v>1352634100</v>
      </c>
      <c r="E289" s="66">
        <f>(Tabela2[[#This Row],[Lucro Líquido]])/Tabela2[[#This Row],[Total Ações]]</f>
        <v>-5.0855704436255156</v>
      </c>
      <c r="F289" s="66">
        <v>0.40852810099999998</v>
      </c>
      <c r="G289" s="46" t="str">
        <f>IF(AND(Tabela2[[#This Row],[Dividendo / Ação]]&gt;0,Tabela2[[#This Row],[Lucro por ação]]&gt;0),Tabela2[[#This Row],[Dividendo / Ação]]/Tabela2[[#This Row],[Lucro por ação]],"")</f>
        <v/>
      </c>
      <c r="H289" s="6">
        <f>MAX(Tabela2[[#This Row],[Cotação 1]],Tabela2[[#This Row],[Cotação 2]])</f>
        <v>6.05</v>
      </c>
      <c r="I289" s="19">
        <f>IF(Tabela2[[#This Row],[Dividendo / Ação]]&gt;0,Tabela2[[#This Row],[Dividendo / Ação]]/Tabela2[[#This Row],[Cotação]],"")</f>
        <v>6.7525305950413228E-2</v>
      </c>
      <c r="J289" s="61">
        <f>SUMPRODUCT(N(Tabela1[Código]=Tabela2[[#This Row],[Ativo]]),Tabela1[Fechamento])</f>
        <v>6.05</v>
      </c>
      <c r="K289" s="61">
        <f>SUMPRODUCT(N(Tabela17[Código]=Tabela2[[#This Row],[Ativo]]),Tabela17[Fechamento])</f>
        <v>0</v>
      </c>
    </row>
    <row r="290" spans="1:11">
      <c r="A290" s="4" t="s">
        <v>2</v>
      </c>
      <c r="B290" s="3">
        <v>2011</v>
      </c>
      <c r="C290" s="5">
        <v>3732565000</v>
      </c>
      <c r="D290" s="62">
        <f>SUMPRODUCT(N(Tabela3[PAPEL]=Tabela2[[#This Row],[Ativo]]),Tabela3[Total Ações])</f>
        <v>1352634100</v>
      </c>
      <c r="E290" s="65">
        <f>(Tabela2[[#This Row],[Lucro Líquido]])/Tabela2[[#This Row],[Total Ações]]</f>
        <v>2.7594787089871531</v>
      </c>
      <c r="F290" s="65">
        <v>1.2317791624600001</v>
      </c>
      <c r="G290" s="22">
        <f>IF(AND(Tabela2[[#This Row],[Dividendo / Ação]]&gt;0,Tabela2[[#This Row],[Lucro por ação]]&gt;0),Tabela2[[#This Row],[Dividendo / Ação]]/Tabela2[[#This Row],[Lucro por ação]],"")</f>
        <v>0.44638110757959637</v>
      </c>
      <c r="H290" s="5">
        <f>MAX(Tabela2[[#This Row],[Cotação 1]],Tabela2[[#This Row],[Cotação 2]])</f>
        <v>6.05</v>
      </c>
      <c r="I290" s="18">
        <f>IF(Tabela2[[#This Row],[Dividendo / Ação]]&gt;0,Tabela2[[#This Row],[Dividendo / Ação]]/Tabela2[[#This Row],[Cotação]],"")</f>
        <v>0.20359986156363638</v>
      </c>
      <c r="J290" s="60">
        <f>SUMPRODUCT(N(Tabela1[Código]=Tabela2[[#This Row],[Ativo]]),Tabela1[Fechamento])</f>
        <v>6.05</v>
      </c>
      <c r="K290" s="60">
        <f>SUMPRODUCT(N(Tabela17[Código]=Tabela2[[#This Row],[Ativo]]),Tabela17[Fechamento])</f>
        <v>0</v>
      </c>
    </row>
    <row r="291" spans="1:11">
      <c r="A291" s="4" t="s">
        <v>2</v>
      </c>
      <c r="B291" s="3">
        <v>2010</v>
      </c>
      <c r="C291" s="5">
        <v>2247913000</v>
      </c>
      <c r="D291" s="62">
        <f>SUMPRODUCT(N(Tabela3[PAPEL]=Tabela2[[#This Row],[Ativo]]),Tabela3[Total Ações])</f>
        <v>1352634100</v>
      </c>
      <c r="E291" s="65">
        <f>(Tabela2[[#This Row],[Lucro Líquido]])/Tabela2[[#This Row],[Total Ações]]</f>
        <v>1.6618781087952759</v>
      </c>
      <c r="F291" s="65">
        <v>0.83224516954000005</v>
      </c>
      <c r="G291" s="22">
        <f>IF(AND(Tabela2[[#This Row],[Dividendo / Ação]]&gt;0,Tabela2[[#This Row],[Lucro por ação]]&gt;0),Tabela2[[#This Row],[Dividendo / Ação]]/Tabela2[[#This Row],[Lucro por ação]],"")</f>
        <v>0.50078592716003034</v>
      </c>
      <c r="H291" s="5">
        <f>MAX(Tabela2[[#This Row],[Cotação 1]],Tabela2[[#This Row],[Cotação 2]])</f>
        <v>6.05</v>
      </c>
      <c r="I291" s="18">
        <f>IF(Tabela2[[#This Row],[Dividendo / Ação]]&gt;0,Tabela2[[#This Row],[Dividendo / Ação]]/Tabela2[[#This Row],[Cotação]],"")</f>
        <v>0.13756118504793391</v>
      </c>
      <c r="J291" s="60">
        <f>SUMPRODUCT(N(Tabela1[Código]=Tabela2[[#This Row],[Ativo]]),Tabela1[Fechamento])</f>
        <v>6.05</v>
      </c>
      <c r="K291" s="60">
        <f>SUMPRODUCT(N(Tabela17[Código]=Tabela2[[#This Row],[Ativo]]),Tabela17[Fechamento])</f>
        <v>0</v>
      </c>
    </row>
    <row r="292" spans="1:11">
      <c r="A292" s="4" t="s">
        <v>2</v>
      </c>
      <c r="B292" s="3">
        <v>2009</v>
      </c>
      <c r="C292" s="5">
        <v>170526000</v>
      </c>
      <c r="D292" s="62">
        <f>SUMPRODUCT(N(Tabela3[PAPEL]=Tabela2[[#This Row],[Ativo]]),Tabela3[Total Ações])</f>
        <v>1352634100</v>
      </c>
      <c r="E292" s="65">
        <f>(Tabela2[[#This Row],[Lucro Líquido]])/Tabela2[[#This Row],[Total Ações]]</f>
        <v>0.12606957047733752</v>
      </c>
      <c r="F292" s="65">
        <v>0.41</v>
      </c>
      <c r="G292" s="22">
        <f>IF(AND(Tabela2[[#This Row],[Dividendo / Ação]]&gt;0,Tabela2[[#This Row],[Lucro por ação]]&gt;0),Tabela2[[#This Row],[Dividendo / Ação]]/Tabela2[[#This Row],[Lucro por ação]],"")</f>
        <v>3.2521725777887238</v>
      </c>
      <c r="H292" s="5">
        <f>MAX(Tabela2[[#This Row],[Cotação 1]],Tabela2[[#This Row],[Cotação 2]])</f>
        <v>6.05</v>
      </c>
      <c r="I292" s="18">
        <f>IF(Tabela2[[#This Row],[Dividendo / Ação]]&gt;0,Tabela2[[#This Row],[Dividendo / Ação]]/Tabela2[[#This Row],[Cotação]],"")</f>
        <v>6.7768595041322308E-2</v>
      </c>
      <c r="J292" s="60">
        <f>SUMPRODUCT(N(Tabela1[Código]=Tabela2[[#This Row],[Ativo]]),Tabela1[Fechamento])</f>
        <v>6.05</v>
      </c>
      <c r="K292" s="60">
        <f>SUMPRODUCT(N(Tabela17[Código]=Tabela2[[#This Row],[Ativo]]),Tabela17[Fechamento])</f>
        <v>0</v>
      </c>
    </row>
    <row r="293" spans="1:11">
      <c r="A293" s="4" t="s">
        <v>2</v>
      </c>
      <c r="B293" s="3">
        <v>2008</v>
      </c>
      <c r="C293" s="5">
        <v>6136497000</v>
      </c>
      <c r="D293" s="62">
        <f>SUMPRODUCT(N(Tabela3[PAPEL]=Tabela2[[#This Row],[Ativo]]),Tabela3[Total Ações])</f>
        <v>1352634100</v>
      </c>
      <c r="E293" s="65">
        <f>(Tabela2[[#This Row],[Lucro Líquido]])/Tabela2[[#This Row],[Total Ações]]</f>
        <v>4.5367013887939098</v>
      </c>
      <c r="F293" s="65">
        <v>1.54227975422</v>
      </c>
      <c r="G293" s="22">
        <f>IF(AND(Tabela2[[#This Row],[Dividendo / Ação]]&gt;0,Tabela2[[#This Row],[Lucro por ação]]&gt;0),Tabela2[[#This Row],[Dividendo / Ação]]/Tabela2[[#This Row],[Lucro por ação]],"")</f>
        <v>0.33995619769676261</v>
      </c>
      <c r="H293" s="5">
        <f>MAX(Tabela2[[#This Row],[Cotação 1]],Tabela2[[#This Row],[Cotação 2]])</f>
        <v>6.05</v>
      </c>
      <c r="I293" s="18">
        <f>IF(Tabela2[[#This Row],[Dividendo / Ação]]&gt;0,Tabela2[[#This Row],[Dividendo / Ação]]/Tabela2[[#This Row],[Cotação]],"")</f>
        <v>0.2549222734247934</v>
      </c>
      <c r="J293" s="60">
        <f>SUMPRODUCT(N(Tabela1[Código]=Tabela2[[#This Row],[Ativo]]),Tabela1[Fechamento])</f>
        <v>6.05</v>
      </c>
      <c r="K293" s="60">
        <f>SUMPRODUCT(N(Tabela17[Código]=Tabela2[[#This Row],[Ativo]]),Tabela17[Fechamento])</f>
        <v>0</v>
      </c>
    </row>
    <row r="294" spans="1:11">
      <c r="A294" s="4" t="s">
        <v>27</v>
      </c>
      <c r="B294" s="4">
        <v>2012</v>
      </c>
      <c r="C294" s="6">
        <v>-6878916000</v>
      </c>
      <c r="D294" s="8">
        <f>SUMPRODUCT(N(Tabela3[PAPEL]=Tabela2[[#This Row],[Ativo]]),Tabela3[Total Ações])</f>
        <v>1352634100</v>
      </c>
      <c r="E294" s="66">
        <f>(Tabela2[[#This Row],[Lucro Líquido]])/Tabela2[[#This Row],[Total Ações]]</f>
        <v>-5.0855704436255156</v>
      </c>
      <c r="F294" s="66">
        <v>1.671821523</v>
      </c>
      <c r="G294" s="46" t="str">
        <f>IF(AND(Tabela2[[#This Row],[Dividendo / Ação]]&gt;0,Tabela2[[#This Row],[Lucro por ação]]&gt;0),Tabela2[[#This Row],[Dividendo / Ação]]/Tabela2[[#This Row],[Lucro por ação]],"")</f>
        <v/>
      </c>
      <c r="H294" s="6">
        <f>MAX(Tabela2[[#This Row],[Cotação 1]],Tabela2[[#This Row],[Cotação 2]])</f>
        <v>10.27</v>
      </c>
      <c r="I294" s="19">
        <f>IF(Tabela2[[#This Row],[Dividendo / Ação]]&gt;0,Tabela2[[#This Row],[Dividendo / Ação]]/Tabela2[[#This Row],[Cotação]],"")</f>
        <v>0.16278690584225902</v>
      </c>
      <c r="J294" s="61">
        <f>SUMPRODUCT(N(Tabela1[Código]=Tabela2[[#This Row],[Ativo]]),Tabela1[Fechamento])</f>
        <v>10.27</v>
      </c>
      <c r="K294" s="61">
        <f>SUMPRODUCT(N(Tabela17[Código]=Tabela2[[#This Row],[Ativo]]),Tabela17[Fechamento])</f>
        <v>0</v>
      </c>
    </row>
    <row r="295" spans="1:11">
      <c r="A295" s="4" t="s">
        <v>27</v>
      </c>
      <c r="B295" s="4">
        <v>2011</v>
      </c>
      <c r="C295" s="5">
        <v>3732565000</v>
      </c>
      <c r="D295" s="8">
        <f>SUMPRODUCT(N(Tabela3[PAPEL]=Tabela2[[#This Row],[Ativo]]),Tabela3[Total Ações])</f>
        <v>1352634100</v>
      </c>
      <c r="E295" s="66">
        <f>(Tabela2[[#This Row],[Lucro Líquido]])/Tabela2[[#This Row],[Total Ações]]</f>
        <v>2.7594787089871531</v>
      </c>
      <c r="F295" s="66">
        <v>1.6336924400499999</v>
      </c>
      <c r="G295" s="46">
        <f>IF(AND(Tabela2[[#This Row],[Dividendo / Ação]]&gt;0,Tabela2[[#This Row],[Lucro por ação]]&gt;0),Tabela2[[#This Row],[Dividendo / Ação]]/Tabela2[[#This Row],[Lucro por ação]],"")</f>
        <v>0.59202936943464768</v>
      </c>
      <c r="H295" s="6">
        <f>MAX(Tabela2[[#This Row],[Cotação 1]],Tabela2[[#This Row],[Cotação 2]])</f>
        <v>10.27</v>
      </c>
      <c r="I295" s="19">
        <f>IF(Tabela2[[#This Row],[Dividendo / Ação]]&gt;0,Tabela2[[#This Row],[Dividendo / Ação]]/Tabela2[[#This Row],[Cotação]],"")</f>
        <v>0.15907423953748784</v>
      </c>
      <c r="J295" s="61">
        <f>SUMPRODUCT(N(Tabela1[Código]=Tabela2[[#This Row],[Ativo]]),Tabela1[Fechamento])</f>
        <v>10.27</v>
      </c>
      <c r="K295" s="61">
        <f>SUMPRODUCT(N(Tabela17[Código]=Tabela2[[#This Row],[Ativo]]),Tabela17[Fechamento])</f>
        <v>0</v>
      </c>
    </row>
    <row r="296" spans="1:11">
      <c r="A296" s="4" t="s">
        <v>27</v>
      </c>
      <c r="B296" s="4">
        <v>2010</v>
      </c>
      <c r="C296" s="5">
        <v>2247913000</v>
      </c>
      <c r="D296" s="8">
        <f>SUMPRODUCT(N(Tabela3[PAPEL]=Tabela2[[#This Row],[Ativo]]),Tabela3[Total Ações])</f>
        <v>1352634100</v>
      </c>
      <c r="E296" s="66">
        <f>(Tabela2[[#This Row],[Lucro Líquido]])/Tabela2[[#This Row],[Total Ações]]</f>
        <v>1.6618781087952759</v>
      </c>
      <c r="F296" s="66">
        <v>1.6305332803199999</v>
      </c>
      <c r="G296" s="46">
        <f>IF(AND(Tabela2[[#This Row],[Dividendo / Ação]]&gt;0,Tabela2[[#This Row],[Lucro por ação]]&gt;0),Tabela2[[#This Row],[Dividendo / Ação]]/Tabela2[[#This Row],[Lucro por ação]],"")</f>
        <v>0.98113891246933971</v>
      </c>
      <c r="H296" s="6">
        <f>MAX(Tabela2[[#This Row],[Cotação 1]],Tabela2[[#This Row],[Cotação 2]])</f>
        <v>10.27</v>
      </c>
      <c r="I296" s="19">
        <f>IF(Tabela2[[#This Row],[Dividendo / Ação]]&gt;0,Tabela2[[#This Row],[Dividendo / Ação]]/Tabela2[[#This Row],[Cotação]],"")</f>
        <v>0.15876662904771177</v>
      </c>
      <c r="J296" s="61">
        <f>SUMPRODUCT(N(Tabela1[Código]=Tabela2[[#This Row],[Ativo]]),Tabela1[Fechamento])</f>
        <v>10.27</v>
      </c>
      <c r="K296" s="61">
        <f>SUMPRODUCT(N(Tabela17[Código]=Tabela2[[#This Row],[Ativo]]),Tabela17[Fechamento])</f>
        <v>0</v>
      </c>
    </row>
    <row r="297" spans="1:11">
      <c r="A297" s="4" t="s">
        <v>27</v>
      </c>
      <c r="B297" s="4">
        <v>2009</v>
      </c>
      <c r="C297" s="5">
        <v>170526000</v>
      </c>
      <c r="D297" s="8">
        <f>SUMPRODUCT(N(Tabela3[PAPEL]=Tabela2[[#This Row],[Ativo]]),Tabela3[Total Ações])</f>
        <v>1352634100</v>
      </c>
      <c r="E297" s="66">
        <f>(Tabela2[[#This Row],[Lucro Líquido]])/Tabela2[[#This Row],[Total Ações]]</f>
        <v>0.12606957047733752</v>
      </c>
      <c r="F297" s="66">
        <v>1.63</v>
      </c>
      <c r="G297" s="46">
        <f>IF(AND(Tabela2[[#This Row],[Dividendo / Ação]]&gt;0,Tabela2[[#This Row],[Lucro por ação]]&gt;0),Tabela2[[#This Row],[Dividendo / Ação]]/Tabela2[[#This Row],[Lucro por ação]],"")</f>
        <v>12.929369028769806</v>
      </c>
      <c r="H297" s="6">
        <f>MAX(Tabela2[[#This Row],[Cotação 1]],Tabela2[[#This Row],[Cotação 2]])</f>
        <v>10.27</v>
      </c>
      <c r="I297" s="19">
        <f>IF(Tabela2[[#This Row],[Dividendo / Ação]]&gt;0,Tabela2[[#This Row],[Dividendo / Ação]]/Tabela2[[#This Row],[Cotação]],"")</f>
        <v>0.15871470301850049</v>
      </c>
      <c r="J297" s="61">
        <f>SUMPRODUCT(N(Tabela1[Código]=Tabela2[[#This Row],[Ativo]]),Tabela1[Fechamento])</f>
        <v>10.27</v>
      </c>
      <c r="K297" s="61">
        <f>SUMPRODUCT(N(Tabela17[Código]=Tabela2[[#This Row],[Ativo]]),Tabela17[Fechamento])</f>
        <v>0</v>
      </c>
    </row>
    <row r="298" spans="1:11">
      <c r="A298" s="4" t="s">
        <v>27</v>
      </c>
      <c r="B298" s="4">
        <v>2008</v>
      </c>
      <c r="C298" s="5">
        <v>6136497000</v>
      </c>
      <c r="D298" s="8">
        <f>SUMPRODUCT(N(Tabela3[PAPEL]=Tabela2[[#This Row],[Ativo]]),Tabela3[Total Ações])</f>
        <v>1352634100</v>
      </c>
      <c r="E298" s="66">
        <f>(Tabela2[[#This Row],[Lucro Líquido]])/Tabela2[[#This Row],[Total Ações]]</f>
        <v>4.5367013887939098</v>
      </c>
      <c r="F298" s="66">
        <v>1.69650772972</v>
      </c>
      <c r="G298" s="46">
        <f>IF(AND(Tabela2[[#This Row],[Dividendo / Ação]]&gt;0,Tabela2[[#This Row],[Lucro por ação]]&gt;0),Tabela2[[#This Row],[Dividendo / Ação]]/Tabela2[[#This Row],[Lucro por ação]],"")</f>
        <v>0.37395181748363199</v>
      </c>
      <c r="H298" s="6">
        <f>MAX(Tabela2[[#This Row],[Cotação 1]],Tabela2[[#This Row],[Cotação 2]])</f>
        <v>10.27</v>
      </c>
      <c r="I298" s="19">
        <f>IF(Tabela2[[#This Row],[Dividendo / Ação]]&gt;0,Tabela2[[#This Row],[Dividendo / Ação]]/Tabela2[[#This Row],[Cotação]],"")</f>
        <v>0.16519062606815968</v>
      </c>
      <c r="J298" s="61">
        <f>SUMPRODUCT(N(Tabela1[Código]=Tabela2[[#This Row],[Ativo]]),Tabela1[Fechamento])</f>
        <v>10.27</v>
      </c>
      <c r="K298" s="61">
        <f>SUMPRODUCT(N(Tabela17[Código]=Tabela2[[#This Row],[Ativo]]),Tabela17[Fechamento])</f>
        <v>0</v>
      </c>
    </row>
    <row r="299" spans="1:11">
      <c r="A299" s="4" t="s">
        <v>188</v>
      </c>
      <c r="B299" s="4">
        <v>2012</v>
      </c>
      <c r="C299" s="6">
        <v>107945984.63</v>
      </c>
      <c r="D299" s="8">
        <f>SUMPRODUCT(N(Tabela3[PAPEL]=Tabela2[[#This Row],[Ativo]]),Tabela3[Total Ações])</f>
        <v>167343887</v>
      </c>
      <c r="E299" s="66">
        <f>(Tabela2[[#This Row],[Lucro Líquido]])/Tabela2[[#This Row],[Total Ações]]</f>
        <v>0.64505484224828602</v>
      </c>
      <c r="F299" s="66">
        <v>0.30919236900000002</v>
      </c>
      <c r="G299" s="46">
        <f>IF(AND(Tabela2[[#This Row],[Dividendo / Ação]]&gt;0,Tabela2[[#This Row],[Lucro por ação]]&gt;0),Tabela2[[#This Row],[Dividendo / Ação]]/Tabela2[[#This Row],[Lucro por ação]],"")</f>
        <v>0.47932725831858769</v>
      </c>
      <c r="H299" s="6">
        <f>MAX(Tabela2[[#This Row],[Cotação 1]],Tabela2[[#This Row],[Cotação 2]])</f>
        <v>11</v>
      </c>
      <c r="I299" s="19">
        <f>IF(Tabela2[[#This Row],[Dividendo / Ação]]&gt;0,Tabela2[[#This Row],[Dividendo / Ação]]/Tabela2[[#This Row],[Cotação]],"")</f>
        <v>2.8108397181818182E-2</v>
      </c>
      <c r="J299" s="61">
        <f>SUMPRODUCT(N(Tabela1[Código]=Tabela2[[#This Row],[Ativo]]),Tabela1[Fechamento])</f>
        <v>11</v>
      </c>
      <c r="K299" s="61">
        <f>SUMPRODUCT(N(Tabela17[Código]=Tabela2[[#This Row],[Ativo]]),Tabela17[Fechamento])</f>
        <v>0</v>
      </c>
    </row>
    <row r="300" spans="1:11">
      <c r="A300" s="4" t="s">
        <v>188</v>
      </c>
      <c r="B300" s="3">
        <v>2011</v>
      </c>
      <c r="C300" s="5">
        <v>1573104991</v>
      </c>
      <c r="D300" s="62">
        <f>SUMPRODUCT(N(Tabela3[PAPEL]=Tabela2[[#This Row],[Ativo]]),Tabela3[Total Ações])</f>
        <v>167343887</v>
      </c>
      <c r="E300" s="65">
        <f>(Tabela2[[#This Row],[Lucro Líquido]])/Tabela2[[#This Row],[Total Ações]]</f>
        <v>9.4004329599443324</v>
      </c>
      <c r="F300" s="65">
        <v>5.1351776620000003</v>
      </c>
      <c r="G300" s="22">
        <f>IF(AND(Tabela2[[#This Row],[Dividendo / Ação]]&gt;0,Tabela2[[#This Row],[Lucro por ação]]&gt;0),Tabela2[[#This Row],[Dividendo / Ação]]/Tabela2[[#This Row],[Lucro por ação]],"")</f>
        <v>0.54627033498150812</v>
      </c>
      <c r="H300" s="5">
        <f>MAX(Tabela2[[#This Row],[Cotação 1]],Tabela2[[#This Row],[Cotação 2]])</f>
        <v>11</v>
      </c>
      <c r="I300" s="18">
        <f>IF(Tabela2[[#This Row],[Dividendo / Ação]]&gt;0,Tabela2[[#This Row],[Dividendo / Ação]]/Tabela2[[#This Row],[Cotação]],"")</f>
        <v>0.46683433290909093</v>
      </c>
      <c r="J300" s="60">
        <f>SUMPRODUCT(N(Tabela1[Código]=Tabela2[[#This Row],[Ativo]]),Tabela1[Fechamento])</f>
        <v>11</v>
      </c>
      <c r="K300" s="60">
        <f>SUMPRODUCT(N(Tabela17[Código]=Tabela2[[#This Row],[Ativo]]),Tabela17[Fechamento])</f>
        <v>0</v>
      </c>
    </row>
    <row r="301" spans="1:11">
      <c r="A301" s="4" t="s">
        <v>188</v>
      </c>
      <c r="B301" s="3">
        <v>2010</v>
      </c>
      <c r="C301" s="5">
        <v>1347688144.1600001</v>
      </c>
      <c r="D301" s="62">
        <f>SUMPRODUCT(N(Tabela3[PAPEL]=Tabela2[[#This Row],[Ativo]]),Tabela3[Total Ações])</f>
        <v>167343887</v>
      </c>
      <c r="E301" s="65">
        <f>(Tabela2[[#This Row],[Lucro Líquido]])/Tabela2[[#This Row],[Total Ações]]</f>
        <v>8.0534052860861305</v>
      </c>
      <c r="F301" s="65">
        <v>8.6908053330000001</v>
      </c>
      <c r="G301" s="22">
        <f>IF(AND(Tabela2[[#This Row],[Dividendo / Ação]]&gt;0,Tabela2[[#This Row],[Lucro por ação]]&gt;0),Tabela2[[#This Row],[Dividendo / Ação]]/Tabela2[[#This Row],[Lucro por ação]],"")</f>
        <v>1.0791466496806148</v>
      </c>
      <c r="H301" s="5">
        <f>MAX(Tabela2[[#This Row],[Cotação 1]],Tabela2[[#This Row],[Cotação 2]])</f>
        <v>11</v>
      </c>
      <c r="I301" s="18">
        <f>IF(Tabela2[[#This Row],[Dividendo / Ação]]&gt;0,Tabela2[[#This Row],[Dividendo / Ação]]/Tabela2[[#This Row],[Cotação]],"")</f>
        <v>0.79007321209090908</v>
      </c>
      <c r="J301" s="60">
        <f>SUMPRODUCT(N(Tabela1[Código]=Tabela2[[#This Row],[Ativo]]),Tabela1[Fechamento])</f>
        <v>11</v>
      </c>
      <c r="K301" s="60">
        <f>SUMPRODUCT(N(Tabela17[Código]=Tabela2[[#This Row],[Ativo]]),Tabela17[Fechamento])</f>
        <v>0</v>
      </c>
    </row>
    <row r="302" spans="1:11">
      <c r="A302" s="4" t="s">
        <v>188</v>
      </c>
      <c r="B302" s="3">
        <v>2009</v>
      </c>
      <c r="C302" s="5">
        <v>1063193672.4299999</v>
      </c>
      <c r="D302" s="62">
        <f>SUMPRODUCT(N(Tabela3[PAPEL]=Tabela2[[#This Row],[Ativo]]),Tabela3[Total Ações])</f>
        <v>167343887</v>
      </c>
      <c r="E302" s="65">
        <f>(Tabela2[[#This Row],[Lucro Líquido]])/Tabela2[[#This Row],[Total Ações]]</f>
        <v>6.3533463426124426</v>
      </c>
      <c r="F302" s="65">
        <v>6.086401306</v>
      </c>
      <c r="G302" s="22">
        <f>IF(AND(Tabela2[[#This Row],[Dividendo / Ação]]&gt;0,Tabela2[[#This Row],[Lucro por ação]]&gt;0),Tabela2[[#This Row],[Dividendo / Ação]]/Tabela2[[#This Row],[Lucro por ação]],"")</f>
        <v>0.95798355351383579</v>
      </c>
      <c r="H302" s="5">
        <f>MAX(Tabela2[[#This Row],[Cotação 1]],Tabela2[[#This Row],[Cotação 2]])</f>
        <v>11</v>
      </c>
      <c r="I302" s="18">
        <f>IF(Tabela2[[#This Row],[Dividendo / Ação]]&gt;0,Tabela2[[#This Row],[Dividendo / Ação]]/Tabela2[[#This Row],[Cotação]],"")</f>
        <v>0.55330920963636365</v>
      </c>
      <c r="J302" s="60">
        <f>SUMPRODUCT(N(Tabela1[Código]=Tabela2[[#This Row],[Ativo]]),Tabela1[Fechamento])</f>
        <v>11</v>
      </c>
      <c r="K302" s="60">
        <f>SUMPRODUCT(N(Tabela17[Código]=Tabela2[[#This Row],[Ativo]]),Tabela17[Fechamento])</f>
        <v>0</v>
      </c>
    </row>
    <row r="303" spans="1:11">
      <c r="A303" s="4" t="s">
        <v>1</v>
      </c>
      <c r="B303" s="4">
        <v>2012</v>
      </c>
      <c r="C303" s="6">
        <v>107945984.63</v>
      </c>
      <c r="D303" s="8">
        <f>SUMPRODUCT(N(Tabela3[PAPEL]=Tabela2[[#This Row],[Ativo]]),Tabela3[Total Ações])</f>
        <v>167343887</v>
      </c>
      <c r="E303" s="66">
        <f>(Tabela2[[#This Row],[Lucro Líquido]])/Tabela2[[#This Row],[Total Ações]]</f>
        <v>0.64505484224828602</v>
      </c>
      <c r="F303" s="66">
        <v>0.34011160499999998</v>
      </c>
      <c r="G303" s="46">
        <f>IF(AND(Tabela2[[#This Row],[Dividendo / Ação]]&gt;0,Tabela2[[#This Row],[Lucro por ação]]&gt;0),Tabela2[[#This Row],[Dividendo / Ação]]/Tabela2[[#This Row],[Lucro por ação]],"")</f>
        <v>0.52725998275521624</v>
      </c>
      <c r="H303" s="6">
        <f>MAX(Tabela2[[#This Row],[Cotação 1]],Tabela2[[#This Row],[Cotação 2]])</f>
        <v>9.3800000000000008</v>
      </c>
      <c r="I303" s="19">
        <f>IF(Tabela2[[#This Row],[Dividendo / Ação]]&gt;0,Tabela2[[#This Row],[Dividendo / Ação]]/Tabela2[[#This Row],[Cotação]],"")</f>
        <v>3.6259232942430698E-2</v>
      </c>
      <c r="J303" s="61">
        <f>SUMPRODUCT(N(Tabela1[Código]=Tabela2[[#This Row],[Ativo]]),Tabela1[Fechamento])</f>
        <v>9.3800000000000008</v>
      </c>
      <c r="K303" s="61">
        <f>SUMPRODUCT(N(Tabela17[Código]=Tabela2[[#This Row],[Ativo]]),Tabela17[Fechamento])</f>
        <v>0</v>
      </c>
    </row>
    <row r="304" spans="1:11">
      <c r="A304" s="4" t="s">
        <v>1</v>
      </c>
      <c r="B304" s="4">
        <v>2011</v>
      </c>
      <c r="C304" s="5">
        <v>1573104991</v>
      </c>
      <c r="D304" s="8">
        <f>SUMPRODUCT(N(Tabela3[PAPEL]=Tabela2[[#This Row],[Ativo]]),Tabela3[Total Ações])</f>
        <v>167343887</v>
      </c>
      <c r="E304" s="66">
        <f>(Tabela2[[#This Row],[Lucro Líquido]])/Tabela2[[#This Row],[Total Ações]]</f>
        <v>9.4004329599443324</v>
      </c>
      <c r="F304" s="66">
        <v>5.648695429</v>
      </c>
      <c r="G304" s="46">
        <f>IF(AND(Tabela2[[#This Row],[Dividendo / Ação]]&gt;0,Tabela2[[#This Row],[Lucro por ação]]&gt;0),Tabela2[[#This Row],[Dividendo / Ação]]/Tabela2[[#This Row],[Lucro por ação]],"")</f>
        <v>0.60089736856476139</v>
      </c>
      <c r="H304" s="6">
        <f>MAX(Tabela2[[#This Row],[Cotação 1]],Tabela2[[#This Row],[Cotação 2]])</f>
        <v>9.3800000000000008</v>
      </c>
      <c r="I304" s="19">
        <f>IF(Tabela2[[#This Row],[Dividendo / Ação]]&gt;0,Tabela2[[#This Row],[Dividendo / Ação]]/Tabela2[[#This Row],[Cotação]],"")</f>
        <v>0.60220633571428561</v>
      </c>
      <c r="J304" s="61">
        <f>SUMPRODUCT(N(Tabela1[Código]=Tabela2[[#This Row],[Ativo]]),Tabela1[Fechamento])</f>
        <v>9.3800000000000008</v>
      </c>
      <c r="K304" s="61">
        <f>SUMPRODUCT(N(Tabela17[Código]=Tabela2[[#This Row],[Ativo]]),Tabela17[Fechamento])</f>
        <v>0</v>
      </c>
    </row>
    <row r="305" spans="1:13">
      <c r="A305" s="4" t="s">
        <v>1</v>
      </c>
      <c r="B305" s="4">
        <v>2010</v>
      </c>
      <c r="C305" s="5">
        <v>1347688144.1600001</v>
      </c>
      <c r="D305" s="8">
        <f>SUMPRODUCT(N(Tabela3[PAPEL]=Tabela2[[#This Row],[Ativo]]),Tabela3[Total Ações])</f>
        <v>167343887</v>
      </c>
      <c r="E305" s="66">
        <f>(Tabela2[[#This Row],[Lucro Líquido]])/Tabela2[[#This Row],[Total Ações]]</f>
        <v>8.0534052860861305</v>
      </c>
      <c r="F305" s="66">
        <v>9.5598858660000001</v>
      </c>
      <c r="G305" s="46">
        <f>IF(AND(Tabela2[[#This Row],[Dividendo / Ação]]&gt;0,Tabela2[[#This Row],[Lucro por ação]]&gt;0),Tabela2[[#This Row],[Dividendo / Ação]]/Tabela2[[#This Row],[Lucro por ação]],"")</f>
        <v>1.1870613146114248</v>
      </c>
      <c r="H305" s="6">
        <f>MAX(Tabela2[[#This Row],[Cotação 1]],Tabela2[[#This Row],[Cotação 2]])</f>
        <v>9.3800000000000008</v>
      </c>
      <c r="I305" s="19">
        <f>IF(Tabela2[[#This Row],[Dividendo / Ação]]&gt;0,Tabela2[[#This Row],[Dividendo / Ação]]/Tabela2[[#This Row],[Cotação]],"")</f>
        <v>1.019177597654584</v>
      </c>
      <c r="J305" s="61">
        <f>SUMPRODUCT(N(Tabela1[Código]=Tabela2[[#This Row],[Ativo]]),Tabela1[Fechamento])</f>
        <v>9.3800000000000008</v>
      </c>
      <c r="K305" s="61">
        <f>SUMPRODUCT(N(Tabela17[Código]=Tabela2[[#This Row],[Ativo]]),Tabela17[Fechamento])</f>
        <v>0</v>
      </c>
    </row>
    <row r="306" spans="1:13">
      <c r="A306" s="4" t="s">
        <v>1</v>
      </c>
      <c r="B306" s="4">
        <v>2009</v>
      </c>
      <c r="C306" s="5">
        <v>1063193672.4299999</v>
      </c>
      <c r="D306" s="8">
        <f>SUMPRODUCT(N(Tabela3[PAPEL]=Tabela2[[#This Row],[Ativo]]),Tabela3[Total Ações])</f>
        <v>167343887</v>
      </c>
      <c r="E306" s="66">
        <f>(Tabela2[[#This Row],[Lucro Líquido]])/Tabela2[[#This Row],[Total Ações]]</f>
        <v>6.3533463426124426</v>
      </c>
      <c r="F306" s="66">
        <v>6.6950414370000004</v>
      </c>
      <c r="G306" s="46">
        <f>IF(AND(Tabela2[[#This Row],[Dividendo / Ação]]&gt;0,Tabela2[[#This Row],[Lucro por ação]]&gt;0),Tabela2[[#This Row],[Dividendo / Ação]]/Tabela2[[#This Row],[Lucro por ação]],"")</f>
        <v>1.0537819089281784</v>
      </c>
      <c r="H306" s="6">
        <f>MAX(Tabela2[[#This Row],[Cotação 1]],Tabela2[[#This Row],[Cotação 2]])</f>
        <v>9.3800000000000008</v>
      </c>
      <c r="I306" s="19">
        <f>IF(Tabela2[[#This Row],[Dividendo / Ação]]&gt;0,Tabela2[[#This Row],[Dividendo / Ação]]/Tabela2[[#This Row],[Cotação]],"")</f>
        <v>0.71375708283582084</v>
      </c>
      <c r="J306" s="61">
        <f>SUMPRODUCT(N(Tabela1[Código]=Tabela2[[#This Row],[Ativo]]),Tabela1[Fechamento])</f>
        <v>9.3800000000000008</v>
      </c>
      <c r="K306" s="61">
        <f>SUMPRODUCT(N(Tabela17[Código]=Tabela2[[#This Row],[Ativo]]),Tabela17[Fechamento])</f>
        <v>0</v>
      </c>
    </row>
    <row r="307" spans="1:13">
      <c r="A307" s="4" t="s">
        <v>190</v>
      </c>
      <c r="B307" s="4">
        <v>2012</v>
      </c>
      <c r="C307" s="6"/>
      <c r="D307" s="8">
        <f>SUMPRODUCT(N(Tabela3[PAPEL]=Tabela2[[#This Row],[Ativo]]),Tabela3[Total Ações])</f>
        <v>36947084</v>
      </c>
      <c r="E307" s="66">
        <f>(Tabela2[[#This Row],[Lucro Líquido]])/Tabela2[[#This Row],[Total Ações]]</f>
        <v>0</v>
      </c>
      <c r="F307" s="66">
        <v>0</v>
      </c>
      <c r="G307" s="46" t="str">
        <f>IF(AND(Tabela2[[#This Row],[Dividendo / Ação]]&gt;0,Tabela2[[#This Row],[Lucro por ação]]&gt;0),Tabela2[[#This Row],[Dividendo / Ação]]/Tabela2[[#This Row],[Lucro por ação]],"")</f>
        <v/>
      </c>
      <c r="H307" s="6">
        <f>MAX(Tabela2[[#This Row],[Cotação 1]],Tabela2[[#This Row],[Cotação 2]])</f>
        <v>5.75</v>
      </c>
      <c r="I307" s="19" t="str">
        <f>IF(Tabela2[[#This Row],[Dividendo / Ação]]&gt;0,Tabela2[[#This Row],[Dividendo / Ação]]/Tabela2[[#This Row],[Cotação]],"")</f>
        <v/>
      </c>
      <c r="J307" s="61">
        <f>SUMPRODUCT(N(Tabela1[Código]=Tabela2[[#This Row],[Ativo]]),Tabela1[Fechamento])</f>
        <v>5.75</v>
      </c>
      <c r="K307" s="61">
        <f>SUMPRODUCT(N(Tabela17[Código]=Tabela2[[#This Row],[Ativo]]),Tabela17[Fechamento])</f>
        <v>0</v>
      </c>
    </row>
    <row r="308" spans="1:13">
      <c r="A308" s="4" t="s">
        <v>190</v>
      </c>
      <c r="B308" s="4">
        <v>2011</v>
      </c>
      <c r="C308" s="6"/>
      <c r="D308" s="8">
        <f>SUMPRODUCT(N(Tabela3[PAPEL]=Tabela2[[#This Row],[Ativo]]),Tabela3[Total Ações])</f>
        <v>36947084</v>
      </c>
      <c r="E308" s="66">
        <f>(Tabela2[[#This Row],[Lucro Líquido]])/Tabela2[[#This Row],[Total Ações]]</f>
        <v>0</v>
      </c>
      <c r="F308" s="66">
        <v>0</v>
      </c>
      <c r="G308" s="46" t="str">
        <f>IF(AND(Tabela2[[#This Row],[Dividendo / Ação]]&gt;0,Tabela2[[#This Row],[Lucro por ação]]&gt;0),Tabela2[[#This Row],[Dividendo / Ação]]/Tabela2[[#This Row],[Lucro por ação]],"")</f>
        <v/>
      </c>
      <c r="H308" s="6">
        <f>MAX(Tabela2[[#This Row],[Cotação 1]],Tabela2[[#This Row],[Cotação 2]])</f>
        <v>5.75</v>
      </c>
      <c r="I308" s="19" t="str">
        <f>IF(Tabela2[[#This Row],[Dividendo / Ação]]&gt;0,Tabela2[[#This Row],[Dividendo / Ação]]/Tabela2[[#This Row],[Cotação]],"")</f>
        <v/>
      </c>
      <c r="J308" s="61">
        <f>SUMPRODUCT(N(Tabela1[Código]=Tabela2[[#This Row],[Ativo]]),Tabela1[Fechamento])</f>
        <v>5.75</v>
      </c>
      <c r="K308" s="61">
        <f>SUMPRODUCT(N(Tabela17[Código]=Tabela2[[#This Row],[Ativo]]),Tabela17[Fechamento])</f>
        <v>0</v>
      </c>
    </row>
    <row r="309" spans="1:13">
      <c r="A309" s="4" t="s">
        <v>190</v>
      </c>
      <c r="B309" s="4">
        <v>2010</v>
      </c>
      <c r="C309" s="6">
        <v>13974263.699999999</v>
      </c>
      <c r="D309" s="8">
        <f>SUMPRODUCT(N(Tabela3[PAPEL]=Tabela2[[#This Row],[Ativo]]),Tabela3[Total Ações])</f>
        <v>36947084</v>
      </c>
      <c r="E309" s="66">
        <f>(Tabela2[[#This Row],[Lucro Líquido]])/Tabela2[[#This Row],[Total Ações]]</f>
        <v>0.37822372396154452</v>
      </c>
      <c r="F309" s="66">
        <v>8.7654448199999999E-2</v>
      </c>
      <c r="G309" s="46">
        <f>IF(AND(Tabela2[[#This Row],[Dividendo / Ação]]&gt;0,Tabela2[[#This Row],[Lucro por ação]]&gt;0),Tabela2[[#This Row],[Dividendo / Ação]]/Tabela2[[#This Row],[Lucro por ação]],"")</f>
        <v>0.23175290878610291</v>
      </c>
      <c r="H309" s="6">
        <f>MAX(Tabela2[[#This Row],[Cotação 1]],Tabela2[[#This Row],[Cotação 2]])</f>
        <v>5.75</v>
      </c>
      <c r="I309" s="19">
        <f>IF(Tabela2[[#This Row],[Dividendo / Ação]]&gt;0,Tabela2[[#This Row],[Dividendo / Ação]]/Tabela2[[#This Row],[Cotação]],"")</f>
        <v>1.5244251860869565E-2</v>
      </c>
      <c r="J309" s="61">
        <f>SUMPRODUCT(N(Tabela1[Código]=Tabela2[[#This Row],[Ativo]]),Tabela1[Fechamento])</f>
        <v>5.75</v>
      </c>
      <c r="K309" s="61">
        <f>SUMPRODUCT(N(Tabela17[Código]=Tabela2[[#This Row],[Ativo]]),Tabela17[Fechamento])</f>
        <v>0</v>
      </c>
    </row>
    <row r="310" spans="1:13">
      <c r="A310" s="4" t="s">
        <v>190</v>
      </c>
      <c r="B310" s="4">
        <v>2009</v>
      </c>
      <c r="C310" s="6">
        <v>-7526000</v>
      </c>
      <c r="D310" s="8">
        <f>SUMPRODUCT(N(Tabela3[PAPEL]=Tabela2[[#This Row],[Ativo]]),Tabela3[Total Ações])</f>
        <v>36947084</v>
      </c>
      <c r="E310" s="66">
        <f>(Tabela2[[#This Row],[Lucro Líquido]])/Tabela2[[#This Row],[Total Ações]]</f>
        <v>-0.20369672475370451</v>
      </c>
      <c r="F310" s="66">
        <v>0</v>
      </c>
      <c r="G310" s="46" t="str">
        <f>IF(AND(Tabela2[[#This Row],[Dividendo / Ação]]&gt;0,Tabela2[[#This Row],[Lucro por ação]]&gt;0),Tabela2[[#This Row],[Dividendo / Ação]]/Tabela2[[#This Row],[Lucro por ação]],"")</f>
        <v/>
      </c>
      <c r="H310" s="6">
        <f>MAX(Tabela2[[#This Row],[Cotação 1]],Tabela2[[#This Row],[Cotação 2]])</f>
        <v>5.75</v>
      </c>
      <c r="I310" s="19" t="str">
        <f>IF(Tabela2[[#This Row],[Dividendo / Ação]]&gt;0,Tabela2[[#This Row],[Dividendo / Ação]]/Tabela2[[#This Row],[Cotação]],"")</f>
        <v/>
      </c>
      <c r="J310" s="61">
        <f>SUMPRODUCT(N(Tabela1[Código]=Tabela2[[#This Row],[Ativo]]),Tabela1[Fechamento])</f>
        <v>5.75</v>
      </c>
      <c r="K310" s="61">
        <f>SUMPRODUCT(N(Tabela17[Código]=Tabela2[[#This Row],[Ativo]]),Tabela17[Fechamento])</f>
        <v>0</v>
      </c>
    </row>
    <row r="311" spans="1:13">
      <c r="A311" s="4" t="s">
        <v>190</v>
      </c>
      <c r="B311" s="4">
        <v>2008</v>
      </c>
      <c r="C311" s="6">
        <v>-170585000</v>
      </c>
      <c r="D311" s="8">
        <f>SUMPRODUCT(N(Tabela3[PAPEL]=Tabela2[[#This Row],[Ativo]]),Tabela3[Total Ações])</f>
        <v>36947084</v>
      </c>
      <c r="E311" s="66">
        <f>(Tabela2[[#This Row],[Lucro Líquido]])/Tabela2[[#This Row],[Total Ações]]</f>
        <v>-4.6170084762304926</v>
      </c>
      <c r="F311" s="66">
        <v>0.36506361199999998</v>
      </c>
      <c r="G311" s="46" t="str">
        <f>IF(AND(Tabela2[[#This Row],[Dividendo / Ação]]&gt;0,Tabela2[[#This Row],[Lucro por ação]]&gt;0),Tabela2[[#This Row],[Dividendo / Ação]]/Tabela2[[#This Row],[Lucro por ação]],"")</f>
        <v/>
      </c>
      <c r="H311" s="6">
        <f>MAX(Tabela2[[#This Row],[Cotação 1]],Tabela2[[#This Row],[Cotação 2]])</f>
        <v>5.75</v>
      </c>
      <c r="I311" s="19">
        <f>IF(Tabela2[[#This Row],[Dividendo / Ação]]&gt;0,Tabela2[[#This Row],[Dividendo / Ação]]/Tabela2[[#This Row],[Cotação]],"")</f>
        <v>6.3489323826086949E-2</v>
      </c>
      <c r="J311" s="61">
        <f>SUMPRODUCT(N(Tabela1[Código]=Tabela2[[#This Row],[Ativo]]),Tabela1[Fechamento])</f>
        <v>5.75</v>
      </c>
      <c r="K311" s="61">
        <f>SUMPRODUCT(N(Tabela17[Código]=Tabela2[[#This Row],[Ativo]]),Tabela17[Fechamento])</f>
        <v>0</v>
      </c>
    </row>
    <row r="312" spans="1:13">
      <c r="A312" s="4" t="s">
        <v>28</v>
      </c>
      <c r="B312" s="4">
        <v>2012</v>
      </c>
      <c r="C312" s="6">
        <v>341644899.63</v>
      </c>
      <c r="D312" s="8">
        <f>SUMPRODUCT(N(Tabela3[PAPEL]=Tabela2[[#This Row],[Ativo]]),Tabela3[Total Ações])</f>
        <v>476415612</v>
      </c>
      <c r="E312" s="66">
        <f>(Tabela2[[#This Row],[Lucro Líquido]])/Tabela2[[#This Row],[Total Ações]]</f>
        <v>0.71711524774717084</v>
      </c>
      <c r="F312" s="66">
        <v>0.77853000000000006</v>
      </c>
      <c r="G312" s="46">
        <f>IF(AND(Tabela2[[#This Row],[Dividendo / Ação]]&gt;0,Tabela2[[#This Row],[Lucro por ação]]&gt;0),Tabela2[[#This Row],[Dividendo / Ação]]/Tabela2[[#This Row],[Lucro por ação]],"")</f>
        <v>1.0856413978726078</v>
      </c>
      <c r="H312" s="6">
        <f>MAX(Tabela2[[#This Row],[Cotação 1]],Tabela2[[#This Row],[Cotação 2]])</f>
        <v>11.14</v>
      </c>
      <c r="I312" s="19">
        <f>IF(Tabela2[[#This Row],[Dividendo / Ação]]&gt;0,Tabela2[[#This Row],[Dividendo / Ação]]/Tabela2[[#This Row],[Cotação]],"")</f>
        <v>6.9885996409335724E-2</v>
      </c>
      <c r="J312" s="61">
        <f>SUMPRODUCT(N(Tabela1[Código]=Tabela2[[#This Row],[Ativo]]),Tabela1[Fechamento])</f>
        <v>11.14</v>
      </c>
      <c r="K312" s="61">
        <f>SUMPRODUCT(N(Tabela17[Código]=Tabela2[[#This Row],[Ativo]]),Tabela17[Fechamento])</f>
        <v>0</v>
      </c>
    </row>
    <row r="313" spans="1:13">
      <c r="A313" s="4" t="s">
        <v>28</v>
      </c>
      <c r="B313" s="4">
        <v>2011</v>
      </c>
      <c r="C313" s="6">
        <v>491579920.89999998</v>
      </c>
      <c r="D313" s="8">
        <f>SUMPRODUCT(N(Tabela3[PAPEL]=Tabela2[[#This Row],[Ativo]]),Tabela3[Total Ações])</f>
        <v>476415612</v>
      </c>
      <c r="E313" s="66">
        <f>(Tabela2[[#This Row],[Lucro Líquido]])/Tabela2[[#This Row],[Total Ações]]</f>
        <v>1.0318299999371137</v>
      </c>
      <c r="F313" s="66">
        <v>2.3355890000000001</v>
      </c>
      <c r="G313" s="46">
        <f>IF(AND(Tabela2[[#This Row],[Dividendo / Ação]]&gt;0,Tabela2[[#This Row],[Lucro por ação]]&gt;0),Tabela2[[#This Row],[Dividendo / Ação]]/Tabela2[[#This Row],[Lucro por ação]],"")</f>
        <v>2.2635405058414135</v>
      </c>
      <c r="H313" s="6">
        <f>MAX(Tabela2[[#This Row],[Cotação 1]],Tabela2[[#This Row],[Cotação 2]])</f>
        <v>11.14</v>
      </c>
      <c r="I313" s="19">
        <f>IF(Tabela2[[#This Row],[Dividendo / Ação]]&gt;0,Tabela2[[#This Row],[Dividendo / Ação]]/Tabela2[[#This Row],[Cotação]],"")</f>
        <v>0.20965789946140037</v>
      </c>
      <c r="J313" s="61">
        <f>SUMPRODUCT(N(Tabela1[Código]=Tabela2[[#This Row],[Ativo]]),Tabela1[Fechamento])</f>
        <v>11.14</v>
      </c>
      <c r="K313" s="61">
        <f>SUMPRODUCT(N(Tabela17[Código]=Tabela2[[#This Row],[Ativo]]),Tabela17[Fechamento])</f>
        <v>0</v>
      </c>
    </row>
    <row r="314" spans="1:13">
      <c r="A314" s="4" t="s">
        <v>28</v>
      </c>
      <c r="B314" s="4">
        <v>2010</v>
      </c>
      <c r="C314" s="6">
        <v>588911630.5</v>
      </c>
      <c r="D314" s="8">
        <f>SUMPRODUCT(N(Tabela3[PAPEL]=Tabela2[[#This Row],[Ativo]]),Tabela3[Total Ações])</f>
        <v>476415612</v>
      </c>
      <c r="E314" s="66">
        <f>(Tabela2[[#This Row],[Lucro Líquido]])/Tabela2[[#This Row],[Total Ações]]</f>
        <v>1.2361300000806859</v>
      </c>
      <c r="F314" s="66">
        <v>2.22437</v>
      </c>
      <c r="G314" s="46">
        <f>IF(AND(Tabela2[[#This Row],[Dividendo / Ação]]&gt;0,Tabela2[[#This Row],[Lucro por ação]]&gt;0),Tabela2[[#This Row],[Dividendo / Ação]]/Tabela2[[#This Row],[Lucro por ação]],"")</f>
        <v>1.7994628395515107</v>
      </c>
      <c r="H314" s="6">
        <f>MAX(Tabela2[[#This Row],[Cotação 1]],Tabela2[[#This Row],[Cotação 2]])</f>
        <v>11.14</v>
      </c>
      <c r="I314" s="19">
        <f>IF(Tabela2[[#This Row],[Dividendo / Ação]]&gt;0,Tabela2[[#This Row],[Dividendo / Ação]]/Tabela2[[#This Row],[Cotação]],"")</f>
        <v>0.19967414721723517</v>
      </c>
      <c r="J314" s="61">
        <f>SUMPRODUCT(N(Tabela1[Código]=Tabela2[[#This Row],[Ativo]]),Tabela1[Fechamento])</f>
        <v>11.14</v>
      </c>
      <c r="K314" s="61">
        <f>SUMPRODUCT(N(Tabela17[Código]=Tabela2[[#This Row],[Ativo]]),Tabela17[Fechamento])</f>
        <v>0</v>
      </c>
    </row>
    <row r="315" spans="1:13">
      <c r="A315" s="4" t="s">
        <v>28</v>
      </c>
      <c r="B315" s="4">
        <v>2009</v>
      </c>
      <c r="C315" s="6">
        <v>695571557.70000005</v>
      </c>
      <c r="D315" s="8">
        <f>SUMPRODUCT(N(Tabela3[PAPEL]=Tabela2[[#This Row],[Ativo]]),Tabela3[Total Ações])</f>
        <v>476415612</v>
      </c>
      <c r="E315" s="66">
        <f>(Tabela2[[#This Row],[Lucro Líquido]])/Tabela2[[#This Row],[Total Ações]]</f>
        <v>1.4600100000501244</v>
      </c>
      <c r="F315" s="66">
        <v>1.869219</v>
      </c>
      <c r="G315" s="46">
        <f>IF(AND(Tabela2[[#This Row],[Dividendo / Ação]]&gt;0,Tabela2[[#This Row],[Lucro por ação]]&gt;0),Tabela2[[#This Row],[Dividendo / Ação]]/Tabela2[[#This Row],[Lucro por ação]],"")</f>
        <v>1.2802782172285305</v>
      </c>
      <c r="H315" s="6">
        <f>MAX(Tabela2[[#This Row],[Cotação 1]],Tabela2[[#This Row],[Cotação 2]])</f>
        <v>11.14</v>
      </c>
      <c r="I315" s="19">
        <f>IF(Tabela2[[#This Row],[Dividendo / Ação]]&gt;0,Tabela2[[#This Row],[Dividendo / Ação]]/Tabela2[[#This Row],[Cotação]],"")</f>
        <v>0.16779344703770196</v>
      </c>
      <c r="J315" s="61">
        <f>SUMPRODUCT(N(Tabela1[Código]=Tabela2[[#This Row],[Ativo]]),Tabela1[Fechamento])</f>
        <v>11.14</v>
      </c>
      <c r="K315" s="61">
        <f>SUMPRODUCT(N(Tabela17[Código]=Tabela2[[#This Row],[Ativo]]),Tabela17[Fechamento])</f>
        <v>0</v>
      </c>
      <c r="M315" s="5"/>
    </row>
    <row r="316" spans="1:13">
      <c r="A316" s="4" t="s">
        <v>92</v>
      </c>
      <c r="B316" s="4">
        <v>2012</v>
      </c>
      <c r="C316" s="6">
        <v>290441196.88</v>
      </c>
      <c r="D316" s="8">
        <f>SUMPRODUCT(N(Tabela3[PAPEL]=Tabela2[[#This Row],[Ativo]]),Tabela3[Total Ações])</f>
        <v>1245690889</v>
      </c>
      <c r="E316" s="64">
        <f>(Tabela2[[#This Row],[Lucro Líquido]])/Tabela2[[#This Row],[Total Ações]]</f>
        <v>0.23315671603984894</v>
      </c>
      <c r="F316" s="64">
        <v>0.79500000000000004</v>
      </c>
      <c r="G316" s="19">
        <f>IF(AND(Tabela2[[#This Row],[Dividendo / Ação]]&gt;0,Tabela2[[#This Row],[Lucro por ação]]&gt;0),Tabela2[[#This Row],[Dividendo / Ação]]/Tabela2[[#This Row],[Lucro por ação]],"")</f>
        <v>3.4097237836551368</v>
      </c>
      <c r="H316" s="6">
        <f>MAX(Tabela2[[#This Row],[Cotação 1]],Tabela2[[#This Row],[Cotação 2]])</f>
        <v>12.5</v>
      </c>
      <c r="I316" s="18">
        <f>IF(Tabela2[[#This Row],[Dividendo / Ação]]&gt;0,Tabela2[[#This Row],[Dividendo / Ação]]/Tabela2[[#This Row],[Cotação]],"")</f>
        <v>6.3600000000000004E-2</v>
      </c>
      <c r="J316" s="60">
        <f>SUMPRODUCT(N(Tabela1[Código]=Tabela2[[#This Row],[Ativo]]),Tabela1[Fechamento])</f>
        <v>12.5</v>
      </c>
      <c r="K316" s="60">
        <f>SUMPRODUCT(N(Tabela17[Código]=Tabela2[[#This Row],[Ativo]]),Tabela17[Fechamento])</f>
        <v>0</v>
      </c>
    </row>
    <row r="317" spans="1:13">
      <c r="A317" s="4" t="s">
        <v>92</v>
      </c>
      <c r="B317" s="4">
        <v>2011</v>
      </c>
      <c r="C317" s="5">
        <v>212054242.16999999</v>
      </c>
      <c r="D317" s="8">
        <f>SUMPRODUCT(N(Tabela3[PAPEL]=Tabela2[[#This Row],[Ativo]]),Tabela3[Total Ações])</f>
        <v>1245690889</v>
      </c>
      <c r="E317" s="64">
        <f>(Tabela2[[#This Row],[Lucro Líquido]])/Tabela2[[#This Row],[Total Ações]]</f>
        <v>0.17023022648919767</v>
      </c>
      <c r="F317" s="64">
        <v>9.6000000000000002E-2</v>
      </c>
      <c r="G317" s="19">
        <f>IF(AND(Tabela2[[#This Row],[Dividendo / Ação]]&gt;0,Tabela2[[#This Row],[Lucro por ação]]&gt;0),Tabela2[[#This Row],[Dividendo / Ação]]/Tabela2[[#This Row],[Lucro por ação]],"")</f>
        <v>0.56394215046228524</v>
      </c>
      <c r="H317" s="6">
        <f>MAX(Tabela2[[#This Row],[Cotação 1]],Tabela2[[#This Row],[Cotação 2]])</f>
        <v>12.5</v>
      </c>
      <c r="I317" s="18">
        <f>IF(Tabela2[[#This Row],[Dividendo / Ação]]&gt;0,Tabela2[[#This Row],[Dividendo / Ação]]/Tabela2[[#This Row],[Cotação]],"")</f>
        <v>7.6800000000000002E-3</v>
      </c>
      <c r="J317" s="60">
        <f>SUMPRODUCT(N(Tabela1[Código]=Tabela2[[#This Row],[Ativo]]),Tabela1[Fechamento])</f>
        <v>12.5</v>
      </c>
      <c r="K317" s="60">
        <f>SUMPRODUCT(N(Tabela17[Código]=Tabela2[[#This Row],[Ativo]]),Tabela17[Fechamento])</f>
        <v>0</v>
      </c>
    </row>
    <row r="318" spans="1:13">
      <c r="A318" s="4" t="s">
        <v>92</v>
      </c>
      <c r="B318" s="4">
        <v>2010</v>
      </c>
      <c r="C318" s="5">
        <v>194647783.53</v>
      </c>
      <c r="D318" s="8">
        <f>SUMPRODUCT(N(Tabela3[PAPEL]=Tabela2[[#This Row],[Ativo]]),Tabela3[Total Ações])</f>
        <v>1245690889</v>
      </c>
      <c r="E318" s="64">
        <f>(Tabela2[[#This Row],[Lucro Líquido]])/Tabela2[[#This Row],[Total Ações]]</f>
        <v>0.15625688944892011</v>
      </c>
      <c r="F318" s="64">
        <v>8.8999999999999996E-2</v>
      </c>
      <c r="G318" s="19">
        <f>IF(AND(Tabela2[[#This Row],[Dividendo / Ação]]&gt;0,Tabela2[[#This Row],[Lucro por ação]]&gt;0),Tabela2[[#This Row],[Dividendo / Ação]]/Tabela2[[#This Row],[Lucro por ação]],"")</f>
        <v>0.56957488603466555</v>
      </c>
      <c r="H318" s="6">
        <f>MAX(Tabela2[[#This Row],[Cotação 1]],Tabela2[[#This Row],[Cotação 2]])</f>
        <v>12.5</v>
      </c>
      <c r="I318" s="18">
        <f>IF(Tabela2[[#This Row],[Dividendo / Ação]]&gt;0,Tabela2[[#This Row],[Dividendo / Ação]]/Tabela2[[#This Row],[Cotação]],"")</f>
        <v>7.1199999999999996E-3</v>
      </c>
      <c r="J318" s="60">
        <f>SUMPRODUCT(N(Tabela1[Código]=Tabela2[[#This Row],[Ativo]]),Tabela1[Fechamento])</f>
        <v>12.5</v>
      </c>
      <c r="K318" s="60">
        <f>SUMPRODUCT(N(Tabela17[Código]=Tabela2[[#This Row],[Ativo]]),Tabela17[Fechamento])</f>
        <v>0</v>
      </c>
    </row>
    <row r="319" spans="1:13">
      <c r="A319" s="4" t="s">
        <v>92</v>
      </c>
      <c r="B319" s="4">
        <v>2009</v>
      </c>
      <c r="C319" s="5">
        <v>276855137.25</v>
      </c>
      <c r="D319" s="8">
        <f>SUMPRODUCT(N(Tabela3[PAPEL]=Tabela2[[#This Row],[Ativo]]),Tabela3[Total Ações])</f>
        <v>1245690889</v>
      </c>
      <c r="E319" s="64">
        <f>(Tabela2[[#This Row],[Lucro Líquido]])/Tabela2[[#This Row],[Total Ações]]</f>
        <v>0.22225027066887379</v>
      </c>
      <c r="F319" s="64">
        <v>0.113</v>
      </c>
      <c r="G319" s="19">
        <f>IF(AND(Tabela2[[#This Row],[Dividendo / Ação]]&gt;0,Tabela2[[#This Row],[Lucro por ação]]&gt;0),Tabela2[[#This Row],[Dividendo / Ação]]/Tabela2[[#This Row],[Lucro por ação]],"")</f>
        <v>0.50843582624183359</v>
      </c>
      <c r="H319" s="6">
        <f>MAX(Tabela2[[#This Row],[Cotação 1]],Tabela2[[#This Row],[Cotação 2]])</f>
        <v>12.5</v>
      </c>
      <c r="I319" s="18">
        <f>IF(Tabela2[[#This Row],[Dividendo / Ação]]&gt;0,Tabela2[[#This Row],[Dividendo / Ação]]/Tabela2[[#This Row],[Cotação]],"")</f>
        <v>9.0399999999999994E-3</v>
      </c>
      <c r="J319" s="60">
        <f>SUMPRODUCT(N(Tabela1[Código]=Tabela2[[#This Row],[Ativo]]),Tabela1[Fechamento])</f>
        <v>12.5</v>
      </c>
      <c r="K319" s="60">
        <f>SUMPRODUCT(N(Tabela17[Código]=Tabela2[[#This Row],[Ativo]]),Tabela17[Fechamento])</f>
        <v>0</v>
      </c>
    </row>
    <row r="320" spans="1:13">
      <c r="A320" s="4" t="s">
        <v>192</v>
      </c>
      <c r="B320" s="3">
        <v>2012</v>
      </c>
      <c r="C320" s="6">
        <v>290441196.88</v>
      </c>
      <c r="D320" s="62">
        <f>SUMPRODUCT(N(Tabela3[PAPEL]=Tabela2[[#This Row],[Ativo]]),Tabela3[Total Ações])</f>
        <v>1245690889</v>
      </c>
      <c r="E320" s="63">
        <f>(Tabela2[[#This Row],[Lucro Líquido]])/Tabela2[[#This Row],[Total Ações]]</f>
        <v>0.23315671603984894</v>
      </c>
      <c r="F320" s="63">
        <v>0.159</v>
      </c>
      <c r="G320" s="18">
        <f>IF(AND(Tabela2[[#This Row],[Dividendo / Ação]]&gt;0,Tabela2[[#This Row],[Lucro por ação]]&gt;0),Tabela2[[#This Row],[Dividendo / Ação]]/Tabela2[[#This Row],[Lucro por ação]],"")</f>
        <v>0.68194475673102728</v>
      </c>
      <c r="H320" s="5">
        <f>MAX(Tabela2[[#This Row],[Cotação 1]],Tabela2[[#This Row],[Cotação 2]])</f>
        <v>3.15</v>
      </c>
      <c r="I320" s="18">
        <f>IF(Tabela2[[#This Row],[Dividendo / Ação]]&gt;0,Tabela2[[#This Row],[Dividendo / Ação]]/Tabela2[[#This Row],[Cotação]],"")</f>
        <v>5.047619047619048E-2</v>
      </c>
      <c r="J320" s="60">
        <f>SUMPRODUCT(N(Tabela1[Código]=Tabela2[[#This Row],[Ativo]]),Tabela1[Fechamento])</f>
        <v>3.15</v>
      </c>
      <c r="K320" s="60">
        <f>SUMPRODUCT(N(Tabela17[Código]=Tabela2[[#This Row],[Ativo]]),Tabela17[Fechamento])</f>
        <v>0</v>
      </c>
    </row>
    <row r="321" spans="1:13">
      <c r="A321" s="4" t="s">
        <v>192</v>
      </c>
      <c r="B321" s="3">
        <v>2011</v>
      </c>
      <c r="C321" s="5">
        <v>212054242.16999999</v>
      </c>
      <c r="D321" s="62">
        <f>SUMPRODUCT(N(Tabela3[PAPEL]=Tabela2[[#This Row],[Ativo]]),Tabela3[Total Ações])</f>
        <v>1245690889</v>
      </c>
      <c r="E321" s="63">
        <f>(Tabela2[[#This Row],[Lucro Líquido]])/Tabela2[[#This Row],[Total Ações]]</f>
        <v>0.17023022648919767</v>
      </c>
      <c r="F321" s="64">
        <v>9.6000000000000002E-2</v>
      </c>
      <c r="G321" s="18">
        <f>IF(AND(Tabela2[[#This Row],[Dividendo / Ação]]&gt;0,Tabela2[[#This Row],[Lucro por ação]]&gt;0),Tabela2[[#This Row],[Dividendo / Ação]]/Tabela2[[#This Row],[Lucro por ação]],"")</f>
        <v>0.56394215046228524</v>
      </c>
      <c r="H321" s="5">
        <f>MAX(Tabela2[[#This Row],[Cotação 1]],Tabela2[[#This Row],[Cotação 2]])</f>
        <v>3.15</v>
      </c>
      <c r="I321" s="18">
        <f>IF(Tabela2[[#This Row],[Dividendo / Ação]]&gt;0,Tabela2[[#This Row],[Dividendo / Ação]]/Tabela2[[#This Row],[Cotação]],"")</f>
        <v>3.0476190476190476E-2</v>
      </c>
      <c r="J321" s="60">
        <f>SUMPRODUCT(N(Tabela1[Código]=Tabela2[[#This Row],[Ativo]]),Tabela1[Fechamento])</f>
        <v>3.15</v>
      </c>
      <c r="K321" s="60">
        <f>SUMPRODUCT(N(Tabela17[Código]=Tabela2[[#This Row],[Ativo]]),Tabela17[Fechamento])</f>
        <v>0</v>
      </c>
    </row>
    <row r="322" spans="1:13">
      <c r="A322" s="4" t="s">
        <v>192</v>
      </c>
      <c r="B322" s="4">
        <v>2010</v>
      </c>
      <c r="C322" s="5">
        <v>194647783.53</v>
      </c>
      <c r="D322" s="62">
        <f>SUMPRODUCT(N(Tabela3[PAPEL]=Tabela2[[#This Row],[Ativo]]),Tabela3[Total Ações])</f>
        <v>1245690889</v>
      </c>
      <c r="E322" s="63">
        <f>(Tabela2[[#This Row],[Lucro Líquido]])/Tabela2[[#This Row],[Total Ações]]</f>
        <v>0.15625688944892011</v>
      </c>
      <c r="F322" s="64">
        <v>8.8999999999999996E-2</v>
      </c>
      <c r="G322" s="18">
        <f>IF(AND(Tabela2[[#This Row],[Dividendo / Ação]]&gt;0,Tabela2[[#This Row],[Lucro por ação]]&gt;0),Tabela2[[#This Row],[Dividendo / Ação]]/Tabela2[[#This Row],[Lucro por ação]],"")</f>
        <v>0.56957488603466555</v>
      </c>
      <c r="H322" s="5">
        <f>MAX(Tabela2[[#This Row],[Cotação 1]],Tabela2[[#This Row],[Cotação 2]])</f>
        <v>3.15</v>
      </c>
      <c r="I322" s="18">
        <f>IF(Tabela2[[#This Row],[Dividendo / Ação]]&gt;0,Tabela2[[#This Row],[Dividendo / Ação]]/Tabela2[[#This Row],[Cotação]],"")</f>
        <v>2.8253968253968254E-2</v>
      </c>
      <c r="J322" s="60">
        <f>SUMPRODUCT(N(Tabela1[Código]=Tabela2[[#This Row],[Ativo]]),Tabela1[Fechamento])</f>
        <v>3.15</v>
      </c>
      <c r="K322" s="60">
        <f>SUMPRODUCT(N(Tabela17[Código]=Tabela2[[#This Row],[Ativo]]),Tabela17[Fechamento])</f>
        <v>0</v>
      </c>
    </row>
    <row r="323" spans="1:13">
      <c r="A323" s="4" t="s">
        <v>192</v>
      </c>
      <c r="B323" s="4">
        <v>2009</v>
      </c>
      <c r="C323" s="5">
        <v>276855137.25</v>
      </c>
      <c r="D323" s="62">
        <f>SUMPRODUCT(N(Tabela3[PAPEL]=Tabela2[[#This Row],[Ativo]]),Tabela3[Total Ações])</f>
        <v>1245690889</v>
      </c>
      <c r="E323" s="63">
        <f>(Tabela2[[#This Row],[Lucro Líquido]])/Tabela2[[#This Row],[Total Ações]]</f>
        <v>0.22225027066887379</v>
      </c>
      <c r="F323" s="64">
        <v>0.113</v>
      </c>
      <c r="G323" s="18">
        <f>IF(AND(Tabela2[[#This Row],[Dividendo / Ação]]&gt;0,Tabela2[[#This Row],[Lucro por ação]]&gt;0),Tabela2[[#This Row],[Dividendo / Ação]]/Tabela2[[#This Row],[Lucro por ação]],"")</f>
        <v>0.50843582624183359</v>
      </c>
      <c r="H323" s="5">
        <f>MAX(Tabela2[[#This Row],[Cotação 1]],Tabela2[[#This Row],[Cotação 2]])</f>
        <v>3.15</v>
      </c>
      <c r="I323" s="18">
        <f>IF(Tabela2[[#This Row],[Dividendo / Ação]]&gt;0,Tabela2[[#This Row],[Dividendo / Ação]]/Tabela2[[#This Row],[Cotação]],"")</f>
        <v>3.5873015873015876E-2</v>
      </c>
      <c r="J323" s="60">
        <f>SUMPRODUCT(N(Tabela1[Código]=Tabela2[[#This Row],[Ativo]]),Tabela1[Fechamento])</f>
        <v>3.15</v>
      </c>
      <c r="K323" s="60">
        <f>SUMPRODUCT(N(Tabela17[Código]=Tabela2[[#This Row],[Ativo]]),Tabela17[Fechamento])</f>
        <v>0</v>
      </c>
    </row>
    <row r="324" spans="1:13">
      <c r="A324" s="4" t="s">
        <v>67</v>
      </c>
      <c r="B324" s="4">
        <v>2012</v>
      </c>
      <c r="C324" s="6">
        <v>290441196.88</v>
      </c>
      <c r="D324" s="8">
        <f>SUMPRODUCT(N(Tabela3[PAPEL]=Tabela2[[#This Row],[Ativo]]),Tabela3[Total Ações])</f>
        <v>1245690889</v>
      </c>
      <c r="E324" s="64">
        <f>(Tabela2[[#This Row],[Lucro Líquido]])/Tabela2[[#This Row],[Total Ações]]</f>
        <v>0.23315671603984894</v>
      </c>
      <c r="F324" s="64">
        <v>0.159</v>
      </c>
      <c r="G324" s="19">
        <f>IF(AND(Tabela2[[#This Row],[Dividendo / Ação]]&gt;0,Tabela2[[#This Row],[Lucro por ação]]&gt;0),Tabela2[[#This Row],[Dividendo / Ação]]/Tabela2[[#This Row],[Lucro por ação]],"")</f>
        <v>0.68194475673102728</v>
      </c>
      <c r="H324" s="6">
        <f>MAX(Tabela2[[#This Row],[Cotação 1]],Tabela2[[#This Row],[Cotação 2]])</f>
        <v>2.4</v>
      </c>
      <c r="I324" s="18">
        <f>IF(Tabela2[[#This Row],[Dividendo / Ação]]&gt;0,Tabela2[[#This Row],[Dividendo / Ação]]/Tabela2[[#This Row],[Cotação]],"")</f>
        <v>6.6250000000000003E-2</v>
      </c>
      <c r="J324" s="60">
        <f>SUMPRODUCT(N(Tabela1[Código]=Tabela2[[#This Row],[Ativo]]),Tabela1[Fechamento])</f>
        <v>2.4</v>
      </c>
      <c r="K324" s="60">
        <f>SUMPRODUCT(N(Tabela17[Código]=Tabela2[[#This Row],[Ativo]]),Tabela17[Fechamento])</f>
        <v>0</v>
      </c>
    </row>
    <row r="325" spans="1:13">
      <c r="A325" s="4" t="s">
        <v>67</v>
      </c>
      <c r="B325" s="3">
        <v>2011</v>
      </c>
      <c r="C325" s="5">
        <v>212054242.16999999</v>
      </c>
      <c r="D325" s="62">
        <f>SUMPRODUCT(N(Tabela3[PAPEL]=Tabela2[[#This Row],[Ativo]]),Tabela3[Total Ações])</f>
        <v>1245690889</v>
      </c>
      <c r="E325" s="63">
        <f>(Tabela2[[#This Row],[Lucro Líquido]])/Tabela2[[#This Row],[Total Ações]]</f>
        <v>0.17023022648919767</v>
      </c>
      <c r="F325" s="64">
        <v>9.6000000000000002E-2</v>
      </c>
      <c r="G325" s="18">
        <f>IF(AND(Tabela2[[#This Row],[Dividendo / Ação]]&gt;0,Tabela2[[#This Row],[Lucro por ação]]&gt;0),Tabela2[[#This Row],[Dividendo / Ação]]/Tabela2[[#This Row],[Lucro por ação]],"")</f>
        <v>0.56394215046228524</v>
      </c>
      <c r="H325" s="5">
        <f>MAX(Tabela2[[#This Row],[Cotação 1]],Tabela2[[#This Row],[Cotação 2]])</f>
        <v>2.4</v>
      </c>
      <c r="I325" s="18">
        <f>IF(Tabela2[[#This Row],[Dividendo / Ação]]&gt;0,Tabela2[[#This Row],[Dividendo / Ação]]/Tabela2[[#This Row],[Cotação]],"")</f>
        <v>0.04</v>
      </c>
      <c r="J325" s="60">
        <f>SUMPRODUCT(N(Tabela1[Código]=Tabela2[[#This Row],[Ativo]]),Tabela1[Fechamento])</f>
        <v>2.4</v>
      </c>
      <c r="K325" s="60">
        <f>SUMPRODUCT(N(Tabela17[Código]=Tabela2[[#This Row],[Ativo]]),Tabela17[Fechamento])</f>
        <v>0</v>
      </c>
    </row>
    <row r="326" spans="1:13">
      <c r="A326" s="4" t="s">
        <v>67</v>
      </c>
      <c r="B326" s="4">
        <v>2010</v>
      </c>
      <c r="C326" s="5">
        <v>194647783.53</v>
      </c>
      <c r="D326" s="62">
        <f>SUMPRODUCT(N(Tabela3[PAPEL]=Tabela2[[#This Row],[Ativo]]),Tabela3[Total Ações])</f>
        <v>1245690889</v>
      </c>
      <c r="E326" s="63">
        <f>(Tabela2[[#This Row],[Lucro Líquido]])/Tabela2[[#This Row],[Total Ações]]</f>
        <v>0.15625688944892011</v>
      </c>
      <c r="F326" s="64">
        <v>8.8999999999999996E-2</v>
      </c>
      <c r="G326" s="18">
        <f>IF(AND(Tabela2[[#This Row],[Dividendo / Ação]]&gt;0,Tabela2[[#This Row],[Lucro por ação]]&gt;0),Tabela2[[#This Row],[Dividendo / Ação]]/Tabela2[[#This Row],[Lucro por ação]],"")</f>
        <v>0.56957488603466555</v>
      </c>
      <c r="H326" s="5">
        <f>MAX(Tabela2[[#This Row],[Cotação 1]],Tabela2[[#This Row],[Cotação 2]])</f>
        <v>2.4</v>
      </c>
      <c r="I326" s="18">
        <f>IF(Tabela2[[#This Row],[Dividendo / Ação]]&gt;0,Tabela2[[#This Row],[Dividendo / Ação]]/Tabela2[[#This Row],[Cotação]],"")</f>
        <v>3.7083333333333336E-2</v>
      </c>
      <c r="J326" s="60">
        <f>SUMPRODUCT(N(Tabela1[Código]=Tabela2[[#This Row],[Ativo]]),Tabela1[Fechamento])</f>
        <v>2.4</v>
      </c>
      <c r="K326" s="60">
        <f>SUMPRODUCT(N(Tabela17[Código]=Tabela2[[#This Row],[Ativo]]),Tabela17[Fechamento])</f>
        <v>0</v>
      </c>
    </row>
    <row r="327" spans="1:13">
      <c r="A327" s="4" t="s">
        <v>67</v>
      </c>
      <c r="B327" s="4">
        <v>2009</v>
      </c>
      <c r="C327" s="5">
        <v>276855137.25</v>
      </c>
      <c r="D327" s="62">
        <f>SUMPRODUCT(N(Tabela3[PAPEL]=Tabela2[[#This Row],[Ativo]]),Tabela3[Total Ações])</f>
        <v>1245690889</v>
      </c>
      <c r="E327" s="63">
        <f>(Tabela2[[#This Row],[Lucro Líquido]])/Tabela2[[#This Row],[Total Ações]]</f>
        <v>0.22225027066887379</v>
      </c>
      <c r="F327" s="64">
        <v>0.113</v>
      </c>
      <c r="G327" s="18">
        <f>IF(AND(Tabela2[[#This Row],[Dividendo / Ação]]&gt;0,Tabela2[[#This Row],[Lucro por ação]]&gt;0),Tabela2[[#This Row],[Dividendo / Ação]]/Tabela2[[#This Row],[Lucro por ação]],"")</f>
        <v>0.50843582624183359</v>
      </c>
      <c r="H327" s="5">
        <f>MAX(Tabela2[[#This Row],[Cotação 1]],Tabela2[[#This Row],[Cotação 2]])</f>
        <v>2.4</v>
      </c>
      <c r="I327" s="18">
        <f>IF(Tabela2[[#This Row],[Dividendo / Ação]]&gt;0,Tabela2[[#This Row],[Dividendo / Ação]]/Tabela2[[#This Row],[Cotação]],"")</f>
        <v>4.7083333333333338E-2</v>
      </c>
      <c r="J327" s="60">
        <f>SUMPRODUCT(N(Tabela1[Código]=Tabela2[[#This Row],[Ativo]]),Tabela1[Fechamento])</f>
        <v>2.4</v>
      </c>
      <c r="K327" s="60">
        <f>SUMPRODUCT(N(Tabela17[Código]=Tabela2[[#This Row],[Ativo]]),Tabela17[Fechamento])</f>
        <v>0</v>
      </c>
    </row>
    <row r="328" spans="1:13">
      <c r="A328" s="4" t="s">
        <v>102</v>
      </c>
      <c r="B328" s="4">
        <v>2012</v>
      </c>
      <c r="C328" s="6">
        <v>384946993.33999997</v>
      </c>
      <c r="D328" s="8">
        <f>SUMPRODUCT(N(Tabela3[PAPEL]=Tabela2[[#This Row],[Ativo]]),Tabela3[Total Ações])</f>
        <v>164183899</v>
      </c>
      <c r="E328" s="66">
        <f>(Tabela2[[#This Row],[Lucro Líquido]])/Tabela2[[#This Row],[Total Ações]]</f>
        <v>2.3446086716456889</v>
      </c>
      <c r="F328" s="66">
        <v>0.46</v>
      </c>
      <c r="G328" s="46">
        <f>IF(AND(Tabela2[[#This Row],[Dividendo / Ação]]&gt;0,Tabela2[[#This Row],[Lucro por ação]]&gt;0),Tabela2[[#This Row],[Dividendo / Ação]]/Tabela2[[#This Row],[Lucro por ação]],"")</f>
        <v>0.19619478745556479</v>
      </c>
      <c r="H328" s="6">
        <f>MAX(Tabela2[[#This Row],[Cotação 1]],Tabela2[[#This Row],[Cotação 2]])</f>
        <v>14.88</v>
      </c>
      <c r="I328" s="19">
        <f>IF(Tabela2[[#This Row],[Dividendo / Ação]]&gt;0,Tabela2[[#This Row],[Dividendo / Ação]]/Tabela2[[#This Row],[Cotação]],"")</f>
        <v>3.0913978494623656E-2</v>
      </c>
      <c r="J328" s="61">
        <f>SUMPRODUCT(N(Tabela1[Código]=Tabela2[[#This Row],[Ativo]]),Tabela1[Fechamento])</f>
        <v>14.88</v>
      </c>
      <c r="K328" s="61">
        <f>SUMPRODUCT(N(Tabela17[Código]=Tabela2[[#This Row],[Ativo]]),Tabela17[Fechamento])</f>
        <v>0</v>
      </c>
    </row>
    <row r="329" spans="1:13">
      <c r="A329" s="4" t="s">
        <v>102</v>
      </c>
      <c r="B329" s="4">
        <v>2011</v>
      </c>
      <c r="C329" s="6">
        <v>247502000</v>
      </c>
      <c r="D329" s="8">
        <f>SUMPRODUCT(N(Tabela3[PAPEL]=Tabela2[[#This Row],[Ativo]]),Tabela3[Total Ações])</f>
        <v>164183899</v>
      </c>
      <c r="E329" s="66">
        <f>(Tabela2[[#This Row],[Lucro Líquido]])/Tabela2[[#This Row],[Total Ações]]</f>
        <v>1.5074681592255279</v>
      </c>
      <c r="F329" s="66">
        <v>0.56999999999999995</v>
      </c>
      <c r="G329" s="46">
        <f>IF(AND(Tabela2[[#This Row],[Dividendo / Ação]]&gt;0,Tabela2[[#This Row],[Lucro por ação]]&gt;0),Tabela2[[#This Row],[Dividendo / Ação]]/Tabela2[[#This Row],[Lucro por ação]],"")</f>
        <v>0.37811743917220869</v>
      </c>
      <c r="H329" s="6">
        <f>MAX(Tabela2[[#This Row],[Cotação 1]],Tabela2[[#This Row],[Cotação 2]])</f>
        <v>14.88</v>
      </c>
      <c r="I329" s="19">
        <f>IF(Tabela2[[#This Row],[Dividendo / Ação]]&gt;0,Tabela2[[#This Row],[Dividendo / Ação]]/Tabela2[[#This Row],[Cotação]],"")</f>
        <v>3.830645161290322E-2</v>
      </c>
      <c r="J329" s="61">
        <f>SUMPRODUCT(N(Tabela1[Código]=Tabela2[[#This Row],[Ativo]]),Tabela1[Fechamento])</f>
        <v>14.88</v>
      </c>
      <c r="K329" s="61">
        <f>SUMPRODUCT(N(Tabela17[Código]=Tabela2[[#This Row],[Ativo]]),Tabela17[Fechamento])</f>
        <v>0</v>
      </c>
    </row>
    <row r="330" spans="1:13">
      <c r="A330" s="4" t="s">
        <v>102</v>
      </c>
      <c r="B330" s="4">
        <v>2010</v>
      </c>
      <c r="C330" s="6">
        <v>278621000</v>
      </c>
      <c r="D330" s="8">
        <f>SUMPRODUCT(N(Tabela3[PAPEL]=Tabela2[[#This Row],[Ativo]]),Tabela3[Total Ações])</f>
        <v>164183899</v>
      </c>
      <c r="E330" s="66">
        <f>(Tabela2[[#This Row],[Lucro Líquido]])/Tabela2[[#This Row],[Total Ações]]</f>
        <v>1.6970056241629394</v>
      </c>
      <c r="F330" s="66">
        <v>1.52</v>
      </c>
      <c r="G330" s="46">
        <f>IF(AND(Tabela2[[#This Row],[Dividendo / Ação]]&gt;0,Tabela2[[#This Row],[Lucro por ação]]&gt;0),Tabela2[[#This Row],[Dividendo / Ação]]/Tabela2[[#This Row],[Lucro por ação]],"")</f>
        <v>0.89569532260669515</v>
      </c>
      <c r="H330" s="6">
        <f>MAX(Tabela2[[#This Row],[Cotação 1]],Tabela2[[#This Row],[Cotação 2]])</f>
        <v>14.88</v>
      </c>
      <c r="I330" s="19">
        <f>IF(Tabela2[[#This Row],[Dividendo / Ação]]&gt;0,Tabela2[[#This Row],[Dividendo / Ação]]/Tabela2[[#This Row],[Cotação]],"")</f>
        <v>0.10215053763440859</v>
      </c>
      <c r="J330" s="61">
        <f>SUMPRODUCT(N(Tabela1[Código]=Tabela2[[#This Row],[Ativo]]),Tabela1[Fechamento])</f>
        <v>14.88</v>
      </c>
      <c r="K330" s="61">
        <f>SUMPRODUCT(N(Tabela17[Código]=Tabela2[[#This Row],[Ativo]]),Tabela17[Fechamento])</f>
        <v>0</v>
      </c>
    </row>
    <row r="331" spans="1:13">
      <c r="A331" s="4" t="s">
        <v>35</v>
      </c>
      <c r="B331" s="4">
        <v>2012</v>
      </c>
      <c r="C331" s="6">
        <v>140995000</v>
      </c>
      <c r="D331" s="8">
        <f>SUMPRODUCT(N(Tabela3[PAPEL]=Tabela2[[#This Row],[Ativo]]),Tabela3[Total Ações])</f>
        <v>198447352</v>
      </c>
      <c r="E331" s="66">
        <f>(Tabela2[[#This Row],[Lucro Líquido]])/Tabela2[[#This Row],[Total Ações]]</f>
        <v>0.7104907098987141</v>
      </c>
      <c r="F331" s="66">
        <v>0.17</v>
      </c>
      <c r="G331" s="46">
        <f>IF(AND(Tabela2[[#This Row],[Dividendo / Ação]]&gt;0,Tabela2[[#This Row],[Lucro por ação]]&gt;0),Tabela2[[#This Row],[Dividendo / Ação]]/Tabela2[[#This Row],[Lucro por ação]],"")</f>
        <v>0.23927124961878082</v>
      </c>
      <c r="H331" s="6">
        <f>MAX(Tabela2[[#This Row],[Cotação 1]],Tabela2[[#This Row],[Cotação 2]])</f>
        <v>21.96</v>
      </c>
      <c r="I331" s="19">
        <f>IF(Tabela2[[#This Row],[Dividendo / Ação]]&gt;0,Tabela2[[#This Row],[Dividendo / Ação]]/Tabela2[[#This Row],[Cotação]],"")</f>
        <v>7.7413479052823317E-3</v>
      </c>
      <c r="J331" s="61">
        <f>SUMPRODUCT(N(Tabela1[Código]=Tabela2[[#This Row],[Ativo]]),Tabela1[Fechamento])</f>
        <v>21.96</v>
      </c>
      <c r="K331" s="61">
        <f>SUMPRODUCT(N(Tabela17[Código]=Tabela2[[#This Row],[Ativo]]),Tabela17[Fechamento])</f>
        <v>0</v>
      </c>
    </row>
    <row r="332" spans="1:13">
      <c r="A332" s="4" t="s">
        <v>35</v>
      </c>
      <c r="B332" s="4">
        <v>2011</v>
      </c>
      <c r="C332" s="6">
        <v>159996000</v>
      </c>
      <c r="D332" s="8">
        <f>SUMPRODUCT(N(Tabela3[PAPEL]=Tabela2[[#This Row],[Ativo]]),Tabela3[Total Ações])</f>
        <v>198447352</v>
      </c>
      <c r="E332" s="66">
        <f>(Tabela2[[#This Row],[Lucro Líquido]])/Tabela2[[#This Row],[Total Ações]]</f>
        <v>0.80623902706446793</v>
      </c>
      <c r="F332" s="66">
        <v>0.46</v>
      </c>
      <c r="G332" s="46">
        <f>IF(AND(Tabela2[[#This Row],[Dividendo / Ação]]&gt;0,Tabela2[[#This Row],[Lucro por ação]]&gt;0),Tabela2[[#This Row],[Dividendo / Ação]]/Tabela2[[#This Row],[Lucro por ação]],"")</f>
        <v>0.57055040076001906</v>
      </c>
      <c r="H332" s="6">
        <f>MAX(Tabela2[[#This Row],[Cotação 1]],Tabela2[[#This Row],[Cotação 2]])</f>
        <v>21.96</v>
      </c>
      <c r="I332" s="19">
        <f>IF(Tabela2[[#This Row],[Dividendo / Ação]]&gt;0,Tabela2[[#This Row],[Dividendo / Ação]]/Tabela2[[#This Row],[Cotação]],"")</f>
        <v>2.0947176684881604E-2</v>
      </c>
      <c r="J332" s="61">
        <f>SUMPRODUCT(N(Tabela1[Código]=Tabela2[[#This Row],[Ativo]]),Tabela1[Fechamento])</f>
        <v>21.96</v>
      </c>
      <c r="K332" s="61">
        <f>SUMPRODUCT(N(Tabela17[Código]=Tabela2[[#This Row],[Ativo]]),Tabela17[Fechamento])</f>
        <v>0</v>
      </c>
    </row>
    <row r="333" spans="1:13">
      <c r="A333" s="4" t="s">
        <v>35</v>
      </c>
      <c r="B333" s="4">
        <v>2010</v>
      </c>
      <c r="C333" s="6">
        <v>188871000</v>
      </c>
      <c r="D333" s="8">
        <f>SUMPRODUCT(N(Tabela3[PAPEL]=Tabela2[[#This Row],[Ativo]]),Tabela3[Total Ações])</f>
        <v>198447352</v>
      </c>
      <c r="E333" s="66">
        <f>(Tabela2[[#This Row],[Lucro Líquido]])/Tabela2[[#This Row],[Total Ações]]</f>
        <v>0.95174361409468444</v>
      </c>
      <c r="F333" s="66">
        <v>1.8</v>
      </c>
      <c r="G333" s="46">
        <f>IF(AND(Tabela2[[#This Row],[Dividendo / Ação]]&gt;0,Tabela2[[#This Row],[Lucro por ação]]&gt;0),Tabela2[[#This Row],[Dividendo / Ação]]/Tabela2[[#This Row],[Lucro por ação]],"")</f>
        <v>1.8912656448051846</v>
      </c>
      <c r="H333" s="6">
        <f>MAX(Tabela2[[#This Row],[Cotação 1]],Tabela2[[#This Row],[Cotação 2]])</f>
        <v>21.96</v>
      </c>
      <c r="I333" s="19">
        <f>IF(Tabela2[[#This Row],[Dividendo / Ação]]&gt;0,Tabela2[[#This Row],[Dividendo / Ação]]/Tabela2[[#This Row],[Cotação]],"")</f>
        <v>8.1967213114754092E-2</v>
      </c>
      <c r="J333" s="61">
        <f>SUMPRODUCT(N(Tabela1[Código]=Tabela2[[#This Row],[Ativo]]),Tabela1[Fechamento])</f>
        <v>21.96</v>
      </c>
      <c r="K333" s="61">
        <f>SUMPRODUCT(N(Tabela17[Código]=Tabela2[[#This Row],[Ativo]]),Tabela17[Fechamento])</f>
        <v>0</v>
      </c>
    </row>
    <row r="334" spans="1:13">
      <c r="A334" s="4" t="s">
        <v>494</v>
      </c>
      <c r="B334" s="4">
        <v>2012</v>
      </c>
      <c r="C334" s="6">
        <v>113004000</v>
      </c>
      <c r="D334" s="91">
        <f>SUMPRODUCT(N(Tabela3[PAPEL]=Tabela2[[#This Row],[Ativo]]),Tabela3[Total Ações])</f>
        <v>89500000</v>
      </c>
      <c r="E334" s="66">
        <f>(Tabela2[[#This Row],[Lucro Líquido]])/Tabela2[[#This Row],[Total Ações]]</f>
        <v>1.2626145251396648</v>
      </c>
      <c r="F334" s="66">
        <v>0.8</v>
      </c>
      <c r="G334" s="45">
        <f>IF(AND(Tabela2[[#This Row],[Dividendo / Ação]]&gt;0,Tabela2[[#This Row],[Lucro por ação]]&gt;0),Tabela2[[#This Row],[Dividendo / Ação]]/Tabela2[[#This Row],[Lucro por ação]],"")</f>
        <v>0.6336058900569892</v>
      </c>
      <c r="H334" s="61">
        <f>MAX(Tabela2[[#This Row],[Cotação 1]],Tabela2[[#This Row],[Cotação 2]])</f>
        <v>8.65</v>
      </c>
      <c r="I334" s="46">
        <f>IF(Tabela2[[#This Row],[Dividendo / Ação]]&gt;0,Tabela2[[#This Row],[Dividendo / Ação]]/Tabela2[[#This Row],[Cotação]],"")</f>
        <v>9.2485549132947972E-2</v>
      </c>
      <c r="J334" s="17">
        <f>SUMPRODUCT(N(Tabela1[Código]=Tabela2[[#This Row],[Ativo]]),Tabela1[Fechamento])</f>
        <v>0</v>
      </c>
      <c r="K334" s="17">
        <f>SUMPRODUCT(N(Tabela17[Código]=Tabela2[[#This Row],[Ativo]]),Tabela17[Fechamento])</f>
        <v>8.65</v>
      </c>
    </row>
    <row r="335" spans="1:13">
      <c r="A335" s="4" t="s">
        <v>494</v>
      </c>
      <c r="B335" s="4">
        <v>2011</v>
      </c>
      <c r="C335" s="6">
        <v>97193000</v>
      </c>
      <c r="D335" s="91">
        <f>SUMPRODUCT(N(Tabela3[PAPEL]=Tabela2[[#This Row],[Ativo]]),Tabela3[Total Ações])</f>
        <v>89500000</v>
      </c>
      <c r="E335" s="66">
        <f>(Tabela2[[#This Row],[Lucro Líquido]])/Tabela2[[#This Row],[Total Ações]]</f>
        <v>1.0859553072625698</v>
      </c>
      <c r="F335" s="66">
        <v>0.9</v>
      </c>
      <c r="G335" s="45">
        <f>IF(AND(Tabela2[[#This Row],[Dividendo / Ação]]&gt;0,Tabela2[[#This Row],[Lucro por ação]]&gt;0),Tabela2[[#This Row],[Dividendo / Ação]]/Tabela2[[#This Row],[Lucro por ação]],"")</f>
        <v>0.82876338830985774</v>
      </c>
      <c r="H335" s="61">
        <f>MAX(Tabela2[[#This Row],[Cotação 1]],Tabela2[[#This Row],[Cotação 2]])</f>
        <v>8.65</v>
      </c>
      <c r="I335" s="46">
        <f>IF(Tabela2[[#This Row],[Dividendo / Ação]]&gt;0,Tabela2[[#This Row],[Dividendo / Ação]]/Tabela2[[#This Row],[Cotação]],"")</f>
        <v>0.10404624277456648</v>
      </c>
      <c r="J335" s="17">
        <f>SUMPRODUCT(N(Tabela1[Código]=Tabela2[[#This Row],[Ativo]]),Tabela1[Fechamento])</f>
        <v>0</v>
      </c>
      <c r="K335" s="17">
        <f>SUMPRODUCT(N(Tabela17[Código]=Tabela2[[#This Row],[Ativo]]),Tabela17[Fechamento])</f>
        <v>8.65</v>
      </c>
    </row>
    <row r="336" spans="1:13">
      <c r="A336" s="4" t="s">
        <v>494</v>
      </c>
      <c r="B336" s="4">
        <v>2010</v>
      </c>
      <c r="C336" s="6">
        <v>102085000</v>
      </c>
      <c r="D336" s="91">
        <f>SUMPRODUCT(N(Tabela3[PAPEL]=Tabela2[[#This Row],[Ativo]]),Tabela3[Total Ações])</f>
        <v>89500000</v>
      </c>
      <c r="E336" s="66">
        <f>(Tabela2[[#This Row],[Lucro Líquido]])/Tabela2[[#This Row],[Total Ações]]</f>
        <v>1.1406145251396649</v>
      </c>
      <c r="F336" s="66">
        <v>0.8</v>
      </c>
      <c r="G336" s="45">
        <f>IF(AND(Tabela2[[#This Row],[Dividendo / Ação]]&gt;0,Tabela2[[#This Row],[Lucro por ação]]&gt;0),Tabela2[[#This Row],[Dividendo / Ação]]/Tabela2[[#This Row],[Lucro por ação]],"")</f>
        <v>0.7013763040603419</v>
      </c>
      <c r="H336" s="61">
        <f>MAX(Tabela2[[#This Row],[Cotação 1]],Tabela2[[#This Row],[Cotação 2]])</f>
        <v>8.65</v>
      </c>
      <c r="I336" s="46">
        <f>IF(Tabela2[[#This Row],[Dividendo / Ação]]&gt;0,Tabela2[[#This Row],[Dividendo / Ação]]/Tabela2[[#This Row],[Cotação]],"")</f>
        <v>9.2485549132947972E-2</v>
      </c>
      <c r="J336" s="17">
        <f>SUMPRODUCT(N(Tabela1[Código]=Tabela2[[#This Row],[Ativo]]),Tabela1[Fechamento])</f>
        <v>0</v>
      </c>
      <c r="K336" s="17">
        <f>SUMPRODUCT(N(Tabela17[Código]=Tabela2[[#This Row],[Ativo]]),Tabela17[Fechamento])</f>
        <v>8.65</v>
      </c>
      <c r="M336" s="3">
        <v>1.8859999999999998E-2</v>
      </c>
    </row>
    <row r="337" spans="1:13">
      <c r="A337" s="4" t="s">
        <v>466</v>
      </c>
      <c r="B337" s="4">
        <v>2012</v>
      </c>
      <c r="C337" s="6">
        <v>88379478.969999999</v>
      </c>
      <c r="D337" s="91">
        <f>SUMPRODUCT(N(Tabela3[PAPEL]=Tabela2[[#This Row],[Ativo]]),Tabela3[Total Ações])</f>
        <v>92619256</v>
      </c>
      <c r="E337" s="66">
        <f>(Tabela2[[#This Row],[Lucro Líquido]])/Tabela2[[#This Row],[Total Ações]]</f>
        <v>0.95422359007072999</v>
      </c>
      <c r="F337" s="66">
        <v>0.190493</v>
      </c>
      <c r="G337" s="45">
        <f>IF(AND(Tabela2[[#This Row],[Dividendo / Ação]]&gt;0,Tabela2[[#This Row],[Lucro por ação]]&gt;0),Tabela2[[#This Row],[Dividendo / Ação]]/Tabela2[[#This Row],[Lucro por ação]],"")</f>
        <v>0.1996314092233667</v>
      </c>
      <c r="H337" s="61">
        <f>MAX(Tabela2[[#This Row],[Cotação 1]],Tabela2[[#This Row],[Cotação 2]])</f>
        <v>6.78</v>
      </c>
      <c r="I337" s="46">
        <f>IF(Tabela2[[#This Row],[Dividendo / Ação]]&gt;0,Tabela2[[#This Row],[Dividendo / Ação]]/Tabela2[[#This Row],[Cotação]],"")</f>
        <v>2.8096312684365781E-2</v>
      </c>
      <c r="J337" s="17">
        <f>SUMPRODUCT(N(Tabela1[Código]=Tabela2[[#This Row],[Ativo]]),Tabela1[Fechamento])</f>
        <v>0</v>
      </c>
      <c r="K337" s="17">
        <f>SUMPRODUCT(N(Tabela17[Código]=Tabela2[[#This Row],[Ativo]]),Tabela17[Fechamento])</f>
        <v>6.78</v>
      </c>
    </row>
    <row r="338" spans="1:13">
      <c r="A338" s="4" t="s">
        <v>466</v>
      </c>
      <c r="B338" s="4">
        <v>2011</v>
      </c>
      <c r="C338" s="6">
        <v>88914485.760000005</v>
      </c>
      <c r="D338" s="91">
        <f>SUMPRODUCT(N(Tabela3[PAPEL]=Tabela2[[#This Row],[Ativo]]),Tabela3[Total Ações])</f>
        <v>92619256</v>
      </c>
      <c r="E338" s="66">
        <f>(Tabela2[[#This Row],[Lucro Líquido]])/Tabela2[[#This Row],[Total Ações]]</f>
        <v>0.96000000000000008</v>
      </c>
      <c r="F338" s="66">
        <v>0.28855599999999998</v>
      </c>
      <c r="G338" s="45">
        <f>IF(AND(Tabela2[[#This Row],[Dividendo / Ação]]&gt;0,Tabela2[[#This Row],[Lucro por ação]]&gt;0),Tabela2[[#This Row],[Dividendo / Ação]]/Tabela2[[#This Row],[Lucro por ação]],"")</f>
        <v>0.30057916666666662</v>
      </c>
      <c r="H338" s="61">
        <f>MAX(Tabela2[[#This Row],[Cotação 1]],Tabela2[[#This Row],[Cotação 2]])</f>
        <v>6.78</v>
      </c>
      <c r="I338" s="46">
        <f>IF(Tabela2[[#This Row],[Dividendo / Ação]]&gt;0,Tabela2[[#This Row],[Dividendo / Ação]]/Tabela2[[#This Row],[Cotação]],"")</f>
        <v>4.2559882005899698E-2</v>
      </c>
      <c r="J338" s="17">
        <f>SUMPRODUCT(N(Tabela1[Código]=Tabela2[[#This Row],[Ativo]]),Tabela1[Fechamento])</f>
        <v>0</v>
      </c>
      <c r="K338" s="17">
        <f>SUMPRODUCT(N(Tabela17[Código]=Tabela2[[#This Row],[Ativo]]),Tabela17[Fechamento])</f>
        <v>6.78</v>
      </c>
      <c r="M338" s="3">
        <f>SUM(M336:M337)</f>
        <v>1.8859999999999998E-2</v>
      </c>
    </row>
    <row r="339" spans="1:13">
      <c r="A339" s="4" t="s">
        <v>466</v>
      </c>
      <c r="B339" s="4">
        <v>2010</v>
      </c>
      <c r="C339" s="6">
        <v>120405032.8</v>
      </c>
      <c r="D339" s="91">
        <f>SUMPRODUCT(N(Tabela3[PAPEL]=Tabela2[[#This Row],[Ativo]]),Tabela3[Total Ações])</f>
        <v>92619256</v>
      </c>
      <c r="E339" s="66">
        <f>(Tabela2[[#This Row],[Lucro Líquido]])/Tabela2[[#This Row],[Total Ações]]</f>
        <v>1.3</v>
      </c>
      <c r="F339" s="66">
        <v>0.28032499999999999</v>
      </c>
      <c r="G339" s="45">
        <f>IF(AND(Tabela2[[#This Row],[Dividendo / Ação]]&gt;0,Tabela2[[#This Row],[Lucro por ação]]&gt;0),Tabela2[[#This Row],[Dividendo / Ação]]/Tabela2[[#This Row],[Lucro por ação]],"")</f>
        <v>0.21563461538461537</v>
      </c>
      <c r="H339" s="61">
        <f>MAX(Tabela2[[#This Row],[Cotação 1]],Tabela2[[#This Row],[Cotação 2]])</f>
        <v>6.78</v>
      </c>
      <c r="I339" s="46">
        <f>IF(Tabela2[[#This Row],[Dividendo / Ação]]&gt;0,Tabela2[[#This Row],[Dividendo / Ação]]/Tabela2[[#This Row],[Cotação]],"")</f>
        <v>4.1345870206489672E-2</v>
      </c>
      <c r="J339" s="17">
        <f>SUMPRODUCT(N(Tabela1[Código]=Tabela2[[#This Row],[Ativo]]),Tabela1[Fechamento])</f>
        <v>0</v>
      </c>
      <c r="K339" s="17">
        <f>SUMPRODUCT(N(Tabela17[Código]=Tabela2[[#This Row],[Ativo]]),Tabela17[Fechamento])</f>
        <v>6.78</v>
      </c>
    </row>
    <row r="340" spans="1:13">
      <c r="A340" s="14" t="s">
        <v>277</v>
      </c>
      <c r="B340" s="3">
        <v>2012</v>
      </c>
      <c r="C340" s="5">
        <v>85326018.709999993</v>
      </c>
      <c r="D340" s="62">
        <f>SUMPRODUCT(N(Tabela3[PAPEL]=Tabela2[[#This Row],[Ativo]]),Tabela3[Total Ações])</f>
        <v>88320000</v>
      </c>
      <c r="E340" s="65">
        <f>(Tabela2[[#This Row],[Lucro Líquido]])/Tabela2[[#This Row],[Total Ações]]</f>
        <v>0.96610075532155792</v>
      </c>
      <c r="F340" s="65">
        <v>0.22040999999999999</v>
      </c>
      <c r="G340" s="22">
        <f>IF(AND(Tabela2[[#This Row],[Dividendo / Ação]]&gt;0,Tabela2[[#This Row],[Lucro por ação]]&gt;0),Tabela2[[#This Row],[Dividendo / Ação]]/Tabela2[[#This Row],[Lucro por ação]],"")</f>
        <v>0.22814390609459623</v>
      </c>
      <c r="H340" s="5">
        <f>MAX(Tabela2[[#This Row],[Cotação 1]],Tabela2[[#This Row],[Cotação 2]])</f>
        <v>19</v>
      </c>
      <c r="I340" s="18">
        <f>IF(Tabela2[[#This Row],[Dividendo / Ação]]&gt;0,Tabela2[[#This Row],[Dividendo / Ação]]/Tabela2[[#This Row],[Cotação]],"")</f>
        <v>1.1600526315789473E-2</v>
      </c>
      <c r="J340" s="60">
        <f>SUMPRODUCT(N(Tabela1[Código]=Tabela2[[#This Row],[Ativo]]),Tabela1[Fechamento])</f>
        <v>19</v>
      </c>
      <c r="K340" s="60">
        <f>SUMPRODUCT(N(Tabela17[Código]=Tabela2[[#This Row],[Ativo]]),Tabela17[Fechamento])</f>
        <v>0</v>
      </c>
    </row>
    <row r="341" spans="1:13">
      <c r="A341" s="14" t="s">
        <v>277</v>
      </c>
      <c r="B341" s="3">
        <v>2011</v>
      </c>
      <c r="C341" s="5">
        <v>90654592</v>
      </c>
      <c r="D341" s="62">
        <f>SUMPRODUCT(N(Tabela3[PAPEL]=Tabela2[[#This Row],[Ativo]]),Tabela3[Total Ações])</f>
        <v>88320000</v>
      </c>
      <c r="E341" s="65">
        <f>(Tabela2[[#This Row],[Lucro Líquido]])/Tabela2[[#This Row],[Total Ações]]</f>
        <v>1.0264333333333333</v>
      </c>
      <c r="F341" s="65">
        <v>0.244201419</v>
      </c>
      <c r="G341" s="22">
        <f>IF(AND(Tabela2[[#This Row],[Dividendo / Ação]]&gt;0,Tabela2[[#This Row],[Lucro por ação]]&gt;0),Tabela2[[#This Row],[Dividendo / Ação]]/Tabela2[[#This Row],[Lucro por ação]],"")</f>
        <v>0.23791259604455559</v>
      </c>
      <c r="H341" s="5">
        <f>MAX(Tabela2[[#This Row],[Cotação 1]],Tabela2[[#This Row],[Cotação 2]])</f>
        <v>19</v>
      </c>
      <c r="I341" s="18">
        <f>IF(Tabela2[[#This Row],[Dividendo / Ação]]&gt;0,Tabela2[[#This Row],[Dividendo / Ação]]/Tabela2[[#This Row],[Cotação]],"")</f>
        <v>1.2852706263157895E-2</v>
      </c>
      <c r="J341" s="60">
        <f>SUMPRODUCT(N(Tabela1[Código]=Tabela2[[#This Row],[Ativo]]),Tabela1[Fechamento])</f>
        <v>19</v>
      </c>
      <c r="K341" s="60">
        <f>SUMPRODUCT(N(Tabela17[Código]=Tabela2[[#This Row],[Ativo]]),Tabela17[Fechamento])</f>
        <v>0</v>
      </c>
    </row>
    <row r="342" spans="1:13">
      <c r="A342" s="14" t="s">
        <v>277</v>
      </c>
      <c r="B342" s="3">
        <v>2010</v>
      </c>
      <c r="C342" s="5">
        <v>133778304</v>
      </c>
      <c r="D342" s="62">
        <f>SUMPRODUCT(N(Tabela3[PAPEL]=Tabela2[[#This Row],[Ativo]]),Tabela3[Total Ações])</f>
        <v>88320000</v>
      </c>
      <c r="E342" s="65">
        <f>(Tabela2[[#This Row],[Lucro Líquido]])/Tabela2[[#This Row],[Total Ações]]</f>
        <v>1.5146999999999999</v>
      </c>
      <c r="F342" s="65">
        <v>0.31610713000000001</v>
      </c>
      <c r="G342" s="22">
        <f>IF(AND(Tabela2[[#This Row],[Dividendo / Ação]]&gt;0,Tabela2[[#This Row],[Lucro por ação]]&gt;0),Tabela2[[#This Row],[Dividendo / Ação]]/Tabela2[[#This Row],[Lucro por ação]],"")</f>
        <v>0.20869289628309237</v>
      </c>
      <c r="H342" s="5">
        <f>MAX(Tabela2[[#This Row],[Cotação 1]],Tabela2[[#This Row],[Cotação 2]])</f>
        <v>19</v>
      </c>
      <c r="I342" s="18">
        <f>IF(Tabela2[[#This Row],[Dividendo / Ação]]&gt;0,Tabela2[[#This Row],[Dividendo / Ação]]/Tabela2[[#This Row],[Cotação]],"")</f>
        <v>1.6637217368421053E-2</v>
      </c>
      <c r="J342" s="60">
        <f>SUMPRODUCT(N(Tabela1[Código]=Tabela2[[#This Row],[Ativo]]),Tabela1[Fechamento])</f>
        <v>19</v>
      </c>
      <c r="K342" s="60">
        <f>SUMPRODUCT(N(Tabela17[Código]=Tabela2[[#This Row],[Ativo]]),Tabela17[Fechamento])</f>
        <v>0</v>
      </c>
    </row>
    <row r="343" spans="1:13">
      <c r="A343" s="15" t="s">
        <v>83</v>
      </c>
      <c r="B343" s="3">
        <v>2012</v>
      </c>
      <c r="C343" s="5">
        <v>85326018.709999993</v>
      </c>
      <c r="D343" s="62">
        <f>SUMPRODUCT(N(Tabela3[PAPEL]=Tabela2[[#This Row],[Ativo]]),Tabela3[Total Ações])</f>
        <v>88320000</v>
      </c>
      <c r="E343" s="65">
        <f>(Tabela2[[#This Row],[Lucro Líquido]])/Tabela2[[#This Row],[Total Ações]]</f>
        <v>0.96610075532155792</v>
      </c>
      <c r="F343" s="65">
        <v>0.24245</v>
      </c>
      <c r="G343" s="22">
        <f>IF(AND(Tabela2[[#This Row],[Dividendo / Ação]]&gt;0,Tabela2[[#This Row],[Lucro por ação]]&gt;0),Tabela2[[#This Row],[Dividendo / Ação]]/Tabela2[[#This Row],[Lucro por ação]],"")</f>
        <v>0.25095726161532989</v>
      </c>
      <c r="H343" s="5">
        <f>MAX(Tabela2[[#This Row],[Cotação 1]],Tabela2[[#This Row],[Cotação 2]])</f>
        <v>13.1</v>
      </c>
      <c r="I343" s="18">
        <f>IF(Tabela2[[#This Row],[Dividendo / Ação]]&gt;0,Tabela2[[#This Row],[Dividendo / Ação]]/Tabela2[[#This Row],[Cotação]],"")</f>
        <v>1.850763358778626E-2</v>
      </c>
      <c r="J343" s="60">
        <f>SUMPRODUCT(N(Tabela1[Código]=Tabela2[[#This Row],[Ativo]]),Tabela1[Fechamento])</f>
        <v>13.1</v>
      </c>
      <c r="K343" s="60">
        <f>SUMPRODUCT(N(Tabela17[Código]=Tabela2[[#This Row],[Ativo]]),Tabela17[Fechamento])</f>
        <v>0</v>
      </c>
    </row>
    <row r="344" spans="1:13">
      <c r="A344" s="15" t="s">
        <v>83</v>
      </c>
      <c r="B344" s="3">
        <v>2011</v>
      </c>
      <c r="C344" s="5">
        <v>90654592</v>
      </c>
      <c r="D344" s="62">
        <f>SUMPRODUCT(N(Tabela3[PAPEL]=Tabela2[[#This Row],[Ativo]]),Tabela3[Total Ações])</f>
        <v>88320000</v>
      </c>
      <c r="E344" s="65">
        <f>(Tabela2[[#This Row],[Lucro Líquido]])/Tabela2[[#This Row],[Total Ações]]</f>
        <v>1.0264333333333333</v>
      </c>
      <c r="F344" s="65">
        <v>0.26862156100000001</v>
      </c>
      <c r="G344" s="22">
        <f>IF(AND(Tabela2[[#This Row],[Dividendo / Ação]]&gt;0,Tabela2[[#This Row],[Lucro por ação]]&gt;0),Tabela2[[#This Row],[Dividendo / Ação]]/Tabela2[[#This Row],[Lucro por ação]],"")</f>
        <v>0.2617038557464359</v>
      </c>
      <c r="H344" s="5">
        <f>MAX(Tabela2[[#This Row],[Cotação 1]],Tabela2[[#This Row],[Cotação 2]])</f>
        <v>13.1</v>
      </c>
      <c r="I344" s="18">
        <f>IF(Tabela2[[#This Row],[Dividendo / Ação]]&gt;0,Tabela2[[#This Row],[Dividendo / Ação]]/Tabela2[[#This Row],[Cotação]],"")</f>
        <v>2.0505462671755726E-2</v>
      </c>
      <c r="J344" s="60">
        <f>SUMPRODUCT(N(Tabela1[Código]=Tabela2[[#This Row],[Ativo]]),Tabela1[Fechamento])</f>
        <v>13.1</v>
      </c>
      <c r="K344" s="60">
        <f>SUMPRODUCT(N(Tabela17[Código]=Tabela2[[#This Row],[Ativo]]),Tabela17[Fechamento])</f>
        <v>0</v>
      </c>
    </row>
    <row r="345" spans="1:13">
      <c r="A345" s="15" t="s">
        <v>83</v>
      </c>
      <c r="B345" s="3">
        <v>2010</v>
      </c>
      <c r="C345" s="5">
        <v>133778304</v>
      </c>
      <c r="D345" s="62">
        <f>SUMPRODUCT(N(Tabela3[PAPEL]=Tabela2[[#This Row],[Ativo]]),Tabela3[Total Ações])</f>
        <v>88320000</v>
      </c>
      <c r="E345" s="65">
        <f>(Tabela2[[#This Row],[Lucro Líquido]])/Tabela2[[#This Row],[Total Ações]]</f>
        <v>1.5146999999999999</v>
      </c>
      <c r="F345" s="65">
        <v>0.3477384</v>
      </c>
      <c r="G345" s="22">
        <f>IF(AND(Tabela2[[#This Row],[Dividendo / Ação]]&gt;0,Tabela2[[#This Row],[Lucro por ação]]&gt;0),Tabela2[[#This Row],[Dividendo / Ação]]/Tabela2[[#This Row],[Lucro por ação]],"")</f>
        <v>0.2295757575757576</v>
      </c>
      <c r="H345" s="5">
        <f>MAX(Tabela2[[#This Row],[Cotação 1]],Tabela2[[#This Row],[Cotação 2]])</f>
        <v>13.1</v>
      </c>
      <c r="I345" s="18">
        <f>IF(Tabela2[[#This Row],[Dividendo / Ação]]&gt;0,Tabela2[[#This Row],[Dividendo / Ação]]/Tabela2[[#This Row],[Cotação]],"")</f>
        <v>2.6544916030534351E-2</v>
      </c>
      <c r="J345" s="60">
        <f>SUMPRODUCT(N(Tabela1[Código]=Tabela2[[#This Row],[Ativo]]),Tabela1[Fechamento])</f>
        <v>13.1</v>
      </c>
      <c r="K345" s="60">
        <f>SUMPRODUCT(N(Tabela17[Código]=Tabela2[[#This Row],[Ativo]]),Tabela17[Fechamento])</f>
        <v>0</v>
      </c>
    </row>
    <row r="346" spans="1:13">
      <c r="A346" s="4" t="s">
        <v>183</v>
      </c>
      <c r="B346" s="4">
        <v>2012</v>
      </c>
      <c r="C346" s="6">
        <v>324648000</v>
      </c>
      <c r="D346" s="8">
        <f>SUMPRODUCT(N(Tabela3[PAPEL]=Tabela2[[#This Row],[Ativo]]),Tabela3[Total Ações])</f>
        <v>94433283</v>
      </c>
      <c r="E346" s="66">
        <f>(Tabela2[[#This Row],[Lucro Líquido]])/Tabela2[[#This Row],[Total Ações]]</f>
        <v>3.4378556975510426</v>
      </c>
      <c r="F346" s="66">
        <v>3.9972394429999998</v>
      </c>
      <c r="G346" s="46">
        <f>IF(AND(Tabela2[[#This Row],[Dividendo / Ação]]&gt;0,Tabela2[[#This Row],[Lucro por ação]]&gt;0),Tabela2[[#This Row],[Dividendo / Ação]]/Tabela2[[#This Row],[Lucro por ação]],"")</f>
        <v>1.1627129800263096</v>
      </c>
      <c r="H346" s="6">
        <f>MAX(Tabela2[[#This Row],[Cotação 1]],Tabela2[[#This Row],[Cotação 2]])</f>
        <v>62.04</v>
      </c>
      <c r="I346" s="19">
        <f>IF(Tabela2[[#This Row],[Dividendo / Ação]]&gt;0,Tabela2[[#This Row],[Dividendo / Ação]]/Tabela2[[#This Row],[Cotação]],"")</f>
        <v>6.4430036154094136E-2</v>
      </c>
      <c r="J346" s="61">
        <f>SUMPRODUCT(N(Tabela1[Código]=Tabela2[[#This Row],[Ativo]]),Tabela1[Fechamento])</f>
        <v>62.04</v>
      </c>
      <c r="K346" s="61">
        <f>SUMPRODUCT(N(Tabela17[Código]=Tabela2[[#This Row],[Ativo]]),Tabela17[Fechamento])</f>
        <v>0</v>
      </c>
    </row>
    <row r="347" spans="1:13">
      <c r="A347" s="4" t="s">
        <v>183</v>
      </c>
      <c r="B347" s="4">
        <v>2011</v>
      </c>
      <c r="C347" s="6">
        <v>281411183</v>
      </c>
      <c r="D347" s="8">
        <f>SUMPRODUCT(N(Tabela3[PAPEL]=Tabela2[[#This Row],[Ativo]]),Tabela3[Total Ações])</f>
        <v>94433283</v>
      </c>
      <c r="E347" s="66">
        <f>(Tabela2[[#This Row],[Lucro Líquido]])/Tabela2[[#This Row],[Total Ações]]</f>
        <v>2.9799999963995747</v>
      </c>
      <c r="F347" s="66">
        <v>3.6127542309999998</v>
      </c>
      <c r="G347" s="46">
        <f>IF(AND(Tabela2[[#This Row],[Dividendo / Ação]]&gt;0,Tabela2[[#This Row],[Lucro por ação]]&gt;0),Tabela2[[#This Row],[Dividendo / Ação]]/Tabela2[[#This Row],[Lucro por ação]],"")</f>
        <v>1.2123336360284955</v>
      </c>
      <c r="H347" s="6">
        <f>MAX(Tabela2[[#This Row],[Cotação 1]],Tabela2[[#This Row],[Cotação 2]])</f>
        <v>62.04</v>
      </c>
      <c r="I347" s="19">
        <f>IF(Tabela2[[#This Row],[Dividendo / Ação]]&gt;0,Tabela2[[#This Row],[Dividendo / Ação]]/Tabela2[[#This Row],[Cotação]],"")</f>
        <v>5.8232660074145709E-2</v>
      </c>
      <c r="J347" s="61">
        <f>SUMPRODUCT(N(Tabela1[Código]=Tabela2[[#This Row],[Ativo]]),Tabela1[Fechamento])</f>
        <v>62.04</v>
      </c>
      <c r="K347" s="61">
        <f>SUMPRODUCT(N(Tabela17[Código]=Tabela2[[#This Row],[Ativo]]),Tabela17[Fechamento])</f>
        <v>0</v>
      </c>
    </row>
    <row r="348" spans="1:13">
      <c r="A348" s="4" t="s">
        <v>183</v>
      </c>
      <c r="B348" s="4">
        <v>2010</v>
      </c>
      <c r="C348" s="5">
        <v>183200569</v>
      </c>
      <c r="D348" s="8">
        <f>SUMPRODUCT(N(Tabela3[PAPEL]=Tabela2[[#This Row],[Ativo]]),Tabela3[Total Ações])</f>
        <v>94433283</v>
      </c>
      <c r="E348" s="66">
        <f>(Tabela2[[#This Row],[Lucro Líquido]])/Tabela2[[#This Row],[Total Ações]]</f>
        <v>1.9399999997882102</v>
      </c>
      <c r="F348" s="65">
        <v>2.6568953629999998</v>
      </c>
      <c r="G348" s="46">
        <f>IF(AND(Tabela2[[#This Row],[Dividendo / Ação]]&gt;0,Tabela2[[#This Row],[Lucro por ação]]&gt;0),Tabela2[[#This Row],[Dividendo / Ação]]/Tabela2[[#This Row],[Lucro por ação]],"")</f>
        <v>1.3695336924175532</v>
      </c>
      <c r="H348" s="6">
        <f>MAX(Tabela2[[#This Row],[Cotação 1]],Tabela2[[#This Row],[Cotação 2]])</f>
        <v>62.04</v>
      </c>
      <c r="I348" s="19">
        <f>IF(Tabela2[[#This Row],[Dividendo / Ação]]&gt;0,Tabela2[[#This Row],[Dividendo / Ação]]/Tabela2[[#This Row],[Cotação]],"")</f>
        <v>4.2825521647324304E-2</v>
      </c>
      <c r="J348" s="61">
        <f>SUMPRODUCT(N(Tabela1[Código]=Tabela2[[#This Row],[Ativo]]),Tabela1[Fechamento])</f>
        <v>62.04</v>
      </c>
      <c r="K348" s="61">
        <f>SUMPRODUCT(N(Tabela17[Código]=Tabela2[[#This Row],[Ativo]]),Tabela17[Fechamento])</f>
        <v>0</v>
      </c>
    </row>
    <row r="349" spans="1:13">
      <c r="A349" s="4" t="s">
        <v>183</v>
      </c>
      <c r="B349" s="4">
        <v>2009</v>
      </c>
      <c r="C349" s="5">
        <v>101987946</v>
      </c>
      <c r="D349" s="8">
        <f>SUMPRODUCT(N(Tabela3[PAPEL]=Tabela2[[#This Row],[Ativo]]),Tabela3[Total Ações])</f>
        <v>94433283</v>
      </c>
      <c r="E349" s="66">
        <f>(Tabela2[[#This Row],[Lucro Líquido]])/Tabela2[[#This Row],[Total Ações]]</f>
        <v>1.0800000038122153</v>
      </c>
      <c r="F349" s="66">
        <v>1.4826292830000001</v>
      </c>
      <c r="G349" s="46">
        <f>IF(AND(Tabela2[[#This Row],[Dividendo / Ação]]&gt;0,Tabela2[[#This Row],[Lucro por ação]]&gt;0),Tabela2[[#This Row],[Dividendo / Ação]]/Tabela2[[#This Row],[Lucro por ação]],"")</f>
        <v>1.3728048868209002</v>
      </c>
      <c r="H349" s="6">
        <f>MAX(Tabela2[[#This Row],[Cotação 1]],Tabela2[[#This Row],[Cotação 2]])</f>
        <v>62.04</v>
      </c>
      <c r="I349" s="19">
        <f>IF(Tabela2[[#This Row],[Dividendo / Ação]]&gt;0,Tabela2[[#This Row],[Dividendo / Ação]]/Tabela2[[#This Row],[Cotação]],"")</f>
        <v>2.389795749516441E-2</v>
      </c>
      <c r="J349" s="61">
        <f>SUMPRODUCT(N(Tabela1[Código]=Tabela2[[#This Row],[Ativo]]),Tabela1[Fechamento])</f>
        <v>62.04</v>
      </c>
      <c r="K349" s="61">
        <f>SUMPRODUCT(N(Tabela17[Código]=Tabela2[[#This Row],[Ativo]]),Tabela17[Fechamento])</f>
        <v>0</v>
      </c>
    </row>
    <row r="350" spans="1:13">
      <c r="A350" s="4" t="s">
        <v>38</v>
      </c>
      <c r="B350" s="4">
        <v>2012</v>
      </c>
      <c r="C350" s="6">
        <v>324648000</v>
      </c>
      <c r="D350" s="8">
        <f>SUMPRODUCT(N(Tabela3[PAPEL]=Tabela2[[#This Row],[Ativo]]),Tabela3[Total Ações])</f>
        <v>94433283</v>
      </c>
      <c r="E350" s="66">
        <f>(Tabela2[[#This Row],[Lucro Líquido]])/Tabela2[[#This Row],[Total Ações]]</f>
        <v>3.4378556975510426</v>
      </c>
      <c r="F350" s="66">
        <v>3.9972394429999998</v>
      </c>
      <c r="G350" s="46">
        <f>IF(AND(Tabela2[[#This Row],[Dividendo / Ação]]&gt;0,Tabela2[[#This Row],[Lucro por ação]]&gt;0),Tabela2[[#This Row],[Dividendo / Ação]]/Tabela2[[#This Row],[Lucro por ação]],"")</f>
        <v>1.1627129800263096</v>
      </c>
      <c r="H350" s="6">
        <f>MAX(Tabela2[[#This Row],[Cotação 1]],Tabela2[[#This Row],[Cotação 2]])</f>
        <v>61.99</v>
      </c>
      <c r="I350" s="19">
        <f>IF(Tabela2[[#This Row],[Dividendo / Ação]]&gt;0,Tabela2[[#This Row],[Dividendo / Ação]]/Tabela2[[#This Row],[Cotação]],"")</f>
        <v>6.4482004242619767E-2</v>
      </c>
      <c r="J350" s="61">
        <f>SUMPRODUCT(N(Tabela1[Código]=Tabela2[[#This Row],[Ativo]]),Tabela1[Fechamento])</f>
        <v>61.99</v>
      </c>
      <c r="K350" s="61">
        <f>SUMPRODUCT(N(Tabela17[Código]=Tabela2[[#This Row],[Ativo]]),Tabela17[Fechamento])</f>
        <v>0</v>
      </c>
    </row>
    <row r="351" spans="1:13">
      <c r="A351" s="4" t="s">
        <v>38</v>
      </c>
      <c r="B351" s="4">
        <v>2011</v>
      </c>
      <c r="C351" s="6">
        <v>281411183</v>
      </c>
      <c r="D351" s="8">
        <f>SUMPRODUCT(N(Tabela3[PAPEL]=Tabela2[[#This Row],[Ativo]]),Tabela3[Total Ações])</f>
        <v>94433283</v>
      </c>
      <c r="E351" s="66">
        <f>(Tabela2[[#This Row],[Lucro Líquido]])/Tabela2[[#This Row],[Total Ações]]</f>
        <v>2.9799999963995747</v>
      </c>
      <c r="F351" s="66">
        <v>3.6127542300000002</v>
      </c>
      <c r="G351" s="46">
        <f>IF(AND(Tabela2[[#This Row],[Dividendo / Ação]]&gt;0,Tabela2[[#This Row],[Lucro por ação]]&gt;0),Tabela2[[#This Row],[Dividendo / Ação]]/Tabela2[[#This Row],[Lucro por ação]],"")</f>
        <v>1.2123336356929251</v>
      </c>
      <c r="H351" s="6">
        <f>MAX(Tabela2[[#This Row],[Cotação 1]],Tabela2[[#This Row],[Cotação 2]])</f>
        <v>61.99</v>
      </c>
      <c r="I351" s="19">
        <f>IF(Tabela2[[#This Row],[Dividendo / Ação]]&gt;0,Tabela2[[#This Row],[Dividendo / Ação]]/Tabela2[[#This Row],[Cotação]],"")</f>
        <v>5.8279629456363932E-2</v>
      </c>
      <c r="J351" s="61">
        <f>SUMPRODUCT(N(Tabela1[Código]=Tabela2[[#This Row],[Ativo]]),Tabela1[Fechamento])</f>
        <v>61.99</v>
      </c>
      <c r="K351" s="61">
        <f>SUMPRODUCT(N(Tabela17[Código]=Tabela2[[#This Row],[Ativo]]),Tabela17[Fechamento])</f>
        <v>0</v>
      </c>
    </row>
    <row r="352" spans="1:13">
      <c r="A352" s="4" t="s">
        <v>38</v>
      </c>
      <c r="B352" s="3">
        <v>2010</v>
      </c>
      <c r="C352" s="5">
        <v>183200569</v>
      </c>
      <c r="D352" s="62">
        <f>SUMPRODUCT(N(Tabela3[PAPEL]=Tabela2[[#This Row],[Ativo]]),Tabela3[Total Ações])</f>
        <v>94433283</v>
      </c>
      <c r="E352" s="65">
        <f>(Tabela2[[#This Row],[Lucro Líquido]])/Tabela2[[#This Row],[Total Ações]]</f>
        <v>1.9399999997882102</v>
      </c>
      <c r="F352" s="65">
        <v>2.6568953610000001</v>
      </c>
      <c r="G352" s="22">
        <f>IF(AND(Tabela2[[#This Row],[Dividendo / Ação]]&gt;0,Tabela2[[#This Row],[Lucro por ação]]&gt;0),Tabela2[[#This Row],[Dividendo / Ação]]/Tabela2[[#This Row],[Lucro por ação]],"")</f>
        <v>1.3695336913866254</v>
      </c>
      <c r="H352" s="5">
        <f>MAX(Tabela2[[#This Row],[Cotação 1]],Tabela2[[#This Row],[Cotação 2]])</f>
        <v>61.99</v>
      </c>
      <c r="I352" s="18">
        <f>IF(Tabela2[[#This Row],[Dividendo / Ação]]&gt;0,Tabela2[[#This Row],[Dividendo / Ação]]/Tabela2[[#This Row],[Cotação]],"")</f>
        <v>4.2860063897402809E-2</v>
      </c>
      <c r="J352" s="60">
        <f>SUMPRODUCT(N(Tabela1[Código]=Tabela2[[#This Row],[Ativo]]),Tabela1[Fechamento])</f>
        <v>61.99</v>
      </c>
      <c r="K352" s="60">
        <f>SUMPRODUCT(N(Tabela17[Código]=Tabela2[[#This Row],[Ativo]]),Tabela17[Fechamento])</f>
        <v>0</v>
      </c>
    </row>
    <row r="353" spans="1:13">
      <c r="A353" s="4" t="s">
        <v>38</v>
      </c>
      <c r="B353" s="3">
        <v>2009</v>
      </c>
      <c r="C353" s="5">
        <v>101987946</v>
      </c>
      <c r="D353" s="62">
        <f>SUMPRODUCT(N(Tabela3[PAPEL]=Tabela2[[#This Row],[Ativo]]),Tabela3[Total Ações])</f>
        <v>94433283</v>
      </c>
      <c r="E353" s="65">
        <f>(Tabela2[[#This Row],[Lucro Líquido]])/Tabela2[[#This Row],[Total Ações]]</f>
        <v>1.0800000038122153</v>
      </c>
      <c r="F353" s="65">
        <v>2.1814776419999999</v>
      </c>
      <c r="G353" s="22">
        <f>IF(AND(Tabela2[[#This Row],[Dividendo / Ação]]&gt;0,Tabela2[[#This Row],[Lucro por ação]]&gt;0),Tabela2[[#This Row],[Dividendo / Ação]]/Tabela2[[#This Row],[Lucro por ação]],"")</f>
        <v>2.0198866984257009</v>
      </c>
      <c r="H353" s="5">
        <f>MAX(Tabela2[[#This Row],[Cotação 1]],Tabela2[[#This Row],[Cotação 2]])</f>
        <v>61.99</v>
      </c>
      <c r="I353" s="18">
        <f>IF(Tabela2[[#This Row],[Dividendo / Ação]]&gt;0,Tabela2[[#This Row],[Dividendo / Ação]]/Tabela2[[#This Row],[Cotação]],"")</f>
        <v>3.519079919341829E-2</v>
      </c>
      <c r="J353" s="60">
        <f>SUMPRODUCT(N(Tabela1[Código]=Tabela2[[#This Row],[Ativo]]),Tabela1[Fechamento])</f>
        <v>61.99</v>
      </c>
      <c r="K353" s="60">
        <f>SUMPRODUCT(N(Tabela17[Código]=Tabela2[[#This Row],[Ativo]]),Tabela17[Fechamento])</f>
        <v>0</v>
      </c>
    </row>
    <row r="354" spans="1:13">
      <c r="A354" s="4" t="s">
        <v>29</v>
      </c>
      <c r="B354" s="4">
        <v>2012</v>
      </c>
      <c r="C354" s="6">
        <v>901262803.92999995</v>
      </c>
      <c r="D354" s="8">
        <f>SUMPRODUCT(N(Tabela3[PAPEL]=Tabela2[[#This Row],[Ativo]]),Tabela3[Total Ações])</f>
        <v>381253493</v>
      </c>
      <c r="E354" s="66">
        <f>(Tabela2[[#This Row],[Lucro Líquido]])/Tabela2[[#This Row],[Total Ações]]</f>
        <v>2.363946351909227</v>
      </c>
      <c r="F354" s="66">
        <v>2.4435890119999999</v>
      </c>
      <c r="G354" s="46">
        <f>IF(AND(Tabela2[[#This Row],[Dividendo / Ação]]&gt;0,Tabela2[[#This Row],[Lucro por ação]]&gt;0),Tabela2[[#This Row],[Dividendo / Ação]]/Tabela2[[#This Row],[Lucro por ação]],"")</f>
        <v>1.0336905530984026</v>
      </c>
      <c r="H354" s="6">
        <f>MAX(Tabela2[[#This Row],[Cotação 1]],Tabela2[[#This Row],[Cotação 2]])</f>
        <v>17.63</v>
      </c>
      <c r="I354" s="19">
        <f>IF(Tabela2[[#This Row],[Dividendo / Ação]]&gt;0,Tabela2[[#This Row],[Dividendo / Ação]]/Tabela2[[#This Row],[Cotação]],"")</f>
        <v>0.13860402790697673</v>
      </c>
      <c r="J354" s="61">
        <f>SUMPRODUCT(N(Tabela1[Código]=Tabela2[[#This Row],[Ativo]]),Tabela1[Fechamento])</f>
        <v>17.63</v>
      </c>
      <c r="K354" s="61">
        <f>SUMPRODUCT(N(Tabela17[Código]=Tabela2[[#This Row],[Ativo]]),Tabela17[Fechamento])</f>
        <v>0</v>
      </c>
    </row>
    <row r="355" spans="1:13">
      <c r="A355" s="4" t="s">
        <v>29</v>
      </c>
      <c r="B355" s="3">
        <v>2011</v>
      </c>
      <c r="C355" s="5">
        <v>844863980.05999994</v>
      </c>
      <c r="D355" s="62">
        <f>SUMPRODUCT(N(Tabela3[PAPEL]=Tabela2[[#This Row],[Ativo]]),Tabela3[Total Ações])</f>
        <v>381253493</v>
      </c>
      <c r="E355" s="65">
        <f>(Tabela2[[#This Row],[Lucro Líquido]])/Tabela2[[#This Row],[Total Ações]]</f>
        <v>2.2160163659405474</v>
      </c>
      <c r="F355" s="65">
        <v>2.307552448</v>
      </c>
      <c r="G355" s="22">
        <f>IF(AND(Tabela2[[#This Row],[Dividendo / Ação]]&gt;0,Tabela2[[#This Row],[Lucro por ação]]&gt;0),Tabela2[[#This Row],[Dividendo / Ação]]/Tabela2[[#This Row],[Lucro por ação]],"")</f>
        <v>1.0413065911724897</v>
      </c>
      <c r="H355" s="5">
        <f>MAX(Tabela2[[#This Row],[Cotação 1]],Tabela2[[#This Row],[Cotação 2]])</f>
        <v>17.63</v>
      </c>
      <c r="I355" s="18">
        <f>IF(Tabela2[[#This Row],[Dividendo / Ação]]&gt;0,Tabela2[[#This Row],[Dividendo / Ação]]/Tabela2[[#This Row],[Cotação]],"")</f>
        <v>0.13088783028927964</v>
      </c>
      <c r="J355" s="60">
        <f>SUMPRODUCT(N(Tabela1[Código]=Tabela2[[#This Row],[Ativo]]),Tabela1[Fechamento])</f>
        <v>17.63</v>
      </c>
      <c r="K355" s="60">
        <f>SUMPRODUCT(N(Tabela17[Código]=Tabela2[[#This Row],[Ativo]]),Tabela17[Fechamento])</f>
        <v>0</v>
      </c>
    </row>
    <row r="356" spans="1:13">
      <c r="A356" s="4" t="s">
        <v>29</v>
      </c>
      <c r="B356" s="3">
        <v>2010</v>
      </c>
      <c r="C356" s="5">
        <v>737339863.24000001</v>
      </c>
      <c r="D356" s="62">
        <f>SUMPRODUCT(N(Tabela3[PAPEL]=Tabela2[[#This Row],[Ativo]]),Tabela3[Total Ações])</f>
        <v>381253493</v>
      </c>
      <c r="E356" s="65">
        <f>(Tabela2[[#This Row],[Lucro Líquido]])/Tabela2[[#This Row],[Total Ações]]</f>
        <v>1.9339884795232551</v>
      </c>
      <c r="F356" s="65">
        <v>2.1575277719999999</v>
      </c>
      <c r="G356" s="22">
        <f>IF(AND(Tabela2[[#This Row],[Dividendo / Ação]]&gt;0,Tabela2[[#This Row],[Lucro por ação]]&gt;0),Tabela2[[#This Row],[Dividendo / Ação]]/Tabela2[[#This Row],[Lucro por ação]],"")</f>
        <v>1.1155846039640573</v>
      </c>
      <c r="H356" s="5">
        <f>MAX(Tabela2[[#This Row],[Cotação 1]],Tabela2[[#This Row],[Cotação 2]])</f>
        <v>17.63</v>
      </c>
      <c r="I356" s="18">
        <f>IF(Tabela2[[#This Row],[Dividendo / Ação]]&gt;0,Tabela2[[#This Row],[Dividendo / Ação]]/Tabela2[[#This Row],[Cotação]],"")</f>
        <v>0.12237820601247873</v>
      </c>
      <c r="J356" s="60">
        <f>SUMPRODUCT(N(Tabela1[Código]=Tabela2[[#This Row],[Ativo]]),Tabela1[Fechamento])</f>
        <v>17.63</v>
      </c>
      <c r="K356" s="60">
        <f>SUMPRODUCT(N(Tabela17[Código]=Tabela2[[#This Row],[Ativo]]),Tabela17[Fechamento])</f>
        <v>0</v>
      </c>
    </row>
    <row r="357" spans="1:13">
      <c r="A357" s="4" t="s">
        <v>29</v>
      </c>
      <c r="B357" s="3">
        <v>2009</v>
      </c>
      <c r="C357" s="5">
        <v>780235000</v>
      </c>
      <c r="D357" s="62">
        <f>SUMPRODUCT(N(Tabela3[PAPEL]=Tabela2[[#This Row],[Ativo]]),Tabela3[Total Ações])</f>
        <v>381253493</v>
      </c>
      <c r="E357" s="65">
        <f>(Tabela2[[#This Row],[Lucro Líquido]])/Tabela2[[#This Row],[Total Ações]]</f>
        <v>2.0464992828275541</v>
      </c>
      <c r="F357" s="65">
        <v>1.9523818630000001</v>
      </c>
      <c r="G357" s="22">
        <f>IF(AND(Tabela2[[#This Row],[Dividendo / Ação]]&gt;0,Tabela2[[#This Row],[Lucro por ação]]&gt;0),Tabela2[[#This Row],[Dividendo / Ação]]/Tabela2[[#This Row],[Lucro por ação]],"")</f>
        <v>0.95401052880042236</v>
      </c>
      <c r="H357" s="5">
        <f>MAX(Tabela2[[#This Row],[Cotação 1]],Tabela2[[#This Row],[Cotação 2]])</f>
        <v>17.63</v>
      </c>
      <c r="I357" s="18">
        <f>IF(Tabela2[[#This Row],[Dividendo / Ação]]&gt;0,Tabela2[[#This Row],[Dividendo / Ação]]/Tabela2[[#This Row],[Cotação]],"")</f>
        <v>0.11074202285876349</v>
      </c>
      <c r="J357" s="60">
        <f>SUMPRODUCT(N(Tabela1[Código]=Tabela2[[#This Row],[Ativo]]),Tabela1[Fechamento])</f>
        <v>17.63</v>
      </c>
      <c r="K357" s="60">
        <f>SUMPRODUCT(N(Tabela17[Código]=Tabela2[[#This Row],[Ativo]]),Tabela17[Fechamento])</f>
        <v>0</v>
      </c>
    </row>
    <row r="358" spans="1:13">
      <c r="A358" s="4" t="s">
        <v>33</v>
      </c>
      <c r="B358" s="4">
        <v>2012</v>
      </c>
      <c r="C358" s="6">
        <v>901262803.92999995</v>
      </c>
      <c r="D358" s="8">
        <f>SUMPRODUCT(N(Tabela3[PAPEL]=Tabela2[[#This Row],[Ativo]]),Tabela3[Total Ações])</f>
        <v>381253493</v>
      </c>
      <c r="E358" s="66">
        <f>(Tabela2[[#This Row],[Lucro Líquido]])/Tabela2[[#This Row],[Total Ações]]</f>
        <v>2.363946351909227</v>
      </c>
      <c r="F358" s="66">
        <v>2.687947914</v>
      </c>
      <c r="G358" s="46">
        <f>IF(AND(Tabela2[[#This Row],[Dividendo / Ação]]&gt;0,Tabela2[[#This Row],[Lucro por ação]]&gt;0),Tabela2[[#This Row],[Dividendo / Ação]]/Tabela2[[#This Row],[Lucro por ação]],"")</f>
        <v>1.13705960874666</v>
      </c>
      <c r="H358" s="6">
        <f>MAX(Tabela2[[#This Row],[Cotação 1]],Tabela2[[#This Row],[Cotação 2]])</f>
        <v>19.2</v>
      </c>
      <c r="I358" s="19">
        <f>IF(Tabela2[[#This Row],[Dividendo / Ação]]&gt;0,Tabela2[[#This Row],[Dividendo / Ação]]/Tabela2[[#This Row],[Cotação]],"")</f>
        <v>0.13999728718750001</v>
      </c>
      <c r="J358" s="61">
        <f>SUMPRODUCT(N(Tabela1[Código]=Tabela2[[#This Row],[Ativo]]),Tabela1[Fechamento])</f>
        <v>19.2</v>
      </c>
      <c r="K358" s="61">
        <f>SUMPRODUCT(N(Tabela17[Código]=Tabela2[[#This Row],[Ativo]]),Tabela17[Fechamento])</f>
        <v>0</v>
      </c>
    </row>
    <row r="359" spans="1:13">
      <c r="A359" s="4" t="s">
        <v>33</v>
      </c>
      <c r="B359" s="4">
        <v>2011</v>
      </c>
      <c r="C359" s="5">
        <v>844863980.05999994</v>
      </c>
      <c r="D359" s="8">
        <f>SUMPRODUCT(N(Tabela3[PAPEL]=Tabela2[[#This Row],[Ativo]]),Tabela3[Total Ações])</f>
        <v>381253493</v>
      </c>
      <c r="E359" s="66">
        <f>(Tabela2[[#This Row],[Lucro Líquido]])/Tabela2[[#This Row],[Total Ações]]</f>
        <v>2.2160163659405474</v>
      </c>
      <c r="F359" s="66">
        <v>2.5383076930000001</v>
      </c>
      <c r="G359" s="46">
        <f>IF(AND(Tabela2[[#This Row],[Dividendo / Ação]]&gt;0,Tabela2[[#This Row],[Lucro por ação]]&gt;0),Tabela2[[#This Row],[Dividendo / Ação]]/Tabela2[[#This Row],[Lucro por ação]],"")</f>
        <v>1.1454372503799908</v>
      </c>
      <c r="H359" s="6">
        <f>MAX(Tabela2[[#This Row],[Cotação 1]],Tabela2[[#This Row],[Cotação 2]])</f>
        <v>19.2</v>
      </c>
      <c r="I359" s="19">
        <f>IF(Tabela2[[#This Row],[Dividendo / Ação]]&gt;0,Tabela2[[#This Row],[Dividendo / Ação]]/Tabela2[[#This Row],[Cotação]],"")</f>
        <v>0.13220352567708335</v>
      </c>
      <c r="J359" s="61">
        <f>SUMPRODUCT(N(Tabela1[Código]=Tabela2[[#This Row],[Ativo]]),Tabela1[Fechamento])</f>
        <v>19.2</v>
      </c>
      <c r="K359" s="61">
        <f>SUMPRODUCT(N(Tabela17[Código]=Tabela2[[#This Row],[Ativo]]),Tabela17[Fechamento])</f>
        <v>0</v>
      </c>
    </row>
    <row r="360" spans="1:13">
      <c r="A360" s="4" t="s">
        <v>33</v>
      </c>
      <c r="B360" s="4">
        <v>2010</v>
      </c>
      <c r="C360" s="5">
        <v>737339863.24000001</v>
      </c>
      <c r="D360" s="8">
        <f>SUMPRODUCT(N(Tabela3[PAPEL]=Tabela2[[#This Row],[Ativo]]),Tabela3[Total Ações])</f>
        <v>381253493</v>
      </c>
      <c r="E360" s="66">
        <f>(Tabela2[[#This Row],[Lucro Líquido]])/Tabela2[[#This Row],[Total Ações]]</f>
        <v>1.9339884795232551</v>
      </c>
      <c r="F360" s="66">
        <v>2.373280549</v>
      </c>
      <c r="G360" s="46">
        <f>IF(AND(Tabela2[[#This Row],[Dividendo / Ação]]&gt;0,Tabela2[[#This Row],[Lucro por ação]]&gt;0),Tabela2[[#This Row],[Dividendo / Ação]]/Tabela2[[#This Row],[Lucro por ação]],"")</f>
        <v>1.2271430642570498</v>
      </c>
      <c r="H360" s="6">
        <f>MAX(Tabela2[[#This Row],[Cotação 1]],Tabela2[[#This Row],[Cotação 2]])</f>
        <v>19.2</v>
      </c>
      <c r="I360" s="19">
        <f>IF(Tabela2[[#This Row],[Dividendo / Ação]]&gt;0,Tabela2[[#This Row],[Dividendo / Ação]]/Tabela2[[#This Row],[Cotação]],"")</f>
        <v>0.12360836192708334</v>
      </c>
      <c r="J360" s="61">
        <f>SUMPRODUCT(N(Tabela1[Código]=Tabela2[[#This Row],[Ativo]]),Tabela1[Fechamento])</f>
        <v>19.2</v>
      </c>
      <c r="K360" s="61">
        <f>SUMPRODUCT(N(Tabela17[Código]=Tabela2[[#This Row],[Ativo]]),Tabela17[Fechamento])</f>
        <v>0</v>
      </c>
    </row>
    <row r="361" spans="1:13">
      <c r="A361" s="4" t="s">
        <v>33</v>
      </c>
      <c r="B361" s="4">
        <v>2009</v>
      </c>
      <c r="C361" s="5">
        <v>780235000</v>
      </c>
      <c r="D361" s="8">
        <f>SUMPRODUCT(N(Tabela3[PAPEL]=Tabela2[[#This Row],[Ativo]]),Tabela3[Total Ações])</f>
        <v>381253493</v>
      </c>
      <c r="E361" s="66">
        <f>(Tabela2[[#This Row],[Lucro Líquido]])/Tabela2[[#This Row],[Total Ações]]</f>
        <v>2.0464992828275541</v>
      </c>
      <c r="F361" s="66">
        <v>2.1476200489999999</v>
      </c>
      <c r="G361" s="46">
        <f>IF(AND(Tabela2[[#This Row],[Dividendo / Ação]]&gt;0,Tabela2[[#This Row],[Lucro por ação]]&gt;0),Tabela2[[#This Row],[Dividendo / Ação]]/Tabela2[[#This Row],[Lucro por ação]],"")</f>
        <v>1.0494115815338727</v>
      </c>
      <c r="H361" s="6">
        <f>MAX(Tabela2[[#This Row],[Cotação 1]],Tabela2[[#This Row],[Cotação 2]])</f>
        <v>19.2</v>
      </c>
      <c r="I361" s="19">
        <f>IF(Tabela2[[#This Row],[Dividendo / Ação]]&gt;0,Tabela2[[#This Row],[Dividendo / Ação]]/Tabela2[[#This Row],[Cotação]],"")</f>
        <v>0.11185521088541667</v>
      </c>
      <c r="J361" s="61">
        <f>SUMPRODUCT(N(Tabela1[Código]=Tabela2[[#This Row],[Ativo]]),Tabela1[Fechamento])</f>
        <v>19.2</v>
      </c>
      <c r="K361" s="61">
        <f>SUMPRODUCT(N(Tabela17[Código]=Tabela2[[#This Row],[Ativo]]),Tabela17[Fechamento])</f>
        <v>0</v>
      </c>
    </row>
    <row r="362" spans="1:13">
      <c r="A362" s="4" t="s">
        <v>195</v>
      </c>
      <c r="B362" s="4">
        <v>2012</v>
      </c>
      <c r="C362" s="6">
        <v>3061251.15</v>
      </c>
      <c r="D362" s="8">
        <f>SUMPRODUCT(N(Tabela3[PAPEL]=Tabela2[[#This Row],[Ativo]]),Tabela3[Total Ações])</f>
        <v>166355563</v>
      </c>
      <c r="E362" s="66">
        <f>(Tabela2[[#This Row],[Lucro Líquido]])/Tabela2[[#This Row],[Total Ações]]</f>
        <v>1.8401856209641753E-2</v>
      </c>
      <c r="F362" s="66">
        <v>1.6664410399999999E-2</v>
      </c>
      <c r="G362" s="46">
        <f>IF(AND(Tabela2[[#This Row],[Dividendo / Ação]]&gt;0,Tabela2[[#This Row],[Lucro por ação]]&gt;0),Tabela2[[#This Row],[Dividendo / Ação]]/Tabela2[[#This Row],[Lucro por ação]],"")</f>
        <v>0.90558312216724046</v>
      </c>
      <c r="H362" s="6">
        <f>MAX(Tabela2[[#This Row],[Cotação 1]],Tabela2[[#This Row],[Cotação 2]])</f>
        <v>0.13</v>
      </c>
      <c r="I362" s="19">
        <f>IF(Tabela2[[#This Row],[Dividendo / Ação]]&gt;0,Tabela2[[#This Row],[Dividendo / Ação]]/Tabela2[[#This Row],[Cotação]],"")</f>
        <v>0.12818777230769229</v>
      </c>
      <c r="J362" s="61">
        <f>SUMPRODUCT(N(Tabela1[Código]=Tabela2[[#This Row],[Ativo]]),Tabela1[Fechamento])</f>
        <v>0.13</v>
      </c>
      <c r="K362" s="61">
        <f>SUMPRODUCT(N(Tabela17[Código]=Tabela2[[#This Row],[Ativo]]),Tabela17[Fechamento])</f>
        <v>0</v>
      </c>
    </row>
    <row r="363" spans="1:13">
      <c r="A363" s="4" t="s">
        <v>195</v>
      </c>
      <c r="B363" s="3">
        <v>2011</v>
      </c>
      <c r="C363" s="5">
        <v>2796437</v>
      </c>
      <c r="D363" s="62">
        <f>SUMPRODUCT(N(Tabela3[PAPEL]=Tabela2[[#This Row],[Ativo]]),Tabela3[Total Ações])</f>
        <v>166355563</v>
      </c>
      <c r="E363" s="65">
        <f>(Tabela2[[#This Row],[Lucro Líquido]])/Tabela2[[#This Row],[Total Ações]]</f>
        <v>1.6809999915662573E-2</v>
      </c>
      <c r="F363" s="65">
        <v>1.4520999999999999E-2</v>
      </c>
      <c r="G363" s="22">
        <f>IF(AND(Tabela2[[#This Row],[Dividendo / Ação]]&gt;0,Tabela2[[#This Row],[Lucro por ação]]&gt;0),Tabela2[[#This Row],[Dividendo / Ação]]/Tabela2[[#This Row],[Lucro por ação]],"")</f>
        <v>0.86383105727860132</v>
      </c>
      <c r="H363" s="5">
        <f>MAX(Tabela2[[#This Row],[Cotação 1]],Tabela2[[#This Row],[Cotação 2]])</f>
        <v>0.13</v>
      </c>
      <c r="I363" s="18">
        <f>IF(Tabela2[[#This Row],[Dividendo / Ação]]&gt;0,Tabela2[[#This Row],[Dividendo / Ação]]/Tabela2[[#This Row],[Cotação]],"")</f>
        <v>0.11169999999999999</v>
      </c>
      <c r="J363" s="60">
        <f>SUMPRODUCT(N(Tabela1[Código]=Tabela2[[#This Row],[Ativo]]),Tabela1[Fechamento])</f>
        <v>0.13</v>
      </c>
      <c r="K363" s="60">
        <f>SUMPRODUCT(N(Tabela17[Código]=Tabela2[[#This Row],[Ativo]]),Tabela17[Fechamento])</f>
        <v>0</v>
      </c>
    </row>
    <row r="364" spans="1:13">
      <c r="A364" s="4" t="s">
        <v>195</v>
      </c>
      <c r="B364" s="3">
        <v>2010</v>
      </c>
      <c r="C364" s="5">
        <v>2520287</v>
      </c>
      <c r="D364" s="62">
        <f>SUMPRODUCT(N(Tabela3[PAPEL]=Tabela2[[#This Row],[Ativo]]),Tabela3[Total Ações])</f>
        <v>166355563</v>
      </c>
      <c r="E364" s="65">
        <f>(Tabela2[[#This Row],[Lucro Líquido]])/Tabela2[[#This Row],[Total Ações]]</f>
        <v>1.5150001325774719E-2</v>
      </c>
      <c r="F364" s="65">
        <v>2.696E-3</v>
      </c>
      <c r="G364" s="22">
        <f>IF(AND(Tabela2[[#This Row],[Dividendo / Ação]]&gt;0,Tabela2[[#This Row],[Lucro por ação]]&gt;0),Tabela2[[#This Row],[Dividendo / Ação]]/Tabela2[[#This Row],[Lucro por ação]],"")</f>
        <v>0.17795377980682361</v>
      </c>
      <c r="H364" s="5">
        <f>MAX(Tabela2[[#This Row],[Cotação 1]],Tabela2[[#This Row],[Cotação 2]])</f>
        <v>0.13</v>
      </c>
      <c r="I364" s="18">
        <f>IF(Tabela2[[#This Row],[Dividendo / Ação]]&gt;0,Tabela2[[#This Row],[Dividendo / Ação]]/Tabela2[[#This Row],[Cotação]],"")</f>
        <v>2.0738461538461539E-2</v>
      </c>
      <c r="J364" s="60">
        <f>SUMPRODUCT(N(Tabela1[Código]=Tabela2[[#This Row],[Ativo]]),Tabela1[Fechamento])</f>
        <v>0.13</v>
      </c>
      <c r="K364" s="60">
        <f>SUMPRODUCT(N(Tabela17[Código]=Tabela2[[#This Row],[Ativo]]),Tabela17[Fechamento])</f>
        <v>0</v>
      </c>
    </row>
    <row r="365" spans="1:13">
      <c r="A365" s="4" t="s">
        <v>195</v>
      </c>
      <c r="B365" s="3">
        <v>2009</v>
      </c>
      <c r="C365" s="5">
        <v>1605331</v>
      </c>
      <c r="D365" s="62">
        <f>SUMPRODUCT(N(Tabela3[PAPEL]=Tabela2[[#This Row],[Ativo]]),Tabela3[Total Ações])</f>
        <v>166355563</v>
      </c>
      <c r="E365" s="65">
        <f>(Tabela2[[#This Row],[Lucro Líquido]])/Tabela2[[#This Row],[Total Ações]]</f>
        <v>9.6499989002471771E-3</v>
      </c>
      <c r="F365" s="65">
        <v>1.01E-2</v>
      </c>
      <c r="G365" s="22">
        <f>IF(AND(Tabela2[[#This Row],[Dividendo / Ação]]&gt;0,Tabela2[[#This Row],[Lucro por ação]]&gt;0),Tabela2[[#This Row],[Dividendo / Ação]]/Tabela2[[#This Row],[Lucro por ação]],"")</f>
        <v>1.0466322436307527</v>
      </c>
      <c r="H365" s="5">
        <f>MAX(Tabela2[[#This Row],[Cotação 1]],Tabela2[[#This Row],[Cotação 2]])</f>
        <v>0.13</v>
      </c>
      <c r="I365" s="18">
        <f>IF(Tabela2[[#This Row],[Dividendo / Ação]]&gt;0,Tabela2[[#This Row],[Dividendo / Ação]]/Tabela2[[#This Row],[Cotação]],"")</f>
        <v>7.7692307692307686E-2</v>
      </c>
      <c r="J365" s="60">
        <f>SUMPRODUCT(N(Tabela1[Código]=Tabela2[[#This Row],[Ativo]]),Tabela1[Fechamento])</f>
        <v>0.13</v>
      </c>
      <c r="K365" s="60">
        <f>SUMPRODUCT(N(Tabela17[Código]=Tabela2[[#This Row],[Ativo]]),Tabela17[Fechamento])</f>
        <v>0</v>
      </c>
    </row>
    <row r="366" spans="1:13">
      <c r="A366" s="4" t="s">
        <v>196</v>
      </c>
      <c r="B366" s="4">
        <v>2012</v>
      </c>
      <c r="C366" s="6">
        <v>3061251.15</v>
      </c>
      <c r="D366" s="8">
        <f>SUMPRODUCT(N(Tabela3[PAPEL]=Tabela2[[#This Row],[Ativo]]),Tabela3[Total Ações])</f>
        <v>166355563</v>
      </c>
      <c r="E366" s="66">
        <f>(Tabela2[[#This Row],[Lucro Líquido]])/Tabela2[[#This Row],[Total Ações]]</f>
        <v>1.8401856209641753E-2</v>
      </c>
      <c r="F366" s="66">
        <v>1.8330851400000001E-2</v>
      </c>
      <c r="G366" s="46">
        <f>IF(AND(Tabela2[[#This Row],[Dividendo / Ação]]&gt;0,Tabela2[[#This Row],[Lucro por ação]]&gt;0),Tabela2[[#This Row],[Dividendo / Ação]]/Tabela2[[#This Row],[Lucro por ação]],"")</f>
        <v>0.99614143221027074</v>
      </c>
      <c r="H366" s="6">
        <f>MAX(Tabela2[[#This Row],[Cotação 1]],Tabela2[[#This Row],[Cotação 2]])</f>
        <v>0.15</v>
      </c>
      <c r="I366" s="19">
        <f>IF(Tabela2[[#This Row],[Dividendo / Ação]]&gt;0,Tabela2[[#This Row],[Dividendo / Ação]]/Tabela2[[#This Row],[Cotação]],"")</f>
        <v>0.12220567600000001</v>
      </c>
      <c r="J366" s="61">
        <f>SUMPRODUCT(N(Tabela1[Código]=Tabela2[[#This Row],[Ativo]]),Tabela1[Fechamento])</f>
        <v>0.15</v>
      </c>
      <c r="K366" s="61">
        <f>SUMPRODUCT(N(Tabela17[Código]=Tabela2[[#This Row],[Ativo]]),Tabela17[Fechamento])</f>
        <v>0</v>
      </c>
    </row>
    <row r="367" spans="1:13">
      <c r="A367" s="4" t="s">
        <v>196</v>
      </c>
      <c r="B367" s="4">
        <v>2011</v>
      </c>
      <c r="C367" s="5">
        <v>2796437</v>
      </c>
      <c r="D367" s="8">
        <f>SUMPRODUCT(N(Tabela3[PAPEL]=Tabela2[[#This Row],[Ativo]]),Tabela3[Total Ações])</f>
        <v>166355563</v>
      </c>
      <c r="E367" s="66">
        <f>(Tabela2[[#This Row],[Lucro Líquido]])/Tabela2[[#This Row],[Total Ações]]</f>
        <v>1.6809999915662573E-2</v>
      </c>
      <c r="F367" s="66">
        <v>1.5972E-2</v>
      </c>
      <c r="G367" s="46">
        <f>IF(AND(Tabela2[[#This Row],[Dividendo / Ação]]&gt;0,Tabela2[[#This Row],[Lucro por ação]]&gt;0),Tabela2[[#This Row],[Dividendo / Ação]]/Tabela2[[#This Row],[Lucro por ação]],"")</f>
        <v>0.95014872576639497</v>
      </c>
      <c r="H367" s="6">
        <f>MAX(Tabela2[[#This Row],[Cotação 1]],Tabela2[[#This Row],[Cotação 2]])</f>
        <v>0.15</v>
      </c>
      <c r="I367" s="19">
        <f>IF(Tabela2[[#This Row],[Dividendo / Ação]]&gt;0,Tabela2[[#This Row],[Dividendo / Ação]]/Tabela2[[#This Row],[Cotação]],"")</f>
        <v>0.10648000000000001</v>
      </c>
      <c r="J367" s="61">
        <f>SUMPRODUCT(N(Tabela1[Código]=Tabela2[[#This Row],[Ativo]]),Tabela1[Fechamento])</f>
        <v>0.15</v>
      </c>
      <c r="K367" s="61">
        <f>SUMPRODUCT(N(Tabela17[Código]=Tabela2[[#This Row],[Ativo]]),Tabela17[Fechamento])</f>
        <v>0</v>
      </c>
    </row>
    <row r="368" spans="1:13">
      <c r="A368" s="4" t="s">
        <v>196</v>
      </c>
      <c r="B368" s="4">
        <v>2010</v>
      </c>
      <c r="C368" s="5">
        <v>2520287</v>
      </c>
      <c r="D368" s="8">
        <f>SUMPRODUCT(N(Tabela3[PAPEL]=Tabela2[[#This Row],[Ativo]]),Tabela3[Total Ações])</f>
        <v>166355563</v>
      </c>
      <c r="E368" s="66">
        <f>(Tabela2[[#This Row],[Lucro Líquido]])/Tabela2[[#This Row],[Total Ações]]</f>
        <v>1.5150001325774719E-2</v>
      </c>
      <c r="F368" s="66">
        <v>3.0049999999999999E-3</v>
      </c>
      <c r="G368" s="46">
        <f>IF(AND(Tabela2[[#This Row],[Dividendo / Ação]]&gt;0,Tabela2[[#This Row],[Lucro por ação]]&gt;0),Tabela2[[#This Row],[Dividendo / Ação]]/Tabela2[[#This Row],[Lucro por ação]],"")</f>
        <v>0.1983498176259291</v>
      </c>
      <c r="H368" s="6">
        <f>MAX(Tabela2[[#This Row],[Cotação 1]],Tabela2[[#This Row],[Cotação 2]])</f>
        <v>0.15</v>
      </c>
      <c r="I368" s="19">
        <f>IF(Tabela2[[#This Row],[Dividendo / Ação]]&gt;0,Tabela2[[#This Row],[Dividendo / Ação]]/Tabela2[[#This Row],[Cotação]],"")</f>
        <v>2.0033333333333334E-2</v>
      </c>
      <c r="J368" s="61">
        <f>SUMPRODUCT(N(Tabela1[Código]=Tabela2[[#This Row],[Ativo]]),Tabela1[Fechamento])</f>
        <v>0.15</v>
      </c>
      <c r="K368" s="61">
        <f>SUMPRODUCT(N(Tabela17[Código]=Tabela2[[#This Row],[Ativo]]),Tabela17[Fechamento])</f>
        <v>0</v>
      </c>
      <c r="M368" s="5"/>
    </row>
    <row r="369" spans="1:14">
      <c r="A369" s="4" t="s">
        <v>196</v>
      </c>
      <c r="B369" s="4">
        <v>2009</v>
      </c>
      <c r="C369" s="5">
        <v>1605331</v>
      </c>
      <c r="D369" s="8">
        <f>SUMPRODUCT(N(Tabela3[PAPEL]=Tabela2[[#This Row],[Ativo]]),Tabela3[Total Ações])</f>
        <v>166355563</v>
      </c>
      <c r="E369" s="66">
        <f>(Tabela2[[#This Row],[Lucro Líquido]])/Tabela2[[#This Row],[Total Ações]]</f>
        <v>9.6499989002471771E-3</v>
      </c>
      <c r="F369" s="66">
        <v>1.11E-2</v>
      </c>
      <c r="G369" s="46">
        <f>IF(AND(Tabela2[[#This Row],[Dividendo / Ação]]&gt;0,Tabela2[[#This Row],[Lucro por ação]]&gt;0),Tabela2[[#This Row],[Dividendo / Ação]]/Tabela2[[#This Row],[Lucro por ação]],"")</f>
        <v>1.1502591984456789</v>
      </c>
      <c r="H369" s="6">
        <f>MAX(Tabela2[[#This Row],[Cotação 1]],Tabela2[[#This Row],[Cotação 2]])</f>
        <v>0.15</v>
      </c>
      <c r="I369" s="19">
        <f>IF(Tabela2[[#This Row],[Dividendo / Ação]]&gt;0,Tabela2[[#This Row],[Dividendo / Ação]]/Tabela2[[#This Row],[Cotação]],"")</f>
        <v>7.400000000000001E-2</v>
      </c>
      <c r="J369" s="61">
        <f>SUMPRODUCT(N(Tabela1[Código]=Tabela2[[#This Row],[Ativo]]),Tabela1[Fechamento])</f>
        <v>0.15</v>
      </c>
      <c r="K369" s="61">
        <f>SUMPRODUCT(N(Tabela17[Código]=Tabela2[[#This Row],[Ativo]]),Tabela17[Fechamento])</f>
        <v>0</v>
      </c>
    </row>
    <row r="370" spans="1:14">
      <c r="A370" s="3" t="s">
        <v>368</v>
      </c>
      <c r="B370" s="3">
        <v>2012</v>
      </c>
      <c r="C370" s="5">
        <v>645407.11</v>
      </c>
      <c r="D370" s="67">
        <f>SUMPRODUCT(N(Tabela3[PAPEL]=Tabela2[[#This Row],[Ativo]]),Tabela3[Total Ações])</f>
        <v>9133687</v>
      </c>
      <c r="E370" s="65">
        <f>(Tabela2[[#This Row],[Lucro Líquido]])/Tabela2[[#This Row],[Total Ações]]</f>
        <v>7.0662275814794173E-2</v>
      </c>
      <c r="F370" s="65">
        <v>1.3493369900000001</v>
      </c>
      <c r="G370" s="77">
        <f>IF(AND(Tabela2[[#This Row],[Dividendo / Ação]]&gt;0,Tabela2[[#This Row],[Lucro por ação]]&gt;0),Tabela2[[#This Row],[Dividendo / Ação]]/Tabela2[[#This Row],[Lucro por ação]],"")</f>
        <v>19.095577865856068</v>
      </c>
      <c r="H370" s="60">
        <f>MAX(Tabela2[[#This Row],[Cotação 1]],Tabela2[[#This Row],[Cotação 2]])</f>
        <v>15.8</v>
      </c>
      <c r="I370" s="22">
        <f>IF(Tabela2[[#This Row],[Dividendo / Ação]]&gt;0,Tabela2[[#This Row],[Dividendo / Ação]]/Tabela2[[#This Row],[Cotação]],"")</f>
        <v>8.5401075316455702E-2</v>
      </c>
      <c r="J370" s="7">
        <f>SUMPRODUCT(N(Tabela1[Código]=Tabela2[[#This Row],[Ativo]]),Tabela1[Fechamento])</f>
        <v>0</v>
      </c>
      <c r="K370" s="7">
        <f>SUMPRODUCT(N(Tabela17[Código]=Tabela2[[#This Row],[Ativo]]),Tabela17[Fechamento])</f>
        <v>15.8</v>
      </c>
    </row>
    <row r="371" spans="1:14">
      <c r="A371" s="3" t="s">
        <v>368</v>
      </c>
      <c r="B371" s="3">
        <v>2011</v>
      </c>
      <c r="C371" s="5">
        <v>9737000</v>
      </c>
      <c r="D371" s="67">
        <f>SUMPRODUCT(N(Tabela3[PAPEL]=Tabela2[[#This Row],[Ativo]]),Tabela3[Total Ações])</f>
        <v>9133687</v>
      </c>
      <c r="E371" s="65">
        <f>(Tabela2[[#This Row],[Lucro Líquido]])/Tabela2[[#This Row],[Total Ações]]</f>
        <v>1.0660536101138565</v>
      </c>
      <c r="F371" s="65">
        <v>0.91752482999999996</v>
      </c>
      <c r="G371" s="77">
        <f>IF(AND(Tabela2[[#This Row],[Dividendo / Ação]]&gt;0,Tabela2[[#This Row],[Lucro por ação]]&gt;0),Tabela2[[#This Row],[Dividendo / Ação]]/Tabela2[[#This Row],[Lucro por ação]],"")</f>
        <v>0.86067419245642496</v>
      </c>
      <c r="H371" s="60">
        <f>MAX(Tabela2[[#This Row],[Cotação 1]],Tabela2[[#This Row],[Cotação 2]])</f>
        <v>15.8</v>
      </c>
      <c r="I371" s="22">
        <f>IF(Tabela2[[#This Row],[Dividendo / Ação]]&gt;0,Tabela2[[#This Row],[Dividendo / Ação]]/Tabela2[[#This Row],[Cotação]],"")</f>
        <v>5.8071191772151892E-2</v>
      </c>
      <c r="J371" s="7">
        <f>SUMPRODUCT(N(Tabela1[Código]=Tabela2[[#This Row],[Ativo]]),Tabela1[Fechamento])</f>
        <v>0</v>
      </c>
      <c r="K371" s="7">
        <f>SUMPRODUCT(N(Tabela17[Código]=Tabela2[[#This Row],[Ativo]]),Tabela17[Fechamento])</f>
        <v>15.8</v>
      </c>
    </row>
    <row r="372" spans="1:14">
      <c r="A372" s="3" t="s">
        <v>368</v>
      </c>
      <c r="B372" s="3">
        <v>2010</v>
      </c>
      <c r="C372" s="5">
        <v>18645000</v>
      </c>
      <c r="D372" s="67">
        <f>SUMPRODUCT(N(Tabela3[PAPEL]=Tabela2[[#This Row],[Ativo]]),Tabela3[Total Ações])</f>
        <v>9133687</v>
      </c>
      <c r="E372" s="65">
        <f>(Tabela2[[#This Row],[Lucro Líquido]])/Tabela2[[#This Row],[Total Ações]]</f>
        <v>2.0413443114483778</v>
      </c>
      <c r="F372" s="65">
        <v>0.50479059999999998</v>
      </c>
      <c r="G372" s="77">
        <f>IF(AND(Tabela2[[#This Row],[Dividendo / Ação]]&gt;0,Tabela2[[#This Row],[Lucro por ação]]&gt;0),Tabela2[[#This Row],[Dividendo / Ação]]/Tabela2[[#This Row],[Lucro por ação]],"")</f>
        <v>0.24728341866142128</v>
      </c>
      <c r="H372" s="60">
        <f>MAX(Tabela2[[#This Row],[Cotação 1]],Tabela2[[#This Row],[Cotação 2]])</f>
        <v>15.8</v>
      </c>
      <c r="I372" s="22">
        <f>IF(Tabela2[[#This Row],[Dividendo / Ação]]&gt;0,Tabela2[[#This Row],[Dividendo / Ação]]/Tabela2[[#This Row],[Cotação]],"")</f>
        <v>3.194877215189873E-2</v>
      </c>
      <c r="J372" s="7">
        <f>SUMPRODUCT(N(Tabela1[Código]=Tabela2[[#This Row],[Ativo]]),Tabela1[Fechamento])</f>
        <v>0</v>
      </c>
      <c r="K372" s="7">
        <f>SUMPRODUCT(N(Tabela17[Código]=Tabela2[[#This Row],[Ativo]]),Tabela17[Fechamento])</f>
        <v>15.8</v>
      </c>
    </row>
    <row r="373" spans="1:14">
      <c r="A373" s="4" t="s">
        <v>682</v>
      </c>
      <c r="B373" s="4">
        <v>2012</v>
      </c>
      <c r="C373" s="6">
        <v>268308000</v>
      </c>
      <c r="D373" s="91">
        <f>SUMPRODUCT(N(Tabela3[PAPEL]=Tabela2[[#This Row],[Ativo]]),Tabela3[Total Ações])</f>
        <v>176611578</v>
      </c>
      <c r="E373" s="66">
        <f>(Tabela2[[#This Row],[Lucro Líquido]])/Tabela2[[#This Row],[Total Ações]]</f>
        <v>1.5191982487127769</v>
      </c>
      <c r="F373" s="66">
        <v>0.40200000000000002</v>
      </c>
      <c r="G373" s="45">
        <f>IF(AND(Tabela2[[#This Row],[Dividendo / Ação]]&gt;0,Tabela2[[#This Row],[Lucro por ação]]&gt;0),Tabela2[[#This Row],[Dividendo / Ação]]/Tabela2[[#This Row],[Lucro por ação]],"")</f>
        <v>0.26461325922447337</v>
      </c>
      <c r="H373" s="61">
        <f>MAX(Tabela2[[#This Row],[Cotação 1]],Tabela2[[#This Row],[Cotação 2]])</f>
        <v>21.7</v>
      </c>
      <c r="I373" s="46">
        <f>IF(Tabela2[[#This Row],[Dividendo / Ação]]&gt;0,Tabela2[[#This Row],[Dividendo / Ação]]/Tabela2[[#This Row],[Cotação]],"")</f>
        <v>1.8525345622119816E-2</v>
      </c>
      <c r="J373" s="17">
        <f>SUMPRODUCT(N(Tabela1[Código]=Tabela2[[#This Row],[Ativo]]),Tabela1[Fechamento])</f>
        <v>0</v>
      </c>
      <c r="K373" s="17">
        <f>SUMPRODUCT(N(Tabela17[Código]=Tabela2[[#This Row],[Ativo]]),Tabela17[Fechamento])</f>
        <v>21.7</v>
      </c>
    </row>
    <row r="374" spans="1:14">
      <c r="A374" s="4" t="s">
        <v>682</v>
      </c>
      <c r="B374" s="4">
        <v>2011</v>
      </c>
      <c r="C374" s="6">
        <v>151938000</v>
      </c>
      <c r="D374" s="91">
        <f>SUMPRODUCT(N(Tabela3[PAPEL]=Tabela2[[#This Row],[Ativo]]),Tabela3[Total Ações])</f>
        <v>176611578</v>
      </c>
      <c r="E374" s="66">
        <f>(Tabela2[[#This Row],[Lucro Líquido]])/Tabela2[[#This Row],[Total Ações]]</f>
        <v>0.86029467445220376</v>
      </c>
      <c r="F374" s="66">
        <v>0.38</v>
      </c>
      <c r="G374" s="45">
        <f>IF(AND(Tabela2[[#This Row],[Dividendo / Ação]]&gt;0,Tabela2[[#This Row],[Lucro por ação]]&gt;0),Tabela2[[#This Row],[Dividendo / Ação]]/Tabela2[[#This Row],[Lucro por ação]],"")</f>
        <v>0.44170911582355965</v>
      </c>
      <c r="H374" s="61">
        <f>MAX(Tabela2[[#This Row],[Cotação 1]],Tabela2[[#This Row],[Cotação 2]])</f>
        <v>21.7</v>
      </c>
      <c r="I374" s="46">
        <f>IF(Tabela2[[#This Row],[Dividendo / Ação]]&gt;0,Tabela2[[#This Row],[Dividendo / Ação]]/Tabela2[[#This Row],[Cotação]],"")</f>
        <v>1.7511520737327188E-2</v>
      </c>
      <c r="J374" s="17">
        <f>SUMPRODUCT(N(Tabela1[Código]=Tabela2[[#This Row],[Ativo]]),Tabela1[Fechamento])</f>
        <v>0</v>
      </c>
      <c r="K374" s="17">
        <f>SUMPRODUCT(N(Tabela17[Código]=Tabela2[[#This Row],[Ativo]]),Tabela17[Fechamento])</f>
        <v>21.7</v>
      </c>
    </row>
    <row r="375" spans="1:14">
      <c r="A375" s="4" t="s">
        <v>682</v>
      </c>
      <c r="B375" s="4">
        <v>2010</v>
      </c>
      <c r="C375" s="6">
        <v>151547000</v>
      </c>
      <c r="D375" s="91">
        <f>SUMPRODUCT(N(Tabela3[PAPEL]=Tabela2[[#This Row],[Ativo]]),Tabela3[Total Ações])</f>
        <v>176611578</v>
      </c>
      <c r="E375" s="66">
        <f>(Tabela2[[#This Row],[Lucro Líquido]])/Tabela2[[#This Row],[Total Ações]]</f>
        <v>0.85808077656154569</v>
      </c>
      <c r="F375" s="66">
        <v>0.36499999999999999</v>
      </c>
      <c r="G375" s="45">
        <f>IF(AND(Tabela2[[#This Row],[Dividendo / Ação]]&gt;0,Tabela2[[#This Row],[Lucro por ação]]&gt;0),Tabela2[[#This Row],[Dividendo / Ação]]/Tabela2[[#This Row],[Lucro por ação]],"")</f>
        <v>0.42536787907381868</v>
      </c>
      <c r="H375" s="61">
        <f>MAX(Tabela2[[#This Row],[Cotação 1]],Tabela2[[#This Row],[Cotação 2]])</f>
        <v>21.7</v>
      </c>
      <c r="I375" s="46">
        <f>IF(Tabela2[[#This Row],[Dividendo / Ação]]&gt;0,Tabela2[[#This Row],[Dividendo / Ação]]/Tabela2[[#This Row],[Cotação]],"")</f>
        <v>1.6820276497695852E-2</v>
      </c>
      <c r="J375" s="17">
        <f>SUMPRODUCT(N(Tabela1[Código]=Tabela2[[#This Row],[Ativo]]),Tabela1[Fechamento])</f>
        <v>0</v>
      </c>
      <c r="K375" s="17">
        <f>SUMPRODUCT(N(Tabela17[Código]=Tabela2[[#This Row],[Ativo]]),Tabela17[Fechamento])</f>
        <v>21.7</v>
      </c>
    </row>
    <row r="376" spans="1:14">
      <c r="A376" s="4" t="s">
        <v>682</v>
      </c>
      <c r="B376" s="4">
        <v>2009</v>
      </c>
      <c r="C376" s="6">
        <v>92927000</v>
      </c>
      <c r="D376" s="91">
        <f>SUMPRODUCT(N(Tabela3[PAPEL]=Tabela2[[#This Row],[Ativo]]),Tabela3[Total Ações])</f>
        <v>176611578</v>
      </c>
      <c r="E376" s="66">
        <f>(Tabela2[[#This Row],[Lucro Líquido]])/Tabela2[[#This Row],[Total Ações]]</f>
        <v>0.52616595725111526</v>
      </c>
      <c r="F376" s="66">
        <v>0.315</v>
      </c>
      <c r="G376" s="45">
        <f>IF(AND(Tabela2[[#This Row],[Dividendo / Ação]]&gt;0,Tabela2[[#This Row],[Lucro por ação]]&gt;0),Tabela2[[#This Row],[Dividendo / Ação]]/Tabela2[[#This Row],[Lucro por ação]],"")</f>
        <v>0.59867043023018063</v>
      </c>
      <c r="H376" s="61">
        <f>MAX(Tabela2[[#This Row],[Cotação 1]],Tabela2[[#This Row],[Cotação 2]])</f>
        <v>21.7</v>
      </c>
      <c r="I376" s="46">
        <f>IF(Tabela2[[#This Row],[Dividendo / Ação]]&gt;0,Tabela2[[#This Row],[Dividendo / Ação]]/Tabela2[[#This Row],[Cotação]],"")</f>
        <v>1.4516129032258065E-2</v>
      </c>
      <c r="J376" s="17">
        <f>SUMPRODUCT(N(Tabela1[Código]=Tabela2[[#This Row],[Ativo]]),Tabela1[Fechamento])</f>
        <v>0</v>
      </c>
      <c r="K376" s="17">
        <f>SUMPRODUCT(N(Tabela17[Código]=Tabela2[[#This Row],[Ativo]]),Tabela17[Fechamento])</f>
        <v>21.7</v>
      </c>
    </row>
    <row r="377" spans="1:14">
      <c r="A377" s="15" t="s">
        <v>270</v>
      </c>
      <c r="B377" s="3">
        <v>2012</v>
      </c>
      <c r="C377" s="5">
        <v>4539233257.3500004</v>
      </c>
      <c r="D377" s="62">
        <f>SUMPRODUCT(N(Tabela3[PAPEL]=Tabela2[[#This Row],[Ativo]]),Tabela3[Total Ações])</f>
        <v>5470667261</v>
      </c>
      <c r="E377" s="65">
        <f>(Tabela2[[#This Row],[Lucro Líquido]])/Tabela2[[#This Row],[Total Ações]]</f>
        <v>0.82974032979667278</v>
      </c>
      <c r="F377" s="65">
        <v>0.34289999999999998</v>
      </c>
      <c r="G377" s="22">
        <f>IF(AND(Tabela2[[#This Row],[Dividendo / Ação]]&gt;0,Tabela2[[#This Row],[Lucro por ação]]&gt;0),Tabela2[[#This Row],[Dividendo / Ação]]/Tabela2[[#This Row],[Lucro por ação]],"")</f>
        <v>0.41326182142312806</v>
      </c>
      <c r="H377" s="5">
        <f>MAX(Tabela2[[#This Row],[Cotação 1]],Tabela2[[#This Row],[Cotação 2]])</f>
        <v>12</v>
      </c>
      <c r="I377" s="18">
        <f>IF(Tabela2[[#This Row],[Dividendo / Ação]]&gt;0,Tabela2[[#This Row],[Dividendo / Ação]]/Tabela2[[#This Row],[Cotação]],"")</f>
        <v>2.8575E-2</v>
      </c>
      <c r="J377" s="60">
        <f>SUMPRODUCT(N(Tabela1[Código]=Tabela2[[#This Row],[Ativo]]),Tabela1[Fechamento])</f>
        <v>12</v>
      </c>
      <c r="K377" s="60">
        <f>SUMPRODUCT(N(Tabela17[Código]=Tabela2[[#This Row],[Ativo]]),Tabela17[Fechamento])</f>
        <v>0</v>
      </c>
    </row>
    <row r="378" spans="1:14">
      <c r="A378" s="15" t="s">
        <v>270</v>
      </c>
      <c r="B378" s="3">
        <v>2011</v>
      </c>
      <c r="C378" s="5">
        <v>4693567188.1000004</v>
      </c>
      <c r="D378" s="62">
        <f>SUMPRODUCT(N(Tabela3[PAPEL]=Tabela2[[#This Row],[Ativo]]),Tabela3[Total Ações])</f>
        <v>5470667261</v>
      </c>
      <c r="E378" s="65">
        <f>(Tabela2[[#This Row],[Lucro Líquido]])/Tabela2[[#This Row],[Total Ações]]</f>
        <v>0.85795150100977791</v>
      </c>
      <c r="F378" s="65">
        <v>0.33350000000000002</v>
      </c>
      <c r="G378" s="22">
        <f>IF(AND(Tabela2[[#This Row],[Dividendo / Ação]]&gt;0,Tabela2[[#This Row],[Lucro por ação]]&gt;0),Tabela2[[#This Row],[Dividendo / Ação]]/Tabela2[[#This Row],[Lucro por ação]],"")</f>
        <v>0.38871661114583117</v>
      </c>
      <c r="H378" s="5">
        <f>MAX(Tabela2[[#This Row],[Cotação 1]],Tabela2[[#This Row],[Cotação 2]])</f>
        <v>12</v>
      </c>
      <c r="I378" s="18">
        <f>IF(Tabela2[[#This Row],[Dividendo / Ação]]&gt;0,Tabela2[[#This Row],[Dividendo / Ação]]/Tabela2[[#This Row],[Cotação]],"")</f>
        <v>2.7791666666666669E-2</v>
      </c>
      <c r="J378" s="60">
        <f>SUMPRODUCT(N(Tabela1[Código]=Tabela2[[#This Row],[Ativo]]),Tabela1[Fechamento])</f>
        <v>12</v>
      </c>
      <c r="K378" s="60">
        <f>SUMPRODUCT(N(Tabela17[Código]=Tabela2[[#This Row],[Ativo]]),Tabela17[Fechamento])</f>
        <v>0</v>
      </c>
    </row>
    <row r="379" spans="1:14">
      <c r="A379" s="15" t="s">
        <v>270</v>
      </c>
      <c r="B379" s="3">
        <v>2010</v>
      </c>
      <c r="C379" s="5">
        <v>4309548054.5299997</v>
      </c>
      <c r="D379" s="62">
        <f>SUMPRODUCT(N(Tabela3[PAPEL]=Tabela2[[#This Row],[Ativo]]),Tabela3[Total Ações])</f>
        <v>5470667261</v>
      </c>
      <c r="E379" s="65">
        <f>(Tabela2[[#This Row],[Lucro Líquido]])/Tabela2[[#This Row],[Total Ações]]</f>
        <v>0.78775546910931016</v>
      </c>
      <c r="F379" s="65">
        <v>0.29649999999999999</v>
      </c>
      <c r="G379" s="22">
        <f>IF(AND(Tabela2[[#This Row],[Dividendo / Ação]]&gt;0,Tabela2[[#This Row],[Lucro por ação]]&gt;0),Tabela2[[#This Row],[Dividendo / Ação]]/Tabela2[[#This Row],[Lucro por ação]],"")</f>
        <v>0.37638583497902339</v>
      </c>
      <c r="H379" s="5">
        <f>MAX(Tabela2[[#This Row],[Cotação 1]],Tabela2[[#This Row],[Cotação 2]])</f>
        <v>12</v>
      </c>
      <c r="I379" s="18">
        <f>IF(Tabela2[[#This Row],[Dividendo / Ação]]&gt;0,Tabela2[[#This Row],[Dividendo / Ação]]/Tabela2[[#This Row],[Cotação]],"")</f>
        <v>2.4708333333333332E-2</v>
      </c>
      <c r="J379" s="60">
        <f>SUMPRODUCT(N(Tabela1[Código]=Tabela2[[#This Row],[Ativo]]),Tabela1[Fechamento])</f>
        <v>12</v>
      </c>
      <c r="K379" s="60">
        <f>SUMPRODUCT(N(Tabela17[Código]=Tabela2[[#This Row],[Ativo]]),Tabela17[Fechamento])</f>
        <v>0</v>
      </c>
    </row>
    <row r="380" spans="1:14">
      <c r="A380" s="15" t="s">
        <v>270</v>
      </c>
      <c r="B380" s="3">
        <v>2009</v>
      </c>
      <c r="C380" s="5">
        <v>2858809105.48</v>
      </c>
      <c r="D380" s="62">
        <f>SUMPRODUCT(N(Tabela3[PAPEL]=Tabela2[[#This Row],[Ativo]]),Tabela3[Total Ações])</f>
        <v>5470667261</v>
      </c>
      <c r="E380" s="65">
        <f>(Tabela2[[#This Row],[Lucro Líquido]])/Tabela2[[#This Row],[Total Ações]]</f>
        <v>0.52257045970612181</v>
      </c>
      <c r="F380" s="65">
        <v>0.25769999999999998</v>
      </c>
      <c r="G380" s="22">
        <f>IF(AND(Tabela2[[#This Row],[Dividendo / Ação]]&gt;0,Tabela2[[#This Row],[Lucro por ação]]&gt;0),Tabela2[[#This Row],[Dividendo / Ação]]/Tabela2[[#This Row],[Lucro por ação]],"")</f>
        <v>0.49313924125164449</v>
      </c>
      <c r="H380" s="5">
        <f>MAX(Tabela2[[#This Row],[Cotação 1]],Tabela2[[#This Row],[Cotação 2]])</f>
        <v>12</v>
      </c>
      <c r="I380" s="18">
        <f>IF(Tabela2[[#This Row],[Dividendo / Ação]]&gt;0,Tabela2[[#This Row],[Dividendo / Ação]]/Tabela2[[#This Row],[Cotação]],"")</f>
        <v>2.1474999999999998E-2</v>
      </c>
      <c r="J380" s="60">
        <f>SUMPRODUCT(N(Tabela1[Código]=Tabela2[[#This Row],[Ativo]]),Tabela1[Fechamento])</f>
        <v>12</v>
      </c>
      <c r="K380" s="60">
        <f>SUMPRODUCT(N(Tabela17[Código]=Tabela2[[#This Row],[Ativo]]),Tabela17[Fechamento])</f>
        <v>0</v>
      </c>
    </row>
    <row r="381" spans="1:14">
      <c r="A381" s="15" t="s">
        <v>16</v>
      </c>
      <c r="B381" s="4">
        <v>2012</v>
      </c>
      <c r="C381" s="5">
        <v>4539233257.3500004</v>
      </c>
      <c r="D381" s="8">
        <f>SUMPRODUCT(N(Tabela3[PAPEL]=Tabela2[[#This Row],[Ativo]]),Tabela3[Total Ações])</f>
        <v>5470667261</v>
      </c>
      <c r="E381" s="66">
        <f>(Tabela2[[#This Row],[Lucro Líquido]])/Tabela2[[#This Row],[Total Ações]]</f>
        <v>0.82974032979667278</v>
      </c>
      <c r="F381" s="65">
        <v>0.34289999999999998</v>
      </c>
      <c r="G381" s="46">
        <f>IF(AND(Tabela2[[#This Row],[Dividendo / Ação]]&gt;0,Tabela2[[#This Row],[Lucro por ação]]&gt;0),Tabela2[[#This Row],[Dividendo / Ação]]/Tabela2[[#This Row],[Lucro por ação]],"")</f>
        <v>0.41326182142312806</v>
      </c>
      <c r="H381" s="6">
        <f>MAX(Tabela2[[#This Row],[Cotação 1]],Tabela2[[#This Row],[Cotação 2]])</f>
        <v>8.8699999999999992</v>
      </c>
      <c r="I381" s="19">
        <f>IF(Tabela2[[#This Row],[Dividendo / Ação]]&gt;0,Tabela2[[#This Row],[Dividendo / Ação]]/Tabela2[[#This Row],[Cotação]],"")</f>
        <v>3.8658399098083426E-2</v>
      </c>
      <c r="J381" s="61">
        <f>SUMPRODUCT(N(Tabela1[Código]=Tabela2[[#This Row],[Ativo]]),Tabela1[Fechamento])</f>
        <v>8.8699999999999992</v>
      </c>
      <c r="K381" s="61">
        <f>SUMPRODUCT(N(Tabela17[Código]=Tabela2[[#This Row],[Ativo]]),Tabela17[Fechamento])</f>
        <v>0</v>
      </c>
    </row>
    <row r="382" spans="1:14">
      <c r="A382" s="15" t="s">
        <v>16</v>
      </c>
      <c r="B382" s="4">
        <v>2011</v>
      </c>
      <c r="C382" s="5">
        <v>4693567188.1000004</v>
      </c>
      <c r="D382" s="8">
        <f>SUMPRODUCT(N(Tabela3[PAPEL]=Tabela2[[#This Row],[Ativo]]),Tabela3[Total Ações])</f>
        <v>5470667261</v>
      </c>
      <c r="E382" s="66">
        <f>(Tabela2[[#This Row],[Lucro Líquido]])/Tabela2[[#This Row],[Total Ações]]</f>
        <v>0.85795150100977791</v>
      </c>
      <c r="F382" s="66">
        <v>0.33350000000000002</v>
      </c>
      <c r="G382" s="46">
        <f>IF(AND(Tabela2[[#This Row],[Dividendo / Ação]]&gt;0,Tabela2[[#This Row],[Lucro por ação]]&gt;0),Tabela2[[#This Row],[Dividendo / Ação]]/Tabela2[[#This Row],[Lucro por ação]],"")</f>
        <v>0.38871661114583117</v>
      </c>
      <c r="H382" s="6">
        <f>MAX(Tabela2[[#This Row],[Cotação 1]],Tabela2[[#This Row],[Cotação 2]])</f>
        <v>8.8699999999999992</v>
      </c>
      <c r="I382" s="19">
        <f>IF(Tabela2[[#This Row],[Dividendo / Ação]]&gt;0,Tabela2[[#This Row],[Dividendo / Ação]]/Tabela2[[#This Row],[Cotação]],"")</f>
        <v>3.7598647125140931E-2</v>
      </c>
      <c r="J382" s="61">
        <f>SUMPRODUCT(N(Tabela1[Código]=Tabela2[[#This Row],[Ativo]]),Tabela1[Fechamento])</f>
        <v>8.8699999999999992</v>
      </c>
      <c r="K382" s="61">
        <f>SUMPRODUCT(N(Tabela17[Código]=Tabela2[[#This Row],[Ativo]]),Tabela17[Fechamento])</f>
        <v>0</v>
      </c>
    </row>
    <row r="383" spans="1:14">
      <c r="A383" s="15" t="s">
        <v>16</v>
      </c>
      <c r="B383" s="4">
        <v>2010</v>
      </c>
      <c r="C383" s="5">
        <v>4309548054.5299997</v>
      </c>
      <c r="D383" s="8">
        <f>SUMPRODUCT(N(Tabela3[PAPEL]=Tabela2[[#This Row],[Ativo]]),Tabela3[Total Ações])</f>
        <v>5470667261</v>
      </c>
      <c r="E383" s="66">
        <f>(Tabela2[[#This Row],[Lucro Líquido]])/Tabela2[[#This Row],[Total Ações]]</f>
        <v>0.78775546910931016</v>
      </c>
      <c r="F383" s="66">
        <v>0.29649999999999999</v>
      </c>
      <c r="G383" s="46">
        <f>IF(AND(Tabela2[[#This Row],[Dividendo / Ação]]&gt;0,Tabela2[[#This Row],[Lucro por ação]]&gt;0),Tabela2[[#This Row],[Dividendo / Ação]]/Tabela2[[#This Row],[Lucro por ação]],"")</f>
        <v>0.37638583497902339</v>
      </c>
      <c r="H383" s="6">
        <f>MAX(Tabela2[[#This Row],[Cotação 1]],Tabela2[[#This Row],[Cotação 2]])</f>
        <v>8.8699999999999992</v>
      </c>
      <c r="I383" s="19">
        <f>IF(Tabela2[[#This Row],[Dividendo / Ação]]&gt;0,Tabela2[[#This Row],[Dividendo / Ação]]/Tabela2[[#This Row],[Cotação]],"")</f>
        <v>3.342728297632469E-2</v>
      </c>
      <c r="J383" s="61">
        <f>SUMPRODUCT(N(Tabela1[Código]=Tabela2[[#This Row],[Ativo]]),Tabela1[Fechamento])</f>
        <v>8.8699999999999992</v>
      </c>
      <c r="K383" s="61">
        <f>SUMPRODUCT(N(Tabela17[Código]=Tabela2[[#This Row],[Ativo]]),Tabela17[Fechamento])</f>
        <v>0</v>
      </c>
      <c r="N383" s="5"/>
    </row>
    <row r="384" spans="1:14">
      <c r="A384" s="15" t="s">
        <v>16</v>
      </c>
      <c r="B384" s="4">
        <v>2009</v>
      </c>
      <c r="C384" s="5">
        <v>2858809105.48</v>
      </c>
      <c r="D384" s="8">
        <f>SUMPRODUCT(N(Tabela3[PAPEL]=Tabela2[[#This Row],[Ativo]]),Tabela3[Total Ações])</f>
        <v>5470667261</v>
      </c>
      <c r="E384" s="66">
        <f>(Tabela2[[#This Row],[Lucro Líquido]])/Tabela2[[#This Row],[Total Ações]]</f>
        <v>0.52257045970612181</v>
      </c>
      <c r="F384" s="66">
        <v>0.25769999999999998</v>
      </c>
      <c r="G384" s="46">
        <f>IF(AND(Tabela2[[#This Row],[Dividendo / Ação]]&gt;0,Tabela2[[#This Row],[Lucro por ação]]&gt;0),Tabela2[[#This Row],[Dividendo / Ação]]/Tabela2[[#This Row],[Lucro por ação]],"")</f>
        <v>0.49313924125164449</v>
      </c>
      <c r="H384" s="6">
        <f>MAX(Tabela2[[#This Row],[Cotação 1]],Tabela2[[#This Row],[Cotação 2]])</f>
        <v>8.8699999999999992</v>
      </c>
      <c r="I384" s="19">
        <f>IF(Tabela2[[#This Row],[Dividendo / Ação]]&gt;0,Tabela2[[#This Row],[Dividendo / Ação]]/Tabela2[[#This Row],[Cotação]],"")</f>
        <v>2.9052987598647127E-2</v>
      </c>
      <c r="J384" s="61">
        <f>SUMPRODUCT(N(Tabela1[Código]=Tabela2[[#This Row],[Ativo]]),Tabela1[Fechamento])</f>
        <v>8.8699999999999992</v>
      </c>
      <c r="K384" s="61">
        <f>SUMPRODUCT(N(Tabela17[Código]=Tabela2[[#This Row],[Ativo]]),Tabela17[Fechamento])</f>
        <v>0</v>
      </c>
      <c r="M384" s="7"/>
    </row>
    <row r="385" spans="1:13">
      <c r="A385" s="14" t="s">
        <v>268</v>
      </c>
      <c r="B385" s="3">
        <v>2012</v>
      </c>
      <c r="C385" s="5">
        <v>10799538178.68</v>
      </c>
      <c r="D385" s="62">
        <f>SUMPRODUCT(N(Tabela3[PAPEL]=Tabela2[[#This Row],[Ativo]]),Tabela3[Total Ações])</f>
        <v>5028029710</v>
      </c>
      <c r="E385" s="65">
        <f>(Tabela2[[#This Row],[Lucro Líquido]])/Tabela2[[#This Row],[Total Ações]]</f>
        <v>2.14786681892538</v>
      </c>
      <c r="F385" s="65">
        <v>1</v>
      </c>
      <c r="G385" s="22">
        <f>IF(AND(Tabela2[[#This Row],[Dividendo / Ação]]&gt;0,Tabela2[[#This Row],[Lucro por ação]]&gt;0),Tabela2[[#This Row],[Dividendo / Ação]]/Tabela2[[#This Row],[Lucro por ação]],"")</f>
        <v>0.46557821518017567</v>
      </c>
      <c r="H385" s="5">
        <f>MAX(Tabela2[[#This Row],[Cotação 1]],Tabela2[[#This Row],[Cotação 2]])</f>
        <v>29.13</v>
      </c>
      <c r="I385" s="18">
        <f>IF(Tabela2[[#This Row],[Dividendo / Ação]]&gt;0,Tabela2[[#This Row],[Dividendo / Ação]]/Tabela2[[#This Row],[Cotação]],"")</f>
        <v>3.4328870580157912E-2</v>
      </c>
      <c r="J385" s="60">
        <f>SUMPRODUCT(N(Tabela1[Código]=Tabela2[[#This Row],[Ativo]]),Tabela1[Fechamento])</f>
        <v>29.13</v>
      </c>
      <c r="K385" s="60">
        <f>SUMPRODUCT(N(Tabela17[Código]=Tabela2[[#This Row],[Ativo]]),Tabela17[Fechamento])</f>
        <v>0</v>
      </c>
    </row>
    <row r="386" spans="1:13">
      <c r="A386" s="14" t="s">
        <v>268</v>
      </c>
      <c r="B386" s="3">
        <v>2011</v>
      </c>
      <c r="C386" s="5">
        <v>11890195760.129999</v>
      </c>
      <c r="D386" s="62">
        <f>SUMPRODUCT(N(Tabela3[PAPEL]=Tabela2[[#This Row],[Ativo]]),Tabela3[Total Ações])</f>
        <v>5028029710</v>
      </c>
      <c r="E386" s="65">
        <f>(Tabela2[[#This Row],[Lucro Líquido]])/Tabela2[[#This Row],[Total Ações]]</f>
        <v>2.364782319500256</v>
      </c>
      <c r="F386" s="65">
        <v>0.97270000000000001</v>
      </c>
      <c r="G386" s="22">
        <f>IF(AND(Tabela2[[#This Row],[Dividendo / Ação]]&gt;0,Tabela2[[#This Row],[Lucro por ação]]&gt;0),Tabela2[[#This Row],[Dividendo / Ação]]/Tabela2[[#This Row],[Lucro por ação]],"")</f>
        <v>0.41132750020118491</v>
      </c>
      <c r="H386" s="5">
        <f>MAX(Tabela2[[#This Row],[Cotação 1]],Tabela2[[#This Row],[Cotação 2]])</f>
        <v>29.13</v>
      </c>
      <c r="I386" s="18">
        <f>IF(Tabela2[[#This Row],[Dividendo / Ação]]&gt;0,Tabela2[[#This Row],[Dividendo / Ação]]/Tabela2[[#This Row],[Cotação]],"")</f>
        <v>3.3391692413319601E-2</v>
      </c>
      <c r="J386" s="60">
        <f>SUMPRODUCT(N(Tabela1[Código]=Tabela2[[#This Row],[Ativo]]),Tabela1[Fechamento])</f>
        <v>29.13</v>
      </c>
      <c r="K386" s="60">
        <f>SUMPRODUCT(N(Tabela17[Código]=Tabela2[[#This Row],[Ativo]]),Tabela17[Fechamento])</f>
        <v>0</v>
      </c>
    </row>
    <row r="387" spans="1:13">
      <c r="A387" s="14" t="s">
        <v>268</v>
      </c>
      <c r="B387" s="3">
        <v>2010</v>
      </c>
      <c r="C387" s="5">
        <v>10272015528.35</v>
      </c>
      <c r="D387" s="62">
        <f>SUMPRODUCT(N(Tabela3[PAPEL]=Tabela2[[#This Row],[Ativo]]),Tabela3[Total Ações])</f>
        <v>5028029710</v>
      </c>
      <c r="E387" s="65">
        <f>(Tabela2[[#This Row],[Lucro Líquido]])/Tabela2[[#This Row],[Total Ações]]</f>
        <v>2.0429504439722175</v>
      </c>
      <c r="F387" s="65">
        <v>0.86070000000000002</v>
      </c>
      <c r="G387" s="22">
        <f>IF(AND(Tabela2[[#This Row],[Dividendo / Ação]]&gt;0,Tabela2[[#This Row],[Lucro por ação]]&gt;0),Tabela2[[#This Row],[Dividendo / Ação]]/Tabela2[[#This Row],[Lucro por ação]],"")</f>
        <v>0.42130243664966005</v>
      </c>
      <c r="H387" s="5">
        <f>MAX(Tabela2[[#This Row],[Cotação 1]],Tabela2[[#This Row],[Cotação 2]])</f>
        <v>29.13</v>
      </c>
      <c r="I387" s="18">
        <f>IF(Tabela2[[#This Row],[Dividendo / Ação]]&gt;0,Tabela2[[#This Row],[Dividendo / Ação]]/Tabela2[[#This Row],[Cotação]],"")</f>
        <v>2.9546858908341918E-2</v>
      </c>
      <c r="J387" s="60">
        <f>SUMPRODUCT(N(Tabela1[Código]=Tabela2[[#This Row],[Ativo]]),Tabela1[Fechamento])</f>
        <v>29.13</v>
      </c>
      <c r="K387" s="60">
        <f>SUMPRODUCT(N(Tabela17[Código]=Tabela2[[#This Row],[Ativo]]),Tabela17[Fechamento])</f>
        <v>0</v>
      </c>
    </row>
    <row r="388" spans="1:13">
      <c r="A388" s="14" t="s">
        <v>85</v>
      </c>
      <c r="B388" s="4">
        <v>2012</v>
      </c>
      <c r="C388" s="5">
        <v>10799538178.68</v>
      </c>
      <c r="D388" s="8">
        <f>SUMPRODUCT(N(Tabela3[PAPEL]=Tabela2[[#This Row],[Ativo]]),Tabela3[Total Ações])</f>
        <v>5028029710</v>
      </c>
      <c r="E388" s="66">
        <f>(Tabela2[[#This Row],[Lucro Líquido]])/Tabela2[[#This Row],[Total Ações]]</f>
        <v>2.14786681892538</v>
      </c>
      <c r="F388" s="66">
        <v>1</v>
      </c>
      <c r="G388" s="46">
        <f>IF(AND(Tabela2[[#This Row],[Dividendo / Ação]]&gt;0,Tabela2[[#This Row],[Lucro por ação]]&gt;0),Tabela2[[#This Row],[Dividendo / Ação]]/Tabela2[[#This Row],[Lucro por ação]],"")</f>
        <v>0.46557821518017567</v>
      </c>
      <c r="H388" s="6">
        <f>MAX(Tabela2[[#This Row],[Cotação 1]],Tabela2[[#This Row],[Cotação 2]])</f>
        <v>31.64</v>
      </c>
      <c r="I388" s="19">
        <f>IF(Tabela2[[#This Row],[Dividendo / Ação]]&gt;0,Tabela2[[#This Row],[Dividendo / Ação]]/Tabela2[[#This Row],[Cotação]],"")</f>
        <v>3.1605562579013903E-2</v>
      </c>
      <c r="J388" s="61">
        <f>SUMPRODUCT(N(Tabela1[Código]=Tabela2[[#This Row],[Ativo]]),Tabela1[Fechamento])</f>
        <v>31.64</v>
      </c>
      <c r="K388" s="61">
        <f>SUMPRODUCT(N(Tabela17[Código]=Tabela2[[#This Row],[Ativo]]),Tabela17[Fechamento])</f>
        <v>0</v>
      </c>
    </row>
    <row r="389" spans="1:13">
      <c r="A389" s="14" t="s">
        <v>85</v>
      </c>
      <c r="B389" s="4">
        <v>2011</v>
      </c>
      <c r="C389" s="5">
        <v>11890195760.129999</v>
      </c>
      <c r="D389" s="8">
        <f>SUMPRODUCT(N(Tabela3[PAPEL]=Tabela2[[#This Row],[Ativo]]),Tabela3[Total Ações])</f>
        <v>5028029710</v>
      </c>
      <c r="E389" s="66">
        <f>(Tabela2[[#This Row],[Lucro Líquido]])/Tabela2[[#This Row],[Total Ações]]</f>
        <v>2.364782319500256</v>
      </c>
      <c r="F389" s="66">
        <v>0.97270000000000001</v>
      </c>
      <c r="G389" s="46">
        <f>IF(AND(Tabela2[[#This Row],[Dividendo / Ação]]&gt;0,Tabela2[[#This Row],[Lucro por ação]]&gt;0),Tabela2[[#This Row],[Dividendo / Ação]]/Tabela2[[#This Row],[Lucro por ação]],"")</f>
        <v>0.41132750020118491</v>
      </c>
      <c r="H389" s="6">
        <f>MAX(Tabela2[[#This Row],[Cotação 1]],Tabela2[[#This Row],[Cotação 2]])</f>
        <v>31.64</v>
      </c>
      <c r="I389" s="19">
        <f>IF(Tabela2[[#This Row],[Dividendo / Ação]]&gt;0,Tabela2[[#This Row],[Dividendo / Ação]]/Tabela2[[#This Row],[Cotação]],"")</f>
        <v>3.0742730720606827E-2</v>
      </c>
      <c r="J389" s="61">
        <f>SUMPRODUCT(N(Tabela1[Código]=Tabela2[[#This Row],[Ativo]]),Tabela1[Fechamento])</f>
        <v>31.64</v>
      </c>
      <c r="K389" s="61">
        <f>SUMPRODUCT(N(Tabela17[Código]=Tabela2[[#This Row],[Ativo]]),Tabela17[Fechamento])</f>
        <v>0</v>
      </c>
    </row>
    <row r="390" spans="1:13">
      <c r="A390" s="14" t="s">
        <v>85</v>
      </c>
      <c r="B390" s="4">
        <v>2010</v>
      </c>
      <c r="C390" s="5">
        <v>10272015528.35</v>
      </c>
      <c r="D390" s="8">
        <f>SUMPRODUCT(N(Tabela3[PAPEL]=Tabela2[[#This Row],[Ativo]]),Tabela3[Total Ações])</f>
        <v>5028029710</v>
      </c>
      <c r="E390" s="66">
        <f>(Tabela2[[#This Row],[Lucro Líquido]])/Tabela2[[#This Row],[Total Ações]]</f>
        <v>2.0429504439722175</v>
      </c>
      <c r="F390" s="66">
        <v>0.86070000000000002</v>
      </c>
      <c r="G390" s="46">
        <f>IF(AND(Tabela2[[#This Row],[Dividendo / Ação]]&gt;0,Tabela2[[#This Row],[Lucro por ação]]&gt;0),Tabela2[[#This Row],[Dividendo / Ação]]/Tabela2[[#This Row],[Lucro por ação]],"")</f>
        <v>0.42130243664966005</v>
      </c>
      <c r="H390" s="6">
        <f>MAX(Tabela2[[#This Row],[Cotação 1]],Tabela2[[#This Row],[Cotação 2]])</f>
        <v>31.64</v>
      </c>
      <c r="I390" s="19">
        <f>IF(Tabela2[[#This Row],[Dividendo / Ação]]&gt;0,Tabela2[[#This Row],[Dividendo / Ação]]/Tabela2[[#This Row],[Cotação]],"")</f>
        <v>2.720290771175727E-2</v>
      </c>
      <c r="J390" s="61">
        <f>SUMPRODUCT(N(Tabela1[Código]=Tabela2[[#This Row],[Ativo]]),Tabela1[Fechamento])</f>
        <v>31.64</v>
      </c>
      <c r="K390" s="61">
        <f>SUMPRODUCT(N(Tabela17[Código]=Tabela2[[#This Row],[Ativo]]),Tabela17[Fechamento])</f>
        <v>0</v>
      </c>
    </row>
    <row r="391" spans="1:13">
      <c r="A391" s="3" t="s">
        <v>344</v>
      </c>
      <c r="B391" s="3">
        <v>2012</v>
      </c>
      <c r="C391" s="5">
        <v>718939800.83000004</v>
      </c>
      <c r="D391" s="62">
        <f>SUMPRODUCT(N(Tabela3[PAPEL]=Tabela2[[#This Row],[Ativo]]),Tabela3[Total Ações])</f>
        <v>2943644008</v>
      </c>
      <c r="E391" s="65">
        <f>(Tabela2[[#This Row],[Lucro Líquido]])/Tabela2[[#This Row],[Total Ações]]</f>
        <v>0.244234628533927</v>
      </c>
      <c r="F391" s="65">
        <v>5.8005724000000002E-2</v>
      </c>
      <c r="G391" s="22">
        <f>IF(AND(Tabela2[[#This Row],[Dividendo / Ação]]&gt;0,Tabela2[[#This Row],[Lucro por ação]]&gt;0),Tabela2[[#This Row],[Dividendo / Ação]]/Tabela2[[#This Row],[Lucro por ação]],"")</f>
        <v>0.23749999886663223</v>
      </c>
      <c r="H391" s="51">
        <f>MAX(Tabela2[[#This Row],[Cotação 1]],Tabela2[[#This Row],[Cotação 2]])</f>
        <v>8.39</v>
      </c>
      <c r="I391" s="18">
        <f>IF(Tabela2[[#This Row],[Dividendo / Ação]]&gt;0,Tabela2[[#This Row],[Dividendo / Ação]]/Tabela2[[#This Row],[Cotação]],"")</f>
        <v>6.9136738974970198E-3</v>
      </c>
      <c r="J391" s="7">
        <f>SUMPRODUCT(N(Tabela1[Código]=Tabela2[[#This Row],[Ativo]]),Tabela1[Fechamento])</f>
        <v>0</v>
      </c>
      <c r="K391" s="7">
        <f>SUMPRODUCT(N(Tabela17[Código]=Tabela2[[#This Row],[Ativo]]),Tabela17[Fechamento])</f>
        <v>8.39</v>
      </c>
    </row>
    <row r="392" spans="1:13">
      <c r="A392" s="3" t="s">
        <v>344</v>
      </c>
      <c r="B392" s="3">
        <v>2011</v>
      </c>
      <c r="C392" s="5">
        <v>-75180667.959999993</v>
      </c>
      <c r="D392" s="62">
        <f>SUMPRODUCT(N(Tabela3[PAPEL]=Tabela2[[#This Row],[Ativo]]),Tabela3[Total Ações])</f>
        <v>2943644008</v>
      </c>
      <c r="E392" s="65">
        <f>(Tabela2[[#This Row],[Lucro Líquido]])/Tabela2[[#This Row],[Total Ações]]</f>
        <v>-2.5539999998532428E-2</v>
      </c>
      <c r="F392" s="65">
        <v>0</v>
      </c>
      <c r="G392" s="22" t="str">
        <f>IF(AND(Tabela2[[#This Row],[Dividendo / Ação]]&gt;0,Tabela2[[#This Row],[Lucro por ação]]&gt;0),Tabela2[[#This Row],[Dividendo / Ação]]/Tabela2[[#This Row],[Lucro por ação]],"")</f>
        <v/>
      </c>
      <c r="H392" s="51">
        <f>MAX(Tabela2[[#This Row],[Cotação 1]],Tabela2[[#This Row],[Cotação 2]])</f>
        <v>8.39</v>
      </c>
      <c r="I392" s="18" t="str">
        <f>IF(Tabela2[[#This Row],[Dividendo / Ação]]&gt;0,Tabela2[[#This Row],[Dividendo / Ação]]/Tabela2[[#This Row],[Cotação]],"")</f>
        <v/>
      </c>
      <c r="J392" s="7">
        <f>SUMPRODUCT(N(Tabela1[Código]=Tabela2[[#This Row],[Ativo]]),Tabela1[Fechamento])</f>
        <v>0</v>
      </c>
      <c r="K392" s="7">
        <f>SUMPRODUCT(N(Tabela17[Código]=Tabela2[[#This Row],[Ativo]]),Tabela17[Fechamento])</f>
        <v>8.39</v>
      </c>
    </row>
    <row r="393" spans="1:13">
      <c r="A393" s="3" t="s">
        <v>344</v>
      </c>
      <c r="B393" s="3">
        <v>2010</v>
      </c>
      <c r="C393" s="5">
        <v>-357505564.80000001</v>
      </c>
      <c r="D393" s="62">
        <f>SUMPRODUCT(N(Tabela3[PAPEL]=Tabela2[[#This Row],[Ativo]]),Tabela3[Total Ações])</f>
        <v>2943644008</v>
      </c>
      <c r="E393" s="65">
        <f>(Tabela2[[#This Row],[Lucro Líquido]])/Tabela2[[#This Row],[Total Ações]]</f>
        <v>-0.12145000000964791</v>
      </c>
      <c r="F393" s="65">
        <v>0</v>
      </c>
      <c r="G393" s="22" t="str">
        <f>IF(AND(Tabela2[[#This Row],[Dividendo / Ação]]&gt;0,Tabela2[[#This Row],[Lucro por ação]]&gt;0),Tabela2[[#This Row],[Dividendo / Ação]]/Tabela2[[#This Row],[Lucro por ação]],"")</f>
        <v/>
      </c>
      <c r="H393" s="51">
        <f>MAX(Tabela2[[#This Row],[Cotação 1]],Tabela2[[#This Row],[Cotação 2]])</f>
        <v>8.39</v>
      </c>
      <c r="I393" s="18" t="str">
        <f>IF(Tabela2[[#This Row],[Dividendo / Ação]]&gt;0,Tabela2[[#This Row],[Dividendo / Ação]]/Tabela2[[#This Row],[Cotação]],"")</f>
        <v/>
      </c>
      <c r="J393" s="7">
        <f>SUMPRODUCT(N(Tabela1[Código]=Tabela2[[#This Row],[Ativo]]),Tabela1[Fechamento])</f>
        <v>0</v>
      </c>
      <c r="K393" s="7">
        <f>SUMPRODUCT(N(Tabela17[Código]=Tabela2[[#This Row],[Ativo]]),Tabela17[Fechamento])</f>
        <v>8.39</v>
      </c>
    </row>
    <row r="394" spans="1:13">
      <c r="A394" s="4" t="s">
        <v>211</v>
      </c>
      <c r="B394" s="4">
        <v>2012</v>
      </c>
      <c r="C394" s="6">
        <v>751965362.53999996</v>
      </c>
      <c r="D394" s="8">
        <f>SUMPRODUCT(N(Tabela3[PAPEL]=Tabela2[[#This Row],[Ativo]]),Tabela3[Total Ações])</f>
        <v>917683296</v>
      </c>
      <c r="E394" s="66">
        <f>(Tabela2[[#This Row],[Lucro Líquido]])/Tabela2[[#This Row],[Total Ações]]</f>
        <v>0.81941707538719322</v>
      </c>
      <c r="F394" s="66">
        <v>0.2064</v>
      </c>
      <c r="G394" s="46">
        <f>IF(AND(Tabela2[[#This Row],[Dividendo / Ação]]&gt;0,Tabela2[[#This Row],[Lucro por ação]]&gt;0),Tabela2[[#This Row],[Dividendo / Ação]]/Tabela2[[#This Row],[Lucro por ação]],"")</f>
        <v>0.25188637898773503</v>
      </c>
      <c r="H394" s="6">
        <f>MAX(Tabela2[[#This Row],[Cotação 1]],Tabela2[[#This Row],[Cotação 2]])</f>
        <v>11</v>
      </c>
      <c r="I394" s="19">
        <f>IF(Tabela2[[#This Row],[Dividendo / Ação]]&gt;0,Tabela2[[#This Row],[Dividendo / Ação]]/Tabela2[[#This Row],[Cotação]],"")</f>
        <v>1.8763636363636364E-2</v>
      </c>
      <c r="J394" s="61">
        <f>SUMPRODUCT(N(Tabela1[Código]=Tabela2[[#This Row],[Ativo]]),Tabela1[Fechamento])</f>
        <v>11</v>
      </c>
      <c r="K394" s="61">
        <f>SUMPRODUCT(N(Tabela17[Código]=Tabela2[[#This Row],[Ativo]]),Tabela17[Fechamento])</f>
        <v>0</v>
      </c>
    </row>
    <row r="395" spans="1:13">
      <c r="A395" s="4" t="s">
        <v>211</v>
      </c>
      <c r="B395" s="3">
        <v>2011</v>
      </c>
      <c r="C395" s="5">
        <v>182710744</v>
      </c>
      <c r="D395" s="62">
        <f>SUMPRODUCT(N(Tabela3[PAPEL]=Tabela2[[#This Row],[Ativo]]),Tabela3[Total Ações])</f>
        <v>917683296</v>
      </c>
      <c r="E395" s="65">
        <f>(Tabela2[[#This Row],[Lucro Líquido]])/Tabela2[[#This Row],[Total Ações]]</f>
        <v>0.19909999974544595</v>
      </c>
      <c r="F395" s="65">
        <v>0.1447</v>
      </c>
      <c r="G395" s="22">
        <f>IF(AND(Tabela2[[#This Row],[Dividendo / Ação]]&gt;0,Tabela2[[#This Row],[Lucro por ação]]&gt;0),Tabela2[[#This Row],[Dividendo / Ação]]/Tabela2[[#This Row],[Lucro por ação]],"")</f>
        <v>0.72677046803115197</v>
      </c>
      <c r="H395" s="5">
        <f>MAX(Tabela2[[#This Row],[Cotação 1]],Tabela2[[#This Row],[Cotação 2]])</f>
        <v>11</v>
      </c>
      <c r="I395" s="18">
        <f>IF(Tabela2[[#This Row],[Dividendo / Ação]]&gt;0,Tabela2[[#This Row],[Dividendo / Ação]]/Tabela2[[#This Row],[Cotação]],"")</f>
        <v>1.3154545454545453E-2</v>
      </c>
      <c r="J395" s="60">
        <f>SUMPRODUCT(N(Tabela1[Código]=Tabela2[[#This Row],[Ativo]]),Tabela1[Fechamento])</f>
        <v>11</v>
      </c>
      <c r="K395" s="60">
        <f>SUMPRODUCT(N(Tabela17[Código]=Tabela2[[#This Row],[Ativo]]),Tabela17[Fechamento])</f>
        <v>0</v>
      </c>
    </row>
    <row r="396" spans="1:13">
      <c r="A396" s="4" t="s">
        <v>211</v>
      </c>
      <c r="B396" s="3">
        <v>2010</v>
      </c>
      <c r="C396" s="5">
        <v>559786811</v>
      </c>
      <c r="D396" s="62">
        <f>SUMPRODUCT(N(Tabela3[PAPEL]=Tabela2[[#This Row],[Ativo]]),Tabela3[Total Ações])</f>
        <v>917683296</v>
      </c>
      <c r="E396" s="65">
        <f>(Tabela2[[#This Row],[Lucro Líquido]])/Tabela2[[#This Row],[Total Ações]]</f>
        <v>0.61000000047946823</v>
      </c>
      <c r="F396" s="65">
        <v>0.12509999999999999</v>
      </c>
      <c r="G396" s="22">
        <f>IF(AND(Tabela2[[#This Row],[Dividendo / Ação]]&gt;0,Tabela2[[#This Row],[Lucro por ação]]&gt;0),Tabela2[[#This Row],[Dividendo / Ação]]/Tabela2[[#This Row],[Lucro por ação]],"")</f>
        <v>0.20508196705191753</v>
      </c>
      <c r="H396" s="5">
        <f>MAX(Tabela2[[#This Row],[Cotação 1]],Tabela2[[#This Row],[Cotação 2]])</f>
        <v>11</v>
      </c>
      <c r="I396" s="18">
        <f>IF(Tabela2[[#This Row],[Dividendo / Ação]]&gt;0,Tabela2[[#This Row],[Dividendo / Ação]]/Tabela2[[#This Row],[Cotação]],"")</f>
        <v>1.1372727272727272E-2</v>
      </c>
      <c r="J396" s="60">
        <f>SUMPRODUCT(N(Tabela1[Código]=Tabela2[[#This Row],[Ativo]]),Tabela1[Fechamento])</f>
        <v>11</v>
      </c>
      <c r="K396" s="60">
        <f>SUMPRODUCT(N(Tabela17[Código]=Tabela2[[#This Row],[Ativo]]),Tabela17[Fechamento])</f>
        <v>0</v>
      </c>
      <c r="M396" s="67"/>
    </row>
    <row r="397" spans="1:13">
      <c r="A397" s="4" t="s">
        <v>55</v>
      </c>
      <c r="B397" s="4">
        <v>2012</v>
      </c>
      <c r="C397" s="6">
        <v>751965362.53999996</v>
      </c>
      <c r="D397" s="8">
        <f>SUMPRODUCT(N(Tabela3[PAPEL]=Tabela2[[#This Row],[Ativo]]),Tabela3[Total Ações])</f>
        <v>917683296</v>
      </c>
      <c r="E397" s="66">
        <f>(Tabela2[[#This Row],[Lucro Líquido]])/Tabela2[[#This Row],[Total Ações]]</f>
        <v>0.81941707538719322</v>
      </c>
      <c r="F397" s="66">
        <v>0.22700000000000001</v>
      </c>
      <c r="G397" s="46">
        <f>IF(AND(Tabela2[[#This Row],[Dividendo / Ação]]&gt;0,Tabela2[[#This Row],[Lucro por ação]]&gt;0),Tabela2[[#This Row],[Dividendo / Ação]]/Tabela2[[#This Row],[Lucro por ação]],"")</f>
        <v>0.27702620169678221</v>
      </c>
      <c r="H397" s="6">
        <f>MAX(Tabela2[[#This Row],[Cotação 1]],Tabela2[[#This Row],[Cotação 2]])</f>
        <v>11.93</v>
      </c>
      <c r="I397" s="19">
        <f>IF(Tabela2[[#This Row],[Dividendo / Ação]]&gt;0,Tabela2[[#This Row],[Dividendo / Ação]]/Tabela2[[#This Row],[Cotação]],"")</f>
        <v>1.9027661357921208E-2</v>
      </c>
      <c r="J397" s="61">
        <f>SUMPRODUCT(N(Tabela1[Código]=Tabela2[[#This Row],[Ativo]]),Tabela1[Fechamento])</f>
        <v>11.93</v>
      </c>
      <c r="K397" s="61">
        <f>SUMPRODUCT(N(Tabela17[Código]=Tabela2[[#This Row],[Ativo]]),Tabela17[Fechamento])</f>
        <v>0</v>
      </c>
    </row>
    <row r="398" spans="1:13">
      <c r="A398" s="4" t="s">
        <v>55</v>
      </c>
      <c r="B398" s="4">
        <v>2011</v>
      </c>
      <c r="C398" s="5">
        <v>182710744</v>
      </c>
      <c r="D398" s="8">
        <f>SUMPRODUCT(N(Tabela3[PAPEL]=Tabela2[[#This Row],[Ativo]]),Tabela3[Total Ações])</f>
        <v>917683296</v>
      </c>
      <c r="E398" s="66">
        <f>(Tabela2[[#This Row],[Lucro Líquido]])/Tabela2[[#This Row],[Total Ações]]</f>
        <v>0.19909999974544595</v>
      </c>
      <c r="F398" s="66">
        <v>0.15920000000000001</v>
      </c>
      <c r="G398" s="46">
        <f>IF(AND(Tabela2[[#This Row],[Dividendo / Ação]]&gt;0,Tabela2[[#This Row],[Lucro por ação]]&gt;0),Tabela2[[#This Row],[Dividendo / Ação]]/Tabela2[[#This Row],[Lucro por ação]],"")</f>
        <v>0.79959819288569045</v>
      </c>
      <c r="H398" s="6">
        <f>MAX(Tabela2[[#This Row],[Cotação 1]],Tabela2[[#This Row],[Cotação 2]])</f>
        <v>11.93</v>
      </c>
      <c r="I398" s="19">
        <f>IF(Tabela2[[#This Row],[Dividendo / Ação]]&gt;0,Tabela2[[#This Row],[Dividendo / Ação]]/Tabela2[[#This Row],[Cotação]],"")</f>
        <v>1.3344509639564125E-2</v>
      </c>
      <c r="J398" s="61">
        <f>SUMPRODUCT(N(Tabela1[Código]=Tabela2[[#This Row],[Ativo]]),Tabela1[Fechamento])</f>
        <v>11.93</v>
      </c>
      <c r="K398" s="61">
        <f>SUMPRODUCT(N(Tabela17[Código]=Tabela2[[#This Row],[Ativo]]),Tabela17[Fechamento])</f>
        <v>0</v>
      </c>
    </row>
    <row r="399" spans="1:13">
      <c r="A399" s="4" t="s">
        <v>55</v>
      </c>
      <c r="B399" s="4">
        <v>2010</v>
      </c>
      <c r="C399" s="5">
        <v>559786811</v>
      </c>
      <c r="D399" s="8">
        <f>SUMPRODUCT(N(Tabela3[PAPEL]=Tabela2[[#This Row],[Ativo]]),Tabela3[Total Ações])</f>
        <v>917683296</v>
      </c>
      <c r="E399" s="66">
        <f>(Tabela2[[#This Row],[Lucro Líquido]])/Tabela2[[#This Row],[Total Ações]]</f>
        <v>0.61000000047946823</v>
      </c>
      <c r="F399" s="66">
        <v>0.1376</v>
      </c>
      <c r="G399" s="46">
        <f>IF(AND(Tabela2[[#This Row],[Dividendo / Ação]]&gt;0,Tabela2[[#This Row],[Lucro por ação]]&gt;0),Tabela2[[#This Row],[Dividendo / Ação]]/Tabela2[[#This Row],[Lucro por ação]],"")</f>
        <v>0.22557377031449924</v>
      </c>
      <c r="H399" s="6">
        <f>MAX(Tabela2[[#This Row],[Cotação 1]],Tabela2[[#This Row],[Cotação 2]])</f>
        <v>11.93</v>
      </c>
      <c r="I399" s="19">
        <f>IF(Tabela2[[#This Row],[Dividendo / Ação]]&gt;0,Tabela2[[#This Row],[Dividendo / Ação]]/Tabela2[[#This Row],[Cotação]],"")</f>
        <v>1.1533948030176027E-2</v>
      </c>
      <c r="J399" s="61">
        <f>SUMPRODUCT(N(Tabela1[Código]=Tabela2[[#This Row],[Ativo]]),Tabela1[Fechamento])</f>
        <v>11.93</v>
      </c>
      <c r="K399" s="61">
        <f>SUMPRODUCT(N(Tabela17[Código]=Tabela2[[#This Row],[Ativo]]),Tabela17[Fechamento])</f>
        <v>0</v>
      </c>
    </row>
    <row r="400" spans="1:13">
      <c r="A400" s="3" t="s">
        <v>387</v>
      </c>
      <c r="B400" s="3">
        <v>2012</v>
      </c>
      <c r="C400" s="5">
        <v>3722000</v>
      </c>
      <c r="D400" s="67">
        <f>SUMPRODUCT(N(Tabela3[PAPEL]=Tabela2[[#This Row],[Ativo]]),Tabela3[Total Ações])</f>
        <v>65075322</v>
      </c>
      <c r="E400" s="65">
        <f>(Tabela2[[#This Row],[Lucro Líquido]])/Tabela2[[#This Row],[Total Ações]]</f>
        <v>5.7195260593562641E-2</v>
      </c>
      <c r="F400" s="88">
        <v>0.15492519799999999</v>
      </c>
      <c r="G400" s="18">
        <f>IF(AND(Tabela2[[#This Row],[Dividendo / Ação]]&gt;0,Tabela2[[#This Row],[Lucro por ação]]&gt;0),Tabela2[[#This Row],[Dividendo / Ação]]/Tabela2[[#This Row],[Lucro por ação]],"")</f>
        <v>2.7087069171853182</v>
      </c>
      <c r="H400" s="7">
        <f>MAX(Tabela2[[#This Row],[Cotação 1]],Tabela2[[#This Row],[Cotação 2]])</f>
        <v>6.71</v>
      </c>
      <c r="I400" s="22">
        <f>IF(Tabela2[[#This Row],[Dividendo / Ação]]&gt;0,Tabela2[[#This Row],[Dividendo / Ação]]/Tabela2[[#This Row],[Cotação]],"")</f>
        <v>2.3088703129657225E-2</v>
      </c>
      <c r="J400" s="7">
        <f>SUMPRODUCT(N(Tabela1[Código]=Tabela2[[#This Row],[Ativo]]),Tabela1[Fechamento])</f>
        <v>0</v>
      </c>
      <c r="K400" s="7">
        <f>SUMPRODUCT(N(Tabela17[Código]=Tabela2[[#This Row],[Ativo]]),Tabela17[Fechamento])</f>
        <v>6.71</v>
      </c>
    </row>
    <row r="401" spans="1:13">
      <c r="A401" s="3" t="s">
        <v>387</v>
      </c>
      <c r="B401" s="3">
        <v>2011</v>
      </c>
      <c r="C401" s="5">
        <v>22576000</v>
      </c>
      <c r="D401" s="67">
        <f>SUMPRODUCT(N(Tabela3[PAPEL]=Tabela2[[#This Row],[Ativo]]),Tabela3[Total Ações])</f>
        <v>65075322</v>
      </c>
      <c r="E401" s="65">
        <f>(Tabela2[[#This Row],[Lucro Líquido]])/Tabela2[[#This Row],[Total Ações]]</f>
        <v>0.34692106479319457</v>
      </c>
      <c r="F401" s="88">
        <v>0.22154209999999999</v>
      </c>
      <c r="G401" s="18">
        <f>IF(AND(Tabela2[[#This Row],[Dividendo / Ação]]&gt;0,Tabela2[[#This Row],[Lucro por ação]]&gt;0),Tabela2[[#This Row],[Dividendo / Ação]]/Tabela2[[#This Row],[Lucro por ação]],"")</f>
        <v>0.63859512287633768</v>
      </c>
      <c r="H401" s="7">
        <f>MAX(Tabela2[[#This Row],[Cotação 1]],Tabela2[[#This Row],[Cotação 2]])</f>
        <v>6.71</v>
      </c>
      <c r="I401" s="22">
        <f>IF(Tabela2[[#This Row],[Dividendo / Ação]]&gt;0,Tabela2[[#This Row],[Dividendo / Ação]]/Tabela2[[#This Row],[Cotação]],"")</f>
        <v>3.3016706408345753E-2</v>
      </c>
      <c r="J401" s="7">
        <f>SUMPRODUCT(N(Tabela1[Código]=Tabela2[[#This Row],[Ativo]]),Tabela1[Fechamento])</f>
        <v>0</v>
      </c>
      <c r="K401" s="7">
        <f>SUMPRODUCT(N(Tabela17[Código]=Tabela2[[#This Row],[Ativo]]),Tabela17[Fechamento])</f>
        <v>6.71</v>
      </c>
    </row>
    <row r="402" spans="1:13">
      <c r="A402" s="4" t="s">
        <v>56</v>
      </c>
      <c r="B402" s="4">
        <v>2012</v>
      </c>
      <c r="C402" s="6">
        <v>423923458.43000001</v>
      </c>
      <c r="D402" s="8">
        <f>SUMPRODUCT(N(Tabela3[PAPEL]=Tabela2[[#This Row],[Ativo]]),Tabela3[Total Ações])</f>
        <v>203934060</v>
      </c>
      <c r="E402" s="66">
        <f>(Tabela2[[#This Row],[Lucro Líquido]])/Tabela2[[#This Row],[Total Ações]]</f>
        <v>2.0787280870591212</v>
      </c>
      <c r="F402" s="66">
        <v>1.71</v>
      </c>
      <c r="G402" s="46">
        <f>IF(AND(Tabela2[[#This Row],[Dividendo / Ação]]&gt;0,Tabela2[[#This Row],[Lucro por ação]]&gt;0),Tabela2[[#This Row],[Dividendo / Ação]]/Tabela2[[#This Row],[Lucro por ação]],"")</f>
        <v>0.82261841298311467</v>
      </c>
      <c r="H402" s="6">
        <f>MAX(Tabela2[[#This Row],[Cotação 1]],Tabela2[[#This Row],[Cotação 2]])</f>
        <v>21.78</v>
      </c>
      <c r="I402" s="19">
        <f>IF(Tabela2[[#This Row],[Dividendo / Ação]]&gt;0,Tabela2[[#This Row],[Dividendo / Ação]]/Tabela2[[#This Row],[Cotação]],"")</f>
        <v>7.8512396694214864E-2</v>
      </c>
      <c r="J402" s="61">
        <f>SUMPRODUCT(N(Tabela1[Código]=Tabela2[[#This Row],[Ativo]]),Tabela1[Fechamento])</f>
        <v>21.78</v>
      </c>
      <c r="K402" s="61">
        <f>SUMPRODUCT(N(Tabela17[Código]=Tabela2[[#This Row],[Ativo]]),Tabela17[Fechamento])</f>
        <v>0</v>
      </c>
    </row>
    <row r="403" spans="1:13">
      <c r="A403" s="4" t="s">
        <v>56</v>
      </c>
      <c r="B403" s="4">
        <v>2011</v>
      </c>
      <c r="C403" s="6">
        <v>310647000</v>
      </c>
      <c r="D403" s="8">
        <f>SUMPRODUCT(N(Tabela3[PAPEL]=Tabela2[[#This Row],[Ativo]]),Tabela3[Total Ações])</f>
        <v>203934060</v>
      </c>
      <c r="E403" s="66">
        <f>(Tabela2[[#This Row],[Lucro Líquido]])/Tabela2[[#This Row],[Total Ações]]</f>
        <v>1.523271786968788</v>
      </c>
      <c r="F403" s="66">
        <v>1.45</v>
      </c>
      <c r="G403" s="46">
        <f>IF(AND(Tabela2[[#This Row],[Dividendo / Ação]]&gt;0,Tabela2[[#This Row],[Lucro por ação]]&gt;0),Tabela2[[#This Row],[Dividendo / Ação]]/Tabela2[[#This Row],[Lucro por ação]],"")</f>
        <v>0.95189841524302499</v>
      </c>
      <c r="H403" s="6">
        <f>MAX(Tabela2[[#This Row],[Cotação 1]],Tabela2[[#This Row],[Cotação 2]])</f>
        <v>21.78</v>
      </c>
      <c r="I403" s="19">
        <f>IF(Tabela2[[#This Row],[Dividendo / Ação]]&gt;0,Tabela2[[#This Row],[Dividendo / Ação]]/Tabela2[[#This Row],[Cotação]],"")</f>
        <v>6.6574839302112027E-2</v>
      </c>
      <c r="J403" s="61">
        <f>SUMPRODUCT(N(Tabela1[Código]=Tabela2[[#This Row],[Ativo]]),Tabela1[Fechamento])</f>
        <v>21.78</v>
      </c>
      <c r="K403" s="61">
        <f>SUMPRODUCT(N(Tabela17[Código]=Tabela2[[#This Row],[Ativo]]),Tabela17[Fechamento])</f>
        <v>0</v>
      </c>
    </row>
    <row r="404" spans="1:13">
      <c r="A404" s="4" t="s">
        <v>56</v>
      </c>
      <c r="B404" s="4">
        <v>2010</v>
      </c>
      <c r="C404" s="6">
        <v>575150000</v>
      </c>
      <c r="D404" s="8">
        <f>SUMPRODUCT(N(Tabela3[PAPEL]=Tabela2[[#This Row],[Ativo]]),Tabela3[Total Ações])</f>
        <v>203934060</v>
      </c>
      <c r="E404" s="66">
        <f>(Tabela2[[#This Row],[Lucro Líquido]])/Tabela2[[#This Row],[Total Ações]]</f>
        <v>2.8202743573094167</v>
      </c>
      <c r="F404" s="66">
        <v>1.72</v>
      </c>
      <c r="G404" s="46">
        <f>IF(AND(Tabela2[[#This Row],[Dividendo / Ação]]&gt;0,Tabela2[[#This Row],[Lucro por ação]]&gt;0),Tabela2[[#This Row],[Dividendo / Ação]]/Tabela2[[#This Row],[Lucro por ação]],"")</f>
        <v>0.6098697438928975</v>
      </c>
      <c r="H404" s="6">
        <f>MAX(Tabela2[[#This Row],[Cotação 1]],Tabela2[[#This Row],[Cotação 2]])</f>
        <v>21.78</v>
      </c>
      <c r="I404" s="19">
        <f>IF(Tabela2[[#This Row],[Dividendo / Ação]]&gt;0,Tabela2[[#This Row],[Dividendo / Ação]]/Tabela2[[#This Row],[Cotação]],"")</f>
        <v>7.897153351698806E-2</v>
      </c>
      <c r="J404" s="61">
        <f>SUMPRODUCT(N(Tabela1[Código]=Tabela2[[#This Row],[Ativo]]),Tabela1[Fechamento])</f>
        <v>21.78</v>
      </c>
      <c r="K404" s="61">
        <f>SUMPRODUCT(N(Tabela17[Código]=Tabela2[[#This Row],[Ativo]]),Tabela17[Fechamento])</f>
        <v>0</v>
      </c>
    </row>
    <row r="405" spans="1:13">
      <c r="A405" s="4" t="s">
        <v>185</v>
      </c>
      <c r="B405" s="4">
        <v>2012</v>
      </c>
      <c r="C405" s="6">
        <v>13335000</v>
      </c>
      <c r="D405" s="8">
        <f>SUMPRODUCT(N(Tabela3[PAPEL]=Tabela2[[#This Row],[Ativo]]),Tabela3[Total Ações])</f>
        <v>11764889</v>
      </c>
      <c r="E405" s="66">
        <f>(Tabela2[[#This Row],[Lucro Líquido]])/Tabela2[[#This Row],[Total Ações]]</f>
        <v>1.1334573577362268</v>
      </c>
      <c r="F405" s="66">
        <v>0.27145999999999998</v>
      </c>
      <c r="G405" s="46">
        <f>IF(AND(Tabela2[[#This Row],[Dividendo / Ação]]&gt;0,Tabela2[[#This Row],[Lucro por ação]]&gt;0),Tabela2[[#This Row],[Dividendo / Ação]]/Tabela2[[#This Row],[Lucro por ação]],"")</f>
        <v>0.23949732043044619</v>
      </c>
      <c r="H405" s="6">
        <f>MAX(Tabela2[[#This Row],[Cotação 1]],Tabela2[[#This Row],[Cotação 2]])</f>
        <v>49.6</v>
      </c>
      <c r="I405" s="19">
        <f>IF(Tabela2[[#This Row],[Dividendo / Ação]]&gt;0,Tabela2[[#This Row],[Dividendo / Ação]]/Tabela2[[#This Row],[Cotação]],"")</f>
        <v>5.4729838709677413E-3</v>
      </c>
      <c r="J405" s="61">
        <f>SUMPRODUCT(N(Tabela1[Código]=Tabela2[[#This Row],[Ativo]]),Tabela1[Fechamento])</f>
        <v>49.6</v>
      </c>
      <c r="K405" s="61">
        <f>SUMPRODUCT(N(Tabela17[Código]=Tabela2[[#This Row],[Ativo]]),Tabela17[Fechamento])</f>
        <v>0</v>
      </c>
    </row>
    <row r="406" spans="1:13">
      <c r="A406" s="4" t="s">
        <v>185</v>
      </c>
      <c r="B406" s="4">
        <v>2011</v>
      </c>
      <c r="C406" s="6">
        <v>23655000</v>
      </c>
      <c r="D406" s="8">
        <f>SUMPRODUCT(N(Tabela3[PAPEL]=Tabela2[[#This Row],[Ativo]]),Tabela3[Total Ações])</f>
        <v>11764889</v>
      </c>
      <c r="E406" s="66">
        <f>(Tabela2[[#This Row],[Lucro Líquido]])/Tabela2[[#This Row],[Total Ações]]</f>
        <v>2.0106437043307421</v>
      </c>
      <c r="F406" s="66">
        <v>1.9100999999999999</v>
      </c>
      <c r="G406" s="46">
        <f>IF(AND(Tabela2[[#This Row],[Dividendo / Ação]]&gt;0,Tabela2[[#This Row],[Lucro por ação]]&gt;0),Tabela2[[#This Row],[Dividendo / Ação]]/Tabela2[[#This Row],[Lucro por ação]],"")</f>
        <v>0.94999427093214961</v>
      </c>
      <c r="H406" s="6">
        <f>MAX(Tabela2[[#This Row],[Cotação 1]],Tabela2[[#This Row],[Cotação 2]])</f>
        <v>49.6</v>
      </c>
      <c r="I406" s="19">
        <f>IF(Tabela2[[#This Row],[Dividendo / Ação]]&gt;0,Tabela2[[#This Row],[Dividendo / Ação]]/Tabela2[[#This Row],[Cotação]],"")</f>
        <v>3.8510080645161288E-2</v>
      </c>
      <c r="J406" s="61">
        <f>SUMPRODUCT(N(Tabela1[Código]=Tabela2[[#This Row],[Ativo]]),Tabela1[Fechamento])</f>
        <v>49.6</v>
      </c>
      <c r="K406" s="61">
        <f>SUMPRODUCT(N(Tabela17[Código]=Tabela2[[#This Row],[Ativo]]),Tabela17[Fechamento])</f>
        <v>0</v>
      </c>
    </row>
    <row r="407" spans="1:13">
      <c r="A407" s="4" t="s">
        <v>185</v>
      </c>
      <c r="B407" s="4">
        <v>2010</v>
      </c>
      <c r="C407" s="5">
        <v>23252000</v>
      </c>
      <c r="D407" s="62">
        <f>SUMPRODUCT(N(Tabela3[PAPEL]=Tabela2[[#This Row],[Ativo]]),Tabela3[Total Ações])</f>
        <v>11764889</v>
      </c>
      <c r="E407" s="65">
        <f>(Tabela2[[#This Row],[Lucro Líquido]])/Tabela2[[#This Row],[Total Ações]]</f>
        <v>1.9763892375015182</v>
      </c>
      <c r="F407" s="65">
        <v>0.92493999999999998</v>
      </c>
      <c r="G407" s="22">
        <f>IF(AND(Tabela2[[#This Row],[Dividendo / Ação]]&gt;0,Tabela2[[#This Row],[Lucro por ação]]&gt;0),Tabela2[[#This Row],[Dividendo / Ação]]/Tabela2[[#This Row],[Lucro por ação]],"")</f>
        <v>0.46799485771804578</v>
      </c>
      <c r="H407" s="5">
        <f>MAX(Tabela2[[#This Row],[Cotação 1]],Tabela2[[#This Row],[Cotação 2]])</f>
        <v>49.6</v>
      </c>
      <c r="I407" s="18">
        <f>IF(Tabela2[[#This Row],[Dividendo / Ação]]&gt;0,Tabela2[[#This Row],[Dividendo / Ação]]/Tabela2[[#This Row],[Cotação]],"")</f>
        <v>1.8647983870967742E-2</v>
      </c>
      <c r="J407" s="60">
        <f>SUMPRODUCT(N(Tabela1[Código]=Tabela2[[#This Row],[Ativo]]),Tabela1[Fechamento])</f>
        <v>49.6</v>
      </c>
      <c r="K407" s="60">
        <f>SUMPRODUCT(N(Tabela17[Código]=Tabela2[[#This Row],[Ativo]]),Tabela17[Fechamento])</f>
        <v>0</v>
      </c>
    </row>
    <row r="408" spans="1:13">
      <c r="A408" s="4" t="s">
        <v>185</v>
      </c>
      <c r="B408" s="4">
        <v>2009</v>
      </c>
      <c r="C408" s="5">
        <v>11051000</v>
      </c>
      <c r="D408" s="62">
        <f>SUMPRODUCT(N(Tabela3[PAPEL]=Tabela2[[#This Row],[Ativo]]),Tabela3[Total Ações])</f>
        <v>11764889</v>
      </c>
      <c r="E408" s="65">
        <f>(Tabela2[[#This Row],[Lucro Líquido]])/Tabela2[[#This Row],[Total Ações]]</f>
        <v>0.93932037947829339</v>
      </c>
      <c r="F408" s="65">
        <v>6.5060000000000007E-2</v>
      </c>
      <c r="G408" s="22">
        <f>IF(AND(Tabela2[[#This Row],[Dividendo / Ação]]&gt;0,Tabela2[[#This Row],[Lucro por ação]]&gt;0),Tabela2[[#This Row],[Dividendo / Ação]]/Tabela2[[#This Row],[Lucro por ação]],"")</f>
        <v>6.9262843031399887E-2</v>
      </c>
      <c r="H408" s="5">
        <f>MAX(Tabela2[[#This Row],[Cotação 1]],Tabela2[[#This Row],[Cotação 2]])</f>
        <v>49.6</v>
      </c>
      <c r="I408" s="18">
        <f>IF(Tabela2[[#This Row],[Dividendo / Ação]]&gt;0,Tabela2[[#This Row],[Dividendo / Ação]]/Tabela2[[#This Row],[Cotação]],"")</f>
        <v>1.3116935483870969E-3</v>
      </c>
      <c r="J408" s="60">
        <f>SUMPRODUCT(N(Tabela1[Código]=Tabela2[[#This Row],[Ativo]]),Tabela1[Fechamento])</f>
        <v>49.6</v>
      </c>
      <c r="K408" s="60">
        <f>SUMPRODUCT(N(Tabela17[Código]=Tabela2[[#This Row],[Ativo]]),Tabela17[Fechamento])</f>
        <v>0</v>
      </c>
    </row>
    <row r="409" spans="1:13">
      <c r="A409" s="4" t="s">
        <v>473</v>
      </c>
      <c r="B409" s="4">
        <v>2012</v>
      </c>
      <c r="C409" s="6">
        <v>70727730.280000001</v>
      </c>
      <c r="D409" s="91">
        <f>SUMPRODUCT(N(Tabela3[PAPEL]=Tabela2[[#This Row],[Ativo]]),Tabela3[Total Ações])</f>
        <v>290677834</v>
      </c>
      <c r="E409" s="66">
        <f>(Tabela2[[#This Row],[Lucro Líquido]])/Tabela2[[#This Row],[Total Ações]]</f>
        <v>0.24331999900618498</v>
      </c>
      <c r="F409" s="66">
        <v>5.7530390000000001E-2</v>
      </c>
      <c r="G409" s="45">
        <f>IF(AND(Tabela2[[#This Row],[Dividendo / Ação]]&gt;0,Tabela2[[#This Row],[Lucro por ação]]&gt;0),Tabela2[[#This Row],[Dividendo / Ação]]/Tabela2[[#This Row],[Lucro por ação]],"")</f>
        <v>0.23643921681315488</v>
      </c>
      <c r="H409" s="61">
        <f>MAX(Tabela2[[#This Row],[Cotação 1]],Tabela2[[#This Row],[Cotação 2]])</f>
        <v>5.85</v>
      </c>
      <c r="I409" s="46">
        <f>IF(Tabela2[[#This Row],[Dividendo / Ação]]&gt;0,Tabela2[[#This Row],[Dividendo / Ação]]/Tabela2[[#This Row],[Cotação]],"")</f>
        <v>9.8342547008547013E-3</v>
      </c>
      <c r="J409" s="17">
        <f>SUMPRODUCT(N(Tabela1[Código]=Tabela2[[#This Row],[Ativo]]),Tabela1[Fechamento])</f>
        <v>0</v>
      </c>
      <c r="K409" s="17">
        <f>SUMPRODUCT(N(Tabela17[Código]=Tabela2[[#This Row],[Ativo]]),Tabela17[Fechamento])</f>
        <v>5.85</v>
      </c>
    </row>
    <row r="410" spans="1:13">
      <c r="A410" s="4" t="s">
        <v>473</v>
      </c>
      <c r="B410" s="4">
        <v>2011</v>
      </c>
      <c r="C410" s="6">
        <v>97911000</v>
      </c>
      <c r="D410" s="91">
        <f>SUMPRODUCT(N(Tabela3[PAPEL]=Tabela2[[#This Row],[Ativo]]),Tabela3[Total Ações])</f>
        <v>290677834</v>
      </c>
      <c r="E410" s="66">
        <f>(Tabela2[[#This Row],[Lucro Líquido]])/Tabela2[[#This Row],[Total Ações]]</f>
        <v>0.33683682946392124</v>
      </c>
      <c r="F410" s="66">
        <v>0.03</v>
      </c>
      <c r="G410" s="45">
        <f>IF(AND(Tabela2[[#This Row],[Dividendo / Ação]]&gt;0,Tabela2[[#This Row],[Lucro por ação]]&gt;0),Tabela2[[#This Row],[Dividendo / Ação]]/Tabela2[[#This Row],[Lucro por ação]],"")</f>
        <v>8.9063894965836304E-2</v>
      </c>
      <c r="H410" s="61">
        <f>MAX(Tabela2[[#This Row],[Cotação 1]],Tabela2[[#This Row],[Cotação 2]])</f>
        <v>5.85</v>
      </c>
      <c r="I410" s="46">
        <f>IF(Tabela2[[#This Row],[Dividendo / Ação]]&gt;0,Tabela2[[#This Row],[Dividendo / Ação]]/Tabela2[[#This Row],[Cotação]],"")</f>
        <v>5.1282051282051282E-3</v>
      </c>
      <c r="J410" s="17">
        <f>SUMPRODUCT(N(Tabela1[Código]=Tabela2[[#This Row],[Ativo]]),Tabela1[Fechamento])</f>
        <v>0</v>
      </c>
      <c r="K410" s="17">
        <f>SUMPRODUCT(N(Tabela17[Código]=Tabela2[[#This Row],[Ativo]]),Tabela17[Fechamento])</f>
        <v>5.85</v>
      </c>
      <c r="M410" s="3">
        <f>0.2041*Tabela2[[#This Row],[Total Ações]]</f>
        <v>59327345.919399999</v>
      </c>
    </row>
    <row r="411" spans="1:13">
      <c r="A411" s="4" t="s">
        <v>473</v>
      </c>
      <c r="B411" s="4">
        <v>2010</v>
      </c>
      <c r="C411" s="6">
        <v>91765000</v>
      </c>
      <c r="D411" s="91">
        <f>SUMPRODUCT(N(Tabela3[PAPEL]=Tabela2[[#This Row],[Ativo]]),Tabela3[Total Ações])</f>
        <v>290677834</v>
      </c>
      <c r="E411" s="66">
        <f>(Tabela2[[#This Row],[Lucro Líquido]])/Tabela2[[#This Row],[Total Ações]]</f>
        <v>0.31569314638556167</v>
      </c>
      <c r="F411" s="66">
        <v>0</v>
      </c>
      <c r="G411" s="45" t="str">
        <f>IF(AND(Tabela2[[#This Row],[Dividendo / Ação]]&gt;0,Tabela2[[#This Row],[Lucro por ação]]&gt;0),Tabela2[[#This Row],[Dividendo / Ação]]/Tabela2[[#This Row],[Lucro por ação]],"")</f>
        <v/>
      </c>
      <c r="H411" s="61">
        <f>MAX(Tabela2[[#This Row],[Cotação 1]],Tabela2[[#This Row],[Cotação 2]])</f>
        <v>5.85</v>
      </c>
      <c r="I411" s="46" t="str">
        <f>IF(Tabela2[[#This Row],[Dividendo / Ação]]&gt;0,Tabela2[[#This Row],[Dividendo / Ação]]/Tabela2[[#This Row],[Cotação]],"")</f>
        <v/>
      </c>
      <c r="J411" s="17">
        <f>SUMPRODUCT(N(Tabela1[Código]=Tabela2[[#This Row],[Ativo]]),Tabela1[Fechamento])</f>
        <v>0</v>
      </c>
      <c r="K411" s="17">
        <f>SUMPRODUCT(N(Tabela17[Código]=Tabela2[[#This Row],[Ativo]]),Tabela17[Fechamento])</f>
        <v>5.85</v>
      </c>
    </row>
    <row r="412" spans="1:13">
      <c r="A412" s="4" t="s">
        <v>706</v>
      </c>
      <c r="B412" s="4">
        <v>2012</v>
      </c>
      <c r="C412" s="6">
        <v>16768000</v>
      </c>
      <c r="D412" s="91">
        <f>SUMPRODUCT(N(Tabela3[PAPEL]=Tabela2[[#This Row],[Ativo]]),Tabela3[Total Ações])</f>
        <v>11759999</v>
      </c>
      <c r="E412" s="66">
        <f>(Tabela2[[#This Row],[Lucro Líquido]])/Tabela2[[#This Row],[Total Ações]]</f>
        <v>1.4258504613818419</v>
      </c>
      <c r="F412" s="66">
        <v>0.42399999999999999</v>
      </c>
      <c r="G412" s="45">
        <f>IF(AND(Tabela2[[#This Row],[Dividendo / Ação]]&gt;0,Tabela2[[#This Row],[Lucro por ação]]&gt;0),Tabela2[[#This Row],[Dividendo / Ação]]/Tabela2[[#This Row],[Lucro por ação]],"")</f>
        <v>0.29736638692748091</v>
      </c>
      <c r="H412" s="61">
        <f>MAX(Tabela2[[#This Row],[Cotação 1]],Tabela2[[#This Row],[Cotação 2]])</f>
        <v>83.91</v>
      </c>
      <c r="I412" s="46">
        <f>IF(Tabela2[[#This Row],[Dividendo / Ação]]&gt;0,Tabela2[[#This Row],[Dividendo / Ação]]/Tabela2[[#This Row],[Cotação]],"")</f>
        <v>5.0530330115600049E-3</v>
      </c>
      <c r="J412" s="17">
        <f>SUMPRODUCT(N(Tabela1[Código]=Tabela2[[#This Row],[Ativo]]),Tabela1[Fechamento])</f>
        <v>0</v>
      </c>
      <c r="K412" s="17">
        <f>SUMPRODUCT(N(Tabela17[Código]=Tabela2[[#This Row],[Ativo]]),Tabela17[Fechamento])</f>
        <v>83.91</v>
      </c>
    </row>
    <row r="413" spans="1:13">
      <c r="A413" s="4" t="s">
        <v>706</v>
      </c>
      <c r="B413" s="3">
        <v>2011</v>
      </c>
      <c r="C413" s="5">
        <v>8649000</v>
      </c>
      <c r="D413" s="67">
        <f>SUMPRODUCT(N(Tabela3[PAPEL]=Tabela2[[#This Row],[Ativo]]),Tabela3[Total Ações])</f>
        <v>11759999</v>
      </c>
      <c r="E413" s="65">
        <f>(Tabela2[[#This Row],[Lucro Líquido]])/Tabela2[[#This Row],[Total Ações]]</f>
        <v>0.7354592462125209</v>
      </c>
      <c r="F413" s="65">
        <v>0.18870000000000001</v>
      </c>
      <c r="G413" s="77">
        <f>IF(AND(Tabela2[[#This Row],[Dividendo / Ação]]&gt;0,Tabela2[[#This Row],[Lucro por ação]]&gt;0),Tabela2[[#This Row],[Dividendo / Ação]]/Tabela2[[#This Row],[Lucro por ação]],"")</f>
        <v>0.25657437984738124</v>
      </c>
      <c r="H413" s="60">
        <f>MAX(Tabela2[[#This Row],[Cotação 1]],Tabela2[[#This Row],[Cotação 2]])</f>
        <v>83.91</v>
      </c>
      <c r="I413" s="22">
        <f>IF(Tabela2[[#This Row],[Dividendo / Ação]]&gt;0,Tabela2[[#This Row],[Dividendo / Ação]]/Tabela2[[#This Row],[Cotação]],"")</f>
        <v>2.2488380407579551E-3</v>
      </c>
      <c r="J413" s="7">
        <f>SUMPRODUCT(N(Tabela1[Código]=Tabela2[[#This Row],[Ativo]]),Tabela1[Fechamento])</f>
        <v>0</v>
      </c>
      <c r="K413" s="7">
        <f>SUMPRODUCT(N(Tabela17[Código]=Tabela2[[#This Row],[Ativo]]),Tabela17[Fechamento])</f>
        <v>83.91</v>
      </c>
    </row>
    <row r="414" spans="1:13">
      <c r="A414" s="4" t="s">
        <v>706</v>
      </c>
      <c r="B414" s="3">
        <v>2010</v>
      </c>
      <c r="C414" s="5">
        <v>24344000</v>
      </c>
      <c r="D414" s="67">
        <f>SUMPRODUCT(N(Tabela3[PAPEL]=Tabela2[[#This Row],[Ativo]]),Tabela3[Total Ações])</f>
        <v>11759999</v>
      </c>
      <c r="E414" s="65">
        <f>(Tabela2[[#This Row],[Lucro Líquido]])/Tabela2[[#This Row],[Total Ações]]</f>
        <v>2.0700682032370921</v>
      </c>
      <c r="F414" s="65">
        <v>0.54059999999999997</v>
      </c>
      <c r="G414" s="77">
        <f>IF(AND(Tabela2[[#This Row],[Dividendo / Ação]]&gt;0,Tabela2[[#This Row],[Lucro por ação]]&gt;0),Tabela2[[#This Row],[Dividendo / Ação]]/Tabela2[[#This Row],[Lucro por ação]],"")</f>
        <v>0.2611508157821229</v>
      </c>
      <c r="H414" s="60">
        <f>MAX(Tabela2[[#This Row],[Cotação 1]],Tabela2[[#This Row],[Cotação 2]])</f>
        <v>83.91</v>
      </c>
      <c r="I414" s="22">
        <f>IF(Tabela2[[#This Row],[Dividendo / Ação]]&gt;0,Tabela2[[#This Row],[Dividendo / Ação]]/Tabela2[[#This Row],[Cotação]],"")</f>
        <v>6.4426170897390056E-3</v>
      </c>
      <c r="J414" s="7">
        <f>SUMPRODUCT(N(Tabela1[Código]=Tabela2[[#This Row],[Ativo]]),Tabela1[Fechamento])</f>
        <v>0</v>
      </c>
      <c r="K414" s="7">
        <f>SUMPRODUCT(N(Tabela17[Código]=Tabela2[[#This Row],[Ativo]]),Tabela17[Fechamento])</f>
        <v>83.91</v>
      </c>
    </row>
    <row r="415" spans="1:13">
      <c r="A415" s="4" t="s">
        <v>707</v>
      </c>
      <c r="B415" s="4">
        <v>2012</v>
      </c>
      <c r="C415" s="6">
        <v>16768000</v>
      </c>
      <c r="D415" s="91">
        <f>SUMPRODUCT(N(Tabela3[PAPEL]=Tabela2[[#This Row],[Ativo]]),Tabela3[Total Ações])</f>
        <v>11759999</v>
      </c>
      <c r="E415" s="66">
        <f>(Tabela2[[#This Row],[Lucro Líquido]])/Tabela2[[#This Row],[Total Ações]]</f>
        <v>1.4258504613818419</v>
      </c>
      <c r="F415" s="66">
        <v>0.52300000000000002</v>
      </c>
      <c r="G415" s="45">
        <f>IF(AND(Tabela2[[#This Row],[Dividendo / Ação]]&gt;0,Tabela2[[#This Row],[Lucro por ação]]&gt;0),Tabela2[[#This Row],[Dividendo / Ação]]/Tabela2[[#This Row],[Lucro por ação]],"")</f>
        <v>0.36679863293177484</v>
      </c>
      <c r="H415" s="61">
        <f>MAX(Tabela2[[#This Row],[Cotação 1]],Tabela2[[#This Row],[Cotação 2]])</f>
        <v>8.5</v>
      </c>
      <c r="I415" s="46">
        <f>IF(Tabela2[[#This Row],[Dividendo / Ação]]&gt;0,Tabela2[[#This Row],[Dividendo / Ação]]/Tabela2[[#This Row],[Cotação]],"")</f>
        <v>6.1529411764705888E-2</v>
      </c>
      <c r="J415" s="17">
        <f>SUMPRODUCT(N(Tabela1[Código]=Tabela2[[#This Row],[Ativo]]),Tabela1[Fechamento])</f>
        <v>0</v>
      </c>
      <c r="K415" s="17">
        <f>SUMPRODUCT(N(Tabela17[Código]=Tabela2[[#This Row],[Ativo]]),Tabela17[Fechamento])</f>
        <v>8.5</v>
      </c>
    </row>
    <row r="416" spans="1:13">
      <c r="A416" s="4" t="s">
        <v>707</v>
      </c>
      <c r="B416" s="4">
        <v>2011</v>
      </c>
      <c r="C416" s="5">
        <v>8649000</v>
      </c>
      <c r="D416" s="91">
        <f>SUMPRODUCT(N(Tabela3[PAPEL]=Tabela2[[#This Row],[Ativo]]),Tabela3[Total Ações])</f>
        <v>11759999</v>
      </c>
      <c r="E416" s="66">
        <f>(Tabela2[[#This Row],[Lucro Líquido]])/Tabela2[[#This Row],[Total Ações]]</f>
        <v>0.7354592462125209</v>
      </c>
      <c r="F416" s="66">
        <v>0.38419999999999999</v>
      </c>
      <c r="G416" s="45">
        <f>IF(AND(Tabela2[[#This Row],[Dividendo / Ação]]&gt;0,Tabela2[[#This Row],[Lucro por ação]]&gt;0),Tabela2[[#This Row],[Dividendo / Ação]]/Tabela2[[#This Row],[Lucro por ação]],"")</f>
        <v>0.5223946832928662</v>
      </c>
      <c r="H416" s="61">
        <f>MAX(Tabela2[[#This Row],[Cotação 1]],Tabela2[[#This Row],[Cotação 2]])</f>
        <v>8.5</v>
      </c>
      <c r="I416" s="46">
        <f>IF(Tabela2[[#This Row],[Dividendo / Ação]]&gt;0,Tabela2[[#This Row],[Dividendo / Ação]]/Tabela2[[#This Row],[Cotação]],"")</f>
        <v>4.5199999999999997E-2</v>
      </c>
      <c r="J416" s="17">
        <f>SUMPRODUCT(N(Tabela1[Código]=Tabela2[[#This Row],[Ativo]]),Tabela1[Fechamento])</f>
        <v>0</v>
      </c>
      <c r="K416" s="17">
        <f>SUMPRODUCT(N(Tabela17[Código]=Tabela2[[#This Row],[Ativo]]),Tabela17[Fechamento])</f>
        <v>8.5</v>
      </c>
    </row>
    <row r="417" spans="1:11">
      <c r="A417" s="4" t="s">
        <v>707</v>
      </c>
      <c r="B417" s="4">
        <v>2010</v>
      </c>
      <c r="C417" s="5">
        <v>24344000</v>
      </c>
      <c r="D417" s="91">
        <f>SUMPRODUCT(N(Tabela3[PAPEL]=Tabela2[[#This Row],[Ativo]]),Tabela3[Total Ações])</f>
        <v>11759999</v>
      </c>
      <c r="E417" s="66">
        <f>(Tabela2[[#This Row],[Lucro Líquido]])/Tabela2[[#This Row],[Total Ações]]</f>
        <v>2.0700682032370921</v>
      </c>
      <c r="F417" s="66">
        <v>0.62594000000000005</v>
      </c>
      <c r="G417" s="45">
        <f>IF(AND(Tabela2[[#This Row],[Dividendo / Ação]]&gt;0,Tabela2[[#This Row],[Lucro por ação]]&gt;0),Tabela2[[#This Row],[Dividendo / Ação]]/Tabela2[[#This Row],[Lucro por ação]],"")</f>
        <v>0.3023765106005587</v>
      </c>
      <c r="H417" s="61">
        <f>MAX(Tabela2[[#This Row],[Cotação 1]],Tabela2[[#This Row],[Cotação 2]])</f>
        <v>8.5</v>
      </c>
      <c r="I417" s="46">
        <f>IF(Tabela2[[#This Row],[Dividendo / Ação]]&gt;0,Tabela2[[#This Row],[Dividendo / Ação]]/Tabela2[[#This Row],[Cotação]],"")</f>
        <v>7.3640000000000011E-2</v>
      </c>
      <c r="J417" s="17">
        <f>SUMPRODUCT(N(Tabela1[Código]=Tabela2[[#This Row],[Ativo]]),Tabela1[Fechamento])</f>
        <v>0</v>
      </c>
      <c r="K417" s="17">
        <f>SUMPRODUCT(N(Tabela17[Código]=Tabela2[[#This Row],[Ativo]]),Tabela17[Fechamento])</f>
        <v>8.5</v>
      </c>
    </row>
    <row r="418" spans="1:11">
      <c r="A418" s="3" t="s">
        <v>372</v>
      </c>
      <c r="B418" s="3">
        <v>2012</v>
      </c>
      <c r="C418" s="5">
        <v>172669675.86000001</v>
      </c>
      <c r="D418" s="67">
        <f>SUMPRODUCT(N(Tabela3[PAPEL]=Tabela2[[#This Row],[Ativo]]),Tabela3[Total Ações])</f>
        <v>12251221</v>
      </c>
      <c r="E418" s="65">
        <f>(Tabela2[[#This Row],[Lucro Líquido]])/Tabela2[[#This Row],[Total Ações]]</f>
        <v>14.094078937927902</v>
      </c>
      <c r="F418" s="65">
        <v>3.8149609419999999</v>
      </c>
      <c r="G418" s="77">
        <f>IF(AND(Tabela2[[#This Row],[Dividendo / Ação]]&gt;0,Tabela2[[#This Row],[Lucro por ação]]&gt;0),Tabela2[[#This Row],[Dividendo / Ação]]/Tabela2[[#This Row],[Lucro por ação]],"")</f>
        <v>0.27067827268469036</v>
      </c>
      <c r="H418" s="60">
        <f>MAX(Tabela2[[#This Row],[Cotação 1]],Tabela2[[#This Row],[Cotação 2]])</f>
        <v>158.99</v>
      </c>
      <c r="I418" s="22">
        <f>IF(Tabela2[[#This Row],[Dividendo / Ação]]&gt;0,Tabela2[[#This Row],[Dividendo / Ação]]/Tabela2[[#This Row],[Cotação]],"")</f>
        <v>2.3994974161896974E-2</v>
      </c>
      <c r="J418" s="7">
        <f>SUMPRODUCT(N(Tabela1[Código]=Tabela2[[#This Row],[Ativo]]),Tabela1[Fechamento])</f>
        <v>0</v>
      </c>
      <c r="K418" s="7">
        <f>SUMPRODUCT(N(Tabela17[Código]=Tabela2[[#This Row],[Ativo]]),Tabela17[Fechamento])</f>
        <v>158.99</v>
      </c>
    </row>
    <row r="419" spans="1:11">
      <c r="A419" s="3" t="s">
        <v>372</v>
      </c>
      <c r="B419" s="3">
        <v>2011</v>
      </c>
      <c r="C419" s="5">
        <v>181046595.15000001</v>
      </c>
      <c r="D419" s="67">
        <f>SUMPRODUCT(N(Tabela3[PAPEL]=Tabela2[[#This Row],[Ativo]]),Tabela3[Total Ações])</f>
        <v>12251221</v>
      </c>
      <c r="E419" s="65">
        <f>(Tabela2[[#This Row],[Lucro Líquido]])/Tabela2[[#This Row],[Total Ações]]</f>
        <v>14.777840931120254</v>
      </c>
      <c r="F419" s="65">
        <v>5.4828608059999997</v>
      </c>
      <c r="G419" s="77">
        <f>IF(AND(Tabela2[[#This Row],[Dividendo / Ação]]&gt;0,Tabela2[[#This Row],[Lucro por ação]]&gt;0),Tabela2[[#This Row],[Dividendo / Ação]]/Tabela2[[#This Row],[Lucro por ação]],"")</f>
        <v>0.37101907048233224</v>
      </c>
      <c r="H419" s="60">
        <f>MAX(Tabela2[[#This Row],[Cotação 1]],Tabela2[[#This Row],[Cotação 2]])</f>
        <v>158.99</v>
      </c>
      <c r="I419" s="22">
        <f>IF(Tabela2[[#This Row],[Dividendo / Ação]]&gt;0,Tabela2[[#This Row],[Dividendo / Ação]]/Tabela2[[#This Row],[Cotação]],"")</f>
        <v>3.4485570199383607E-2</v>
      </c>
      <c r="J419" s="7">
        <f>SUMPRODUCT(N(Tabela1[Código]=Tabela2[[#This Row],[Ativo]]),Tabela1[Fechamento])</f>
        <v>0</v>
      </c>
      <c r="K419" s="7">
        <f>SUMPRODUCT(N(Tabela17[Código]=Tabela2[[#This Row],[Ativo]]),Tabela17[Fechamento])</f>
        <v>158.99</v>
      </c>
    </row>
    <row r="420" spans="1:11">
      <c r="A420" s="3" t="s">
        <v>372</v>
      </c>
      <c r="B420" s="3">
        <v>2010</v>
      </c>
      <c r="C420" s="5">
        <v>111311611.06999999</v>
      </c>
      <c r="D420" s="67">
        <f>SUMPRODUCT(N(Tabela3[PAPEL]=Tabela2[[#This Row],[Ativo]]),Tabela3[Total Ações])</f>
        <v>12251221</v>
      </c>
      <c r="E420" s="65">
        <f>(Tabela2[[#This Row],[Lucro Líquido]])/Tabela2[[#This Row],[Total Ações]]</f>
        <v>9.0857565192889744</v>
      </c>
      <c r="F420" s="65">
        <v>3.6731054410000001</v>
      </c>
      <c r="G420" s="77">
        <f>IF(AND(Tabela2[[#This Row],[Dividendo / Ação]]&gt;0,Tabela2[[#This Row],[Lucro por ação]]&gt;0),Tabela2[[#This Row],[Dividendo / Ação]]/Tabela2[[#This Row],[Lucro por ação]],"")</f>
        <v>0.40427073223919574</v>
      </c>
      <c r="H420" s="60">
        <f>MAX(Tabela2[[#This Row],[Cotação 1]],Tabela2[[#This Row],[Cotação 2]])</f>
        <v>158.99</v>
      </c>
      <c r="I420" s="22">
        <f>IF(Tabela2[[#This Row],[Dividendo / Ação]]&gt;0,Tabela2[[#This Row],[Dividendo / Ação]]/Tabela2[[#This Row],[Cotação]],"")</f>
        <v>2.3102745084596515E-2</v>
      </c>
      <c r="J420" s="7">
        <f>SUMPRODUCT(N(Tabela1[Código]=Tabela2[[#This Row],[Ativo]]),Tabela1[Fechamento])</f>
        <v>0</v>
      </c>
      <c r="K420" s="7">
        <f>SUMPRODUCT(N(Tabela17[Código]=Tabela2[[#This Row],[Ativo]]),Tabela17[Fechamento])</f>
        <v>158.99</v>
      </c>
    </row>
    <row r="421" spans="1:11">
      <c r="A421" s="3" t="s">
        <v>372</v>
      </c>
      <c r="B421" s="3">
        <v>2009</v>
      </c>
      <c r="C421" s="5">
        <v>74101153.209999993</v>
      </c>
      <c r="D421" s="67">
        <f>SUMPRODUCT(N(Tabela3[PAPEL]=Tabela2[[#This Row],[Ativo]]),Tabela3[Total Ações])</f>
        <v>12251221</v>
      </c>
      <c r="E421" s="65">
        <f>(Tabela2[[#This Row],[Lucro Líquido]])/Tabela2[[#This Row],[Total Ações]]</f>
        <v>6.0484708593535288</v>
      </c>
      <c r="F421" s="65">
        <v>3.9996022359999999</v>
      </c>
      <c r="G421" s="77">
        <f>IF(AND(Tabela2[[#This Row],[Dividendo / Ação]]&gt;0,Tabela2[[#This Row],[Lucro por ação]]&gt;0),Tabela2[[#This Row],[Dividendo / Ação]]/Tabela2[[#This Row],[Lucro por ação]],"")</f>
        <v>0.66125841208524638</v>
      </c>
      <c r="H421" s="60">
        <f>MAX(Tabela2[[#This Row],[Cotação 1]],Tabela2[[#This Row],[Cotação 2]])</f>
        <v>158.99</v>
      </c>
      <c r="I421" s="22">
        <f>IF(Tabela2[[#This Row],[Dividendo / Ação]]&gt;0,Tabela2[[#This Row],[Dividendo / Ação]]/Tabela2[[#This Row],[Cotação]],"")</f>
        <v>2.5156313202088179E-2</v>
      </c>
      <c r="J421" s="7">
        <f>SUMPRODUCT(N(Tabela1[Código]=Tabela2[[#This Row],[Ativo]]),Tabela1[Fechamento])</f>
        <v>0</v>
      </c>
      <c r="K421" s="7">
        <f>SUMPRODUCT(N(Tabela17[Código]=Tabela2[[#This Row],[Ativo]]),Tabela17[Fechamento])</f>
        <v>158.99</v>
      </c>
    </row>
    <row r="422" spans="1:11">
      <c r="A422" s="4" t="s">
        <v>689</v>
      </c>
      <c r="B422" s="4">
        <v>2012</v>
      </c>
      <c r="C422" s="6">
        <v>386792226.60000002</v>
      </c>
      <c r="D422" s="91">
        <f>SUMPRODUCT(N(Tabela3[PAPEL]=Tabela2[[#This Row],[Ativo]]),Tabela3[Total Ações])</f>
        <v>189997214</v>
      </c>
      <c r="E422" s="66">
        <f>(Tabela2[[#This Row],[Lucro Líquido]])/Tabela2[[#This Row],[Total Ações]]</f>
        <v>2.0357784119929256</v>
      </c>
      <c r="F422" s="66">
        <v>1.0304815780000001</v>
      </c>
      <c r="G422" s="45">
        <f>IF(AND(Tabela2[[#This Row],[Dividendo / Ação]]&gt;0,Tabela2[[#This Row],[Lucro por ação]]&gt;0),Tabela2[[#This Row],[Dividendo / Ação]]/Tabela2[[#This Row],[Lucro por ação]],"")</f>
        <v>0.50618553175009351</v>
      </c>
      <c r="H422" s="61">
        <f>MAX(Tabela2[[#This Row],[Cotação 1]],Tabela2[[#This Row],[Cotação 2]])</f>
        <v>48.12</v>
      </c>
      <c r="I422" s="46">
        <f>IF(Tabela2[[#This Row],[Dividendo / Ação]]&gt;0,Tabela2[[#This Row],[Dividendo / Ação]]/Tabela2[[#This Row],[Cotação]],"")</f>
        <v>2.1414829135494598E-2</v>
      </c>
      <c r="J422" s="17">
        <f>SUMPRODUCT(N(Tabela1[Código]=Tabela2[[#This Row],[Ativo]]),Tabela1[Fechamento])</f>
        <v>0</v>
      </c>
      <c r="K422" s="17">
        <f>SUMPRODUCT(N(Tabela17[Código]=Tabela2[[#This Row],[Ativo]]),Tabela17[Fechamento])</f>
        <v>48.12</v>
      </c>
    </row>
    <row r="423" spans="1:11">
      <c r="A423" s="4" t="s">
        <v>689</v>
      </c>
      <c r="B423" s="4">
        <v>2011</v>
      </c>
      <c r="C423" s="6">
        <v>296889622.02999997</v>
      </c>
      <c r="D423" s="91">
        <f>SUMPRODUCT(N(Tabela3[PAPEL]=Tabela2[[#This Row],[Ativo]]),Tabela3[Total Ações])</f>
        <v>189997214</v>
      </c>
      <c r="E423" s="66">
        <f>(Tabela2[[#This Row],[Lucro Líquido]])/Tabela2[[#This Row],[Total Ações]]</f>
        <v>1.5625998707012618</v>
      </c>
      <c r="F423" s="66">
        <v>0.784386535</v>
      </c>
      <c r="G423" s="45">
        <f>IF(AND(Tabela2[[#This Row],[Dividendo / Ação]]&gt;0,Tabela2[[#This Row],[Lucro por ação]]&gt;0),Tabela2[[#This Row],[Dividendo / Ação]]/Tabela2[[#This Row],[Lucro por ação]],"")</f>
        <v>0.50197529752001313</v>
      </c>
      <c r="H423" s="61">
        <f>MAX(Tabela2[[#This Row],[Cotação 1]],Tabela2[[#This Row],[Cotação 2]])</f>
        <v>48.12</v>
      </c>
      <c r="I423" s="46">
        <f>IF(Tabela2[[#This Row],[Dividendo / Ação]]&gt;0,Tabela2[[#This Row],[Dividendo / Ação]]/Tabela2[[#This Row],[Cotação]],"")</f>
        <v>1.6300634559434746E-2</v>
      </c>
      <c r="J423" s="17">
        <f>SUMPRODUCT(N(Tabela1[Código]=Tabela2[[#This Row],[Ativo]]),Tabela1[Fechamento])</f>
        <v>0</v>
      </c>
      <c r="K423" s="17">
        <f>SUMPRODUCT(N(Tabela17[Código]=Tabela2[[#This Row],[Ativo]]),Tabela17[Fechamento])</f>
        <v>48.12</v>
      </c>
    </row>
    <row r="424" spans="1:11">
      <c r="A424" s="4" t="s">
        <v>689</v>
      </c>
      <c r="B424" s="4">
        <v>2010</v>
      </c>
      <c r="C424" s="6">
        <v>216710069.06</v>
      </c>
      <c r="D424" s="91">
        <f>SUMPRODUCT(N(Tabela3[PAPEL]=Tabela2[[#This Row],[Ativo]]),Tabela3[Total Ações])</f>
        <v>189997214</v>
      </c>
      <c r="E424" s="66">
        <f>(Tabela2[[#This Row],[Lucro Líquido]])/Tabela2[[#This Row],[Total Ações]]</f>
        <v>1.1405960355818692</v>
      </c>
      <c r="F424" s="66">
        <v>0.54198311700000001</v>
      </c>
      <c r="G424" s="45">
        <f>IF(AND(Tabela2[[#This Row],[Dividendo / Ação]]&gt;0,Tabela2[[#This Row],[Lucro por ação]]&gt;0),Tabela2[[#This Row],[Dividendo / Ação]]/Tabela2[[#This Row],[Lucro por ação]],"")</f>
        <v>0.47517534700487551</v>
      </c>
      <c r="H424" s="61">
        <f>MAX(Tabela2[[#This Row],[Cotação 1]],Tabela2[[#This Row],[Cotação 2]])</f>
        <v>48.12</v>
      </c>
      <c r="I424" s="46">
        <f>IF(Tabela2[[#This Row],[Dividendo / Ação]]&gt;0,Tabela2[[#This Row],[Dividendo / Ação]]/Tabela2[[#This Row],[Cotação]],"")</f>
        <v>1.1263157044887782E-2</v>
      </c>
      <c r="J424" s="17">
        <f>SUMPRODUCT(N(Tabela1[Código]=Tabela2[[#This Row],[Ativo]]),Tabela1[Fechamento])</f>
        <v>0</v>
      </c>
      <c r="K424" s="17">
        <f>SUMPRODUCT(N(Tabela17[Código]=Tabela2[[#This Row],[Ativo]]),Tabela17[Fechamento])</f>
        <v>48.12</v>
      </c>
    </row>
    <row r="425" spans="1:11">
      <c r="A425" s="4" t="s">
        <v>689</v>
      </c>
      <c r="B425" s="4">
        <v>2009</v>
      </c>
      <c r="C425" s="6">
        <v>170612814.30000001</v>
      </c>
      <c r="D425" s="91">
        <f>SUMPRODUCT(N(Tabela3[PAPEL]=Tabela2[[#This Row],[Ativo]]),Tabela3[Total Ações])</f>
        <v>189997214</v>
      </c>
      <c r="E425" s="66">
        <f>(Tabela2[[#This Row],[Lucro Líquido]])/Tabela2[[#This Row],[Total Ações]]</f>
        <v>0.89797534768062448</v>
      </c>
      <c r="F425" s="66">
        <v>0.32047732699999998</v>
      </c>
      <c r="G425" s="45">
        <f>IF(AND(Tabela2[[#This Row],[Dividendo / Ação]]&gt;0,Tabela2[[#This Row],[Lucro por ação]]&gt;0),Tabela2[[#This Row],[Dividendo / Ação]]/Tabela2[[#This Row],[Lucro por ação]],"")</f>
        <v>0.35688878077528419</v>
      </c>
      <c r="H425" s="61">
        <f>MAX(Tabela2[[#This Row],[Cotação 1]],Tabela2[[#This Row],[Cotação 2]])</f>
        <v>48.12</v>
      </c>
      <c r="I425" s="46">
        <f>IF(Tabela2[[#This Row],[Dividendo / Ação]]&gt;0,Tabela2[[#This Row],[Dividendo / Ação]]/Tabela2[[#This Row],[Cotação]],"")</f>
        <v>6.6599610764754777E-3</v>
      </c>
      <c r="J425" s="17">
        <f>SUMPRODUCT(N(Tabela1[Código]=Tabela2[[#This Row],[Ativo]]),Tabela1[Fechamento])</f>
        <v>0</v>
      </c>
      <c r="K425" s="17">
        <f>SUMPRODUCT(N(Tabela17[Código]=Tabela2[[#This Row],[Ativo]]),Tabela17[Fechamento])</f>
        <v>48.12</v>
      </c>
    </row>
    <row r="426" spans="1:11">
      <c r="A426" s="14" t="s">
        <v>352</v>
      </c>
      <c r="B426" s="3">
        <v>2012</v>
      </c>
      <c r="C426" s="5">
        <v>837439831.94000006</v>
      </c>
      <c r="D426" s="62">
        <f>SUMPRODUCT(N(Tabela3[PAPEL]=Tabela2[[#This Row],[Ativo]]),Tabela3[Total Ações])</f>
        <v>1797086404</v>
      </c>
      <c r="E426" s="65">
        <f>(Tabela2[[#This Row],[Lucro Líquido]])/Tabela2[[#This Row],[Total Ações]]</f>
        <v>0.46599864651805584</v>
      </c>
      <c r="F426" s="65">
        <v>4.07</v>
      </c>
      <c r="G426" s="22">
        <f>IF(AND(Tabela2[[#This Row],[Dividendo / Ação]]&gt;0,Tabela2[[#This Row],[Lucro por ação]]&gt;0),Tabela2[[#This Row],[Dividendo / Ação]]/Tabela2[[#This Row],[Lucro por ação]],"")</f>
        <v>8.7339309468193953</v>
      </c>
      <c r="H426" s="51">
        <f>MAX(Tabela2[[#This Row],[Cotação 1]],Tabela2[[#This Row],[Cotação 2]])</f>
        <v>4.21</v>
      </c>
      <c r="I426" s="18">
        <f>IF(Tabela2[[#This Row],[Dividendo / Ação]]&gt;0,Tabela2[[#This Row],[Dividendo / Ação]]/Tabela2[[#This Row],[Cotação]],"")</f>
        <v>0.96674584323040391</v>
      </c>
      <c r="J426" s="7">
        <f>SUMPRODUCT(N(Tabela1[Código]=Tabela2[[#This Row],[Ativo]]),Tabela1[Fechamento])</f>
        <v>0</v>
      </c>
      <c r="K426" s="7">
        <f>SUMPRODUCT(N(Tabela17[Código]=Tabela2[[#This Row],[Ativo]]),Tabela17[Fechamento])</f>
        <v>4.21</v>
      </c>
    </row>
    <row r="427" spans="1:11">
      <c r="A427" s="14" t="s">
        <v>352</v>
      </c>
      <c r="B427" s="3">
        <v>2011</v>
      </c>
      <c r="C427" s="5">
        <v>1005731443.8099999</v>
      </c>
      <c r="D427" s="62">
        <f>SUMPRODUCT(N(Tabela3[PAPEL]=Tabela2[[#This Row],[Ativo]]),Tabela3[Total Ações])</f>
        <v>1797086404</v>
      </c>
      <c r="E427" s="65">
        <f>(Tabela2[[#This Row],[Lucro Líquido]])/Tabela2[[#This Row],[Total Ações]]</f>
        <v>0.55964556939021837</v>
      </c>
      <c r="F427" s="65">
        <v>0.92</v>
      </c>
      <c r="G427" s="22">
        <f>IF(AND(Tabela2[[#This Row],[Dividendo / Ação]]&gt;0,Tabela2[[#This Row],[Lucro por ação]]&gt;0),Tabela2[[#This Row],[Dividendo / Ação]]/Tabela2[[#This Row],[Lucro por ação]],"")</f>
        <v>1.6438975850419375</v>
      </c>
      <c r="H427" s="51">
        <f>MAX(Tabela2[[#This Row],[Cotação 1]],Tabela2[[#This Row],[Cotação 2]])</f>
        <v>4.21</v>
      </c>
      <c r="I427" s="18">
        <f>IF(Tabela2[[#This Row],[Dividendo / Ação]]&gt;0,Tabela2[[#This Row],[Dividendo / Ação]]/Tabela2[[#This Row],[Cotação]],"")</f>
        <v>0.21852731591448932</v>
      </c>
      <c r="J427" s="7">
        <f>SUMPRODUCT(N(Tabela1[Código]=Tabela2[[#This Row],[Ativo]]),Tabela1[Fechamento])</f>
        <v>0</v>
      </c>
      <c r="K427" s="7">
        <f>SUMPRODUCT(N(Tabela17[Código]=Tabela2[[#This Row],[Ativo]]),Tabela17[Fechamento])</f>
        <v>4.21</v>
      </c>
    </row>
    <row r="428" spans="1:11">
      <c r="A428" s="14" t="s">
        <v>352</v>
      </c>
      <c r="B428" s="3">
        <v>2010</v>
      </c>
      <c r="C428" s="5">
        <v>1971024029.29</v>
      </c>
      <c r="D428" s="62">
        <f>SUMPRODUCT(N(Tabela3[PAPEL]=Tabela2[[#This Row],[Ativo]]),Tabela3[Total Ações])</f>
        <v>1797086404</v>
      </c>
      <c r="E428" s="65">
        <f>(Tabela2[[#This Row],[Lucro Líquido]])/Tabela2[[#This Row],[Total Ações]]</f>
        <v>1.0967886824489046</v>
      </c>
      <c r="F428" s="65">
        <v>0</v>
      </c>
      <c r="G428" s="22" t="str">
        <f>IF(AND(Tabela2[[#This Row],[Dividendo / Ação]]&gt;0,Tabela2[[#This Row],[Lucro por ação]]&gt;0),Tabela2[[#This Row],[Dividendo / Ação]]/Tabela2[[#This Row],[Lucro por ação]],"")</f>
        <v/>
      </c>
      <c r="H428" s="51">
        <f>MAX(Tabela2[[#This Row],[Cotação 1]],Tabela2[[#This Row],[Cotação 2]])</f>
        <v>4.21</v>
      </c>
      <c r="I428" s="18" t="str">
        <f>IF(Tabela2[[#This Row],[Dividendo / Ação]]&gt;0,Tabela2[[#This Row],[Dividendo / Ação]]/Tabela2[[#This Row],[Cotação]],"")</f>
        <v/>
      </c>
      <c r="J428" s="7">
        <f>SUMPRODUCT(N(Tabela1[Código]=Tabela2[[#This Row],[Ativo]]),Tabela1[Fechamento])</f>
        <v>0</v>
      </c>
      <c r="K428" s="7">
        <f>SUMPRODUCT(N(Tabela17[Código]=Tabela2[[#This Row],[Ativo]]),Tabela17[Fechamento])</f>
        <v>4.21</v>
      </c>
    </row>
    <row r="429" spans="1:11">
      <c r="A429" s="10" t="s">
        <v>353</v>
      </c>
      <c r="B429" s="3">
        <v>2012</v>
      </c>
      <c r="C429" s="5">
        <v>837439831.94000006</v>
      </c>
      <c r="D429" s="62">
        <f>SUMPRODUCT(N(Tabela3[PAPEL]=Tabela2[[#This Row],[Ativo]]),Tabela3[Total Ações])</f>
        <v>1797086404</v>
      </c>
      <c r="E429" s="65">
        <f>(Tabela2[[#This Row],[Lucro Líquido]])/Tabela2[[#This Row],[Total Ações]]</f>
        <v>0.46599864651805584</v>
      </c>
      <c r="F429" s="65">
        <v>4.07</v>
      </c>
      <c r="G429" s="22">
        <f>IF(AND(Tabela2[[#This Row],[Dividendo / Ação]]&gt;0,Tabela2[[#This Row],[Lucro por ação]]&gt;0),Tabela2[[#This Row],[Dividendo / Ação]]/Tabela2[[#This Row],[Lucro por ação]],"")</f>
        <v>8.7339309468193953</v>
      </c>
      <c r="H429" s="51">
        <f>MAX(Tabela2[[#This Row],[Cotação 1]],Tabela2[[#This Row],[Cotação 2]])</f>
        <v>4.03</v>
      </c>
      <c r="I429" s="18">
        <f>IF(Tabela2[[#This Row],[Dividendo / Ação]]&gt;0,Tabela2[[#This Row],[Dividendo / Ação]]/Tabela2[[#This Row],[Cotação]],"")</f>
        <v>1.0099255583126552</v>
      </c>
      <c r="J429" s="7">
        <f>SUMPRODUCT(N(Tabela1[Código]=Tabela2[[#This Row],[Ativo]]),Tabela1[Fechamento])</f>
        <v>0</v>
      </c>
      <c r="K429" s="7">
        <f>SUMPRODUCT(N(Tabela17[Código]=Tabela2[[#This Row],[Ativo]]),Tabela17[Fechamento])</f>
        <v>4.03</v>
      </c>
    </row>
    <row r="430" spans="1:11">
      <c r="A430" s="10" t="s">
        <v>353</v>
      </c>
      <c r="B430" s="3">
        <v>2011</v>
      </c>
      <c r="C430" s="5">
        <v>1005731443.8099999</v>
      </c>
      <c r="D430" s="62">
        <f>SUMPRODUCT(N(Tabela3[PAPEL]=Tabela2[[#This Row],[Ativo]]),Tabela3[Total Ações])</f>
        <v>1797086404</v>
      </c>
      <c r="E430" s="65">
        <f>(Tabela2[[#This Row],[Lucro Líquido]])/Tabela2[[#This Row],[Total Ações]]</f>
        <v>0.55964556939021837</v>
      </c>
      <c r="F430" s="65">
        <v>0.92</v>
      </c>
      <c r="G430" s="22">
        <f>IF(AND(Tabela2[[#This Row],[Dividendo / Ação]]&gt;0,Tabela2[[#This Row],[Lucro por ação]]&gt;0),Tabela2[[#This Row],[Dividendo / Ação]]/Tabela2[[#This Row],[Lucro por ação]],"")</f>
        <v>1.6438975850419375</v>
      </c>
      <c r="H430" s="51">
        <f>MAX(Tabela2[[#This Row],[Cotação 1]],Tabela2[[#This Row],[Cotação 2]])</f>
        <v>4.03</v>
      </c>
      <c r="I430" s="18">
        <f>IF(Tabela2[[#This Row],[Dividendo / Ação]]&gt;0,Tabela2[[#This Row],[Dividendo / Ação]]/Tabela2[[#This Row],[Cotação]],"")</f>
        <v>0.22828784119106699</v>
      </c>
      <c r="J430" s="7">
        <f>SUMPRODUCT(N(Tabela1[Código]=Tabela2[[#This Row],[Ativo]]),Tabela1[Fechamento])</f>
        <v>0</v>
      </c>
      <c r="K430" s="7">
        <f>SUMPRODUCT(N(Tabela17[Código]=Tabela2[[#This Row],[Ativo]]),Tabela17[Fechamento])</f>
        <v>4.03</v>
      </c>
    </row>
    <row r="431" spans="1:11">
      <c r="A431" s="10" t="s">
        <v>353</v>
      </c>
      <c r="B431" s="3">
        <v>2010</v>
      </c>
      <c r="C431" s="5">
        <v>1971024029.29</v>
      </c>
      <c r="D431" s="62">
        <f>SUMPRODUCT(N(Tabela3[PAPEL]=Tabela2[[#This Row],[Ativo]]),Tabela3[Total Ações])</f>
        <v>1797086404</v>
      </c>
      <c r="E431" s="65">
        <f>(Tabela2[[#This Row],[Lucro Líquido]])/Tabela2[[#This Row],[Total Ações]]</f>
        <v>1.0967886824489046</v>
      </c>
      <c r="F431" s="65">
        <v>0</v>
      </c>
      <c r="G431" s="22" t="str">
        <f>IF(AND(Tabela2[[#This Row],[Dividendo / Ação]]&gt;0,Tabela2[[#This Row],[Lucro por ação]]&gt;0),Tabela2[[#This Row],[Dividendo / Ação]]/Tabela2[[#This Row],[Lucro por ação]],"")</f>
        <v/>
      </c>
      <c r="H431" s="51">
        <f>MAX(Tabela2[[#This Row],[Cotação 1]],Tabela2[[#This Row],[Cotação 2]])</f>
        <v>4.03</v>
      </c>
      <c r="I431" s="18" t="str">
        <f>IF(Tabela2[[#This Row],[Dividendo / Ação]]&gt;0,Tabela2[[#This Row],[Dividendo / Ação]]/Tabela2[[#This Row],[Cotação]],"")</f>
        <v/>
      </c>
      <c r="J431" s="7">
        <f>SUMPRODUCT(N(Tabela1[Código]=Tabela2[[#This Row],[Ativo]]),Tabela1[Fechamento])</f>
        <v>0</v>
      </c>
      <c r="K431" s="7">
        <f>SUMPRODUCT(N(Tabela17[Código]=Tabela2[[#This Row],[Ativo]]),Tabela17[Fechamento])</f>
        <v>4.03</v>
      </c>
    </row>
    <row r="432" spans="1:11">
      <c r="A432" s="4" t="s">
        <v>484</v>
      </c>
      <c r="B432" s="4">
        <v>2012</v>
      </c>
      <c r="C432" s="6">
        <v>15469895.77</v>
      </c>
      <c r="D432" s="91">
        <f>SUMPRODUCT(N(Tabela3[PAPEL]=Tabela2[[#This Row],[Ativo]]),Tabela3[Total Ações])</f>
        <v>12587262</v>
      </c>
      <c r="E432" s="66">
        <f>(Tabela2[[#This Row],[Lucro Líquido]])/Tabela2[[#This Row],[Total Ações]]</f>
        <v>1.2290119781410762</v>
      </c>
      <c r="F432" s="66">
        <v>1.0680540000000001</v>
      </c>
      <c r="G432" s="45">
        <f>IF(AND(Tabela2[[#This Row],[Dividendo / Ação]]&gt;0,Tabela2[[#This Row],[Lucro por ação]]&gt;0),Tabela2[[#This Row],[Dividendo / Ação]]/Tabela2[[#This Row],[Lucro por ação]],"")</f>
        <v>0.86903465466257634</v>
      </c>
      <c r="H432" s="61">
        <f>MAX(Tabela2[[#This Row],[Cotação 1]],Tabela2[[#This Row],[Cotação 2]])</f>
        <v>18.75</v>
      </c>
      <c r="I432" s="46">
        <f>IF(Tabela2[[#This Row],[Dividendo / Ação]]&gt;0,Tabela2[[#This Row],[Dividendo / Ação]]/Tabela2[[#This Row],[Cotação]],"")</f>
        <v>5.696288E-2</v>
      </c>
      <c r="J432" s="17">
        <f>SUMPRODUCT(N(Tabela1[Código]=Tabela2[[#This Row],[Ativo]]),Tabela1[Fechamento])</f>
        <v>0</v>
      </c>
      <c r="K432" s="17">
        <f>SUMPRODUCT(N(Tabela17[Código]=Tabela2[[#This Row],[Ativo]]),Tabela17[Fechamento])</f>
        <v>18.75</v>
      </c>
    </row>
    <row r="433" spans="1:13">
      <c r="A433" s="4" t="s">
        <v>484</v>
      </c>
      <c r="B433" s="4">
        <v>2011</v>
      </c>
      <c r="C433" s="6">
        <v>13306306.460000001</v>
      </c>
      <c r="D433" s="91">
        <f>SUMPRODUCT(N(Tabela3[PAPEL]=Tabela2[[#This Row],[Ativo]]),Tabela3[Total Ações])</f>
        <v>12587262</v>
      </c>
      <c r="E433" s="66">
        <f>(Tabela2[[#This Row],[Lucro Líquido]])/Tabela2[[#This Row],[Total Ações]]</f>
        <v>1.0571247710582334</v>
      </c>
      <c r="F433" s="66">
        <v>1.003811</v>
      </c>
      <c r="G433" s="45">
        <f>IF(AND(Tabela2[[#This Row],[Dividendo / Ação]]&gt;0,Tabela2[[#This Row],[Lucro por ação]]&gt;0),Tabela2[[#This Row],[Dividendo / Ação]]/Tabela2[[#This Row],[Lucro por ação]],"")</f>
        <v>0.9495671915767675</v>
      </c>
      <c r="H433" s="61">
        <f>MAX(Tabela2[[#This Row],[Cotação 1]],Tabela2[[#This Row],[Cotação 2]])</f>
        <v>18.75</v>
      </c>
      <c r="I433" s="46">
        <f>IF(Tabela2[[#This Row],[Dividendo / Ação]]&gt;0,Tabela2[[#This Row],[Dividendo / Ação]]/Tabela2[[#This Row],[Cotação]],"")</f>
        <v>5.353658666666667E-2</v>
      </c>
      <c r="J433" s="17">
        <f>SUMPRODUCT(N(Tabela1[Código]=Tabela2[[#This Row],[Ativo]]),Tabela1[Fechamento])</f>
        <v>0</v>
      </c>
      <c r="K433" s="17">
        <f>SUMPRODUCT(N(Tabela17[Código]=Tabela2[[#This Row],[Ativo]]),Tabela17[Fechamento])</f>
        <v>18.75</v>
      </c>
    </row>
    <row r="434" spans="1:13">
      <c r="A434" s="4" t="s">
        <v>484</v>
      </c>
      <c r="B434" s="4">
        <v>2010</v>
      </c>
      <c r="C434" s="6">
        <v>19966613.23</v>
      </c>
      <c r="D434" s="91">
        <f>SUMPRODUCT(N(Tabela3[PAPEL]=Tabela2[[#This Row],[Ativo]]),Tabela3[Total Ações])</f>
        <v>12587262</v>
      </c>
      <c r="E434" s="66">
        <f>(Tabela2[[#This Row],[Lucro Líquido]])/Tabela2[[#This Row],[Total Ações]]</f>
        <v>1.5862554723974125</v>
      </c>
      <c r="F434" s="66">
        <v>0.962588</v>
      </c>
      <c r="G434" s="45">
        <f>IF(AND(Tabela2[[#This Row],[Dividendo / Ação]]&gt;0,Tabela2[[#This Row],[Lucro por ação]]&gt;0),Tabela2[[#This Row],[Dividendo / Ação]]/Tabela2[[#This Row],[Lucro por ação]],"")</f>
        <v>0.6068303730074307</v>
      </c>
      <c r="H434" s="61">
        <f>MAX(Tabela2[[#This Row],[Cotação 1]],Tabela2[[#This Row],[Cotação 2]])</f>
        <v>18.75</v>
      </c>
      <c r="I434" s="46">
        <f>IF(Tabela2[[#This Row],[Dividendo / Ação]]&gt;0,Tabela2[[#This Row],[Dividendo / Ação]]/Tabela2[[#This Row],[Cotação]],"")</f>
        <v>5.1338026666666668E-2</v>
      </c>
      <c r="J434" s="17">
        <f>SUMPRODUCT(N(Tabela1[Código]=Tabela2[[#This Row],[Ativo]]),Tabela1[Fechamento])</f>
        <v>0</v>
      </c>
      <c r="K434" s="17">
        <f>SUMPRODUCT(N(Tabela17[Código]=Tabela2[[#This Row],[Ativo]]),Tabela17[Fechamento])</f>
        <v>18.75</v>
      </c>
    </row>
    <row r="435" spans="1:13">
      <c r="A435" s="4" t="s">
        <v>484</v>
      </c>
      <c r="B435" s="4">
        <v>2009</v>
      </c>
      <c r="C435" s="6">
        <v>8984823.1899999995</v>
      </c>
      <c r="D435" s="91">
        <f>SUMPRODUCT(N(Tabela3[PAPEL]=Tabela2[[#This Row],[Ativo]]),Tabela3[Total Ações])</f>
        <v>12587262</v>
      </c>
      <c r="E435" s="66">
        <f>(Tabela2[[#This Row],[Lucro Líquido]])/Tabela2[[#This Row],[Total Ações]]</f>
        <v>0.71380282622225544</v>
      </c>
      <c r="F435" s="66">
        <v>0.86186600000000002</v>
      </c>
      <c r="G435" s="45">
        <f>IF(AND(Tabela2[[#This Row],[Dividendo / Ação]]&gt;0,Tabela2[[#This Row],[Lucro por ação]]&gt;0),Tabela2[[#This Row],[Dividendo / Ação]]/Tabela2[[#This Row],[Lucro por ação]],"")</f>
        <v>1.2074286740518487</v>
      </c>
      <c r="H435" s="61">
        <f>MAX(Tabela2[[#This Row],[Cotação 1]],Tabela2[[#This Row],[Cotação 2]])</f>
        <v>18.75</v>
      </c>
      <c r="I435" s="46">
        <f>IF(Tabela2[[#This Row],[Dividendo / Ação]]&gt;0,Tabela2[[#This Row],[Dividendo / Ação]]/Tabela2[[#This Row],[Cotação]],"")</f>
        <v>4.5966186666666665E-2</v>
      </c>
      <c r="J435" s="17">
        <f>SUMPRODUCT(N(Tabela1[Código]=Tabela2[[#This Row],[Ativo]]),Tabela1[Fechamento])</f>
        <v>0</v>
      </c>
      <c r="K435" s="17">
        <f>SUMPRODUCT(N(Tabela17[Código]=Tabela2[[#This Row],[Ativo]]),Tabela17[Fechamento])</f>
        <v>18.75</v>
      </c>
    </row>
    <row r="436" spans="1:13">
      <c r="A436" s="4" t="s">
        <v>20</v>
      </c>
      <c r="B436" s="4">
        <v>2012</v>
      </c>
      <c r="C436" s="6">
        <v>20894905121.599998</v>
      </c>
      <c r="D436" s="8">
        <f>SUMPRODUCT(N(Tabela3[PAPEL]=Tabela2[[#This Row],[Ativo]]),Tabela3[Total Ações])</f>
        <v>13044496930</v>
      </c>
      <c r="E436" s="66">
        <f>(Tabela2[[#This Row],[Lucro Líquido]])/Tabela2[[#This Row],[Total Ações]]</f>
        <v>1.6018176272896711</v>
      </c>
      <c r="F436" s="66">
        <v>0.47</v>
      </c>
      <c r="G436" s="46">
        <f>IF(AND(Tabela2[[#This Row],[Dividendo / Ação]]&gt;0,Tabela2[[#This Row],[Lucro por ação]]&gt;0),Tabela2[[#This Row],[Dividendo / Ação]]/Tabela2[[#This Row],[Lucro por ação]],"")</f>
        <v>0.29341667365420099</v>
      </c>
      <c r="H436" s="13">
        <f>MAX(Tabela2[[#This Row],[Cotação 1]],Tabela2[[#This Row],[Cotação 2]])</f>
        <v>15.49</v>
      </c>
      <c r="I436" s="19">
        <f>IF(Tabela2[[#This Row],[Dividendo / Ação]]&gt;0,Tabela2[[#This Row],[Dividendo / Ação]]/Tabela2[[#This Row],[Cotação]],"")</f>
        <v>3.0342156229825692E-2</v>
      </c>
      <c r="J436" s="17">
        <f>SUMPRODUCT(N(Tabela1[Código]=Tabela2[[#This Row],[Ativo]]),Tabela1[Fechamento])</f>
        <v>0</v>
      </c>
      <c r="K436" s="17">
        <f>SUMPRODUCT(N(Tabela17[Código]=Tabela2[[#This Row],[Ativo]]),Tabela17[Fechamento])</f>
        <v>15.49</v>
      </c>
    </row>
    <row r="437" spans="1:13">
      <c r="A437" s="4" t="s">
        <v>20</v>
      </c>
      <c r="B437" s="3">
        <v>2011</v>
      </c>
      <c r="C437" s="5">
        <v>33133022202</v>
      </c>
      <c r="D437" s="62">
        <f>SUMPRODUCT(N(Tabela3[PAPEL]=Tabela2[[#This Row],[Ativo]]),Tabela3[Total Ações])</f>
        <v>13044496930</v>
      </c>
      <c r="E437" s="65">
        <f>(Tabela2[[#This Row],[Lucro Líquido]])/Tabela2[[#This Row],[Total Ações]]</f>
        <v>2.5399999999846679</v>
      </c>
      <c r="F437" s="65">
        <v>0.92</v>
      </c>
      <c r="G437" s="22">
        <f>IF(AND(Tabela2[[#This Row],[Dividendo / Ação]]&gt;0,Tabela2[[#This Row],[Lucro por ação]]&gt;0),Tabela2[[#This Row],[Dividendo / Ação]]/Tabela2[[#This Row],[Lucro por ação]],"")</f>
        <v>0.3622047244116352</v>
      </c>
      <c r="H437" s="51">
        <f>MAX(Tabela2[[#This Row],[Cotação 1]],Tabela2[[#This Row],[Cotação 2]])</f>
        <v>15.49</v>
      </c>
      <c r="I437" s="18">
        <f>IF(Tabela2[[#This Row],[Dividendo / Ação]]&gt;0,Tabela2[[#This Row],[Dividendo / Ação]]/Tabela2[[#This Row],[Cotação]],"")</f>
        <v>5.9393156875403488E-2</v>
      </c>
      <c r="J437" s="7">
        <f>SUMPRODUCT(N(Tabela1[Código]=Tabela2[[#This Row],[Ativo]]),Tabela1[Fechamento])</f>
        <v>0</v>
      </c>
      <c r="K437" s="7">
        <f>SUMPRODUCT(N(Tabela17[Código]=Tabela2[[#This Row],[Ativo]]),Tabela17[Fechamento])</f>
        <v>15.49</v>
      </c>
    </row>
    <row r="438" spans="1:13">
      <c r="A438" s="4" t="s">
        <v>20</v>
      </c>
      <c r="B438" s="3">
        <v>2010</v>
      </c>
      <c r="C438" s="5">
        <v>46307964102</v>
      </c>
      <c r="D438" s="62">
        <f>SUMPRODUCT(N(Tabela3[PAPEL]=Tabela2[[#This Row],[Ativo]]),Tabela3[Total Ações])</f>
        <v>13044496930</v>
      </c>
      <c r="E438" s="65">
        <f>(Tabela2[[#This Row],[Lucro Líquido]])/Tabela2[[#This Row],[Total Ações]]</f>
        <v>3.5500000000383305</v>
      </c>
      <c r="F438" s="65">
        <v>1.03</v>
      </c>
      <c r="G438" s="22">
        <f>IF(AND(Tabela2[[#This Row],[Dividendo / Ação]]&gt;0,Tabela2[[#This Row],[Lucro por ação]]&gt;0),Tabela2[[#This Row],[Dividendo / Ação]]/Tabela2[[#This Row],[Lucro por ação]],"")</f>
        <v>0.29014084506728982</v>
      </c>
      <c r="H438" s="51">
        <f>MAX(Tabela2[[#This Row],[Cotação 1]],Tabela2[[#This Row],[Cotação 2]])</f>
        <v>15.49</v>
      </c>
      <c r="I438" s="18">
        <f>IF(Tabela2[[#This Row],[Dividendo / Ação]]&gt;0,Tabela2[[#This Row],[Dividendo / Ação]]/Tabela2[[#This Row],[Cotação]],"")</f>
        <v>6.6494512588766944E-2</v>
      </c>
      <c r="J438" s="7">
        <f>SUMPRODUCT(N(Tabela1[Código]=Tabela2[[#This Row],[Ativo]]),Tabela1[Fechamento])</f>
        <v>0</v>
      </c>
      <c r="K438" s="7">
        <f>SUMPRODUCT(N(Tabela17[Código]=Tabela2[[#This Row],[Ativo]]),Tabela17[Fechamento])</f>
        <v>15.49</v>
      </c>
    </row>
    <row r="439" spans="1:13">
      <c r="A439" s="4" t="s">
        <v>20</v>
      </c>
      <c r="B439" s="3">
        <v>2009</v>
      </c>
      <c r="C439" s="5">
        <v>44612179501</v>
      </c>
      <c r="D439" s="62">
        <f>SUMPRODUCT(N(Tabela3[PAPEL]=Tabela2[[#This Row],[Ativo]]),Tabela3[Total Ações])</f>
        <v>13044496930</v>
      </c>
      <c r="E439" s="65">
        <f>(Tabela2[[#This Row],[Lucro Líquido]])/Tabela2[[#This Row],[Total Ações]]</f>
        <v>3.4200000000306643</v>
      </c>
      <c r="F439" s="65">
        <v>0.95</v>
      </c>
      <c r="G439" s="22">
        <f>IF(AND(Tabela2[[#This Row],[Dividendo / Ação]]&gt;0,Tabela2[[#This Row],[Lucro por ação]]&gt;0),Tabela2[[#This Row],[Dividendo / Ação]]/Tabela2[[#This Row],[Lucro por ação]],"")</f>
        <v>0.27777777777528717</v>
      </c>
      <c r="H439" s="51">
        <f>MAX(Tabela2[[#This Row],[Cotação 1]],Tabela2[[#This Row],[Cotação 2]])</f>
        <v>15.49</v>
      </c>
      <c r="I439" s="18">
        <f>IF(Tabela2[[#This Row],[Dividendo / Ação]]&gt;0,Tabela2[[#This Row],[Dividendo / Ação]]/Tabela2[[#This Row],[Cotação]],"")</f>
        <v>6.1329890251775335E-2</v>
      </c>
      <c r="J439" s="7">
        <f>SUMPRODUCT(N(Tabela1[Código]=Tabela2[[#This Row],[Ativo]]),Tabela1[Fechamento])</f>
        <v>0</v>
      </c>
      <c r="K439" s="7">
        <f>SUMPRODUCT(N(Tabela17[Código]=Tabela2[[#This Row],[Ativo]]),Tabela17[Fechamento])</f>
        <v>15.49</v>
      </c>
    </row>
    <row r="440" spans="1:13">
      <c r="A440" s="4" t="s">
        <v>21</v>
      </c>
      <c r="B440" s="4">
        <v>2012</v>
      </c>
      <c r="C440" s="6">
        <v>20894905121.599998</v>
      </c>
      <c r="D440" s="8">
        <f>SUMPRODUCT(N(Tabela3[PAPEL]=Tabela2[[#This Row],[Ativo]]),Tabela3[Total Ações])</f>
        <v>13044496930</v>
      </c>
      <c r="E440" s="66">
        <f>(Tabela2[[#This Row],[Lucro Líquido]])/Tabela2[[#This Row],[Total Ações]]</f>
        <v>1.6018176272896711</v>
      </c>
      <c r="F440" s="66">
        <v>0.96</v>
      </c>
      <c r="G440" s="46">
        <f>IF(AND(Tabela2[[#This Row],[Dividendo / Ação]]&gt;0,Tabela2[[#This Row],[Lucro por ação]]&gt;0),Tabela2[[#This Row],[Dividendo / Ação]]/Tabela2[[#This Row],[Lucro por ação]],"")</f>
        <v>0.5993191632085807</v>
      </c>
      <c r="H440" s="13">
        <f>MAX(Tabela2[[#This Row],[Cotação 1]],Tabela2[[#This Row],[Cotação 2]])</f>
        <v>16.47</v>
      </c>
      <c r="I440" s="19">
        <f>IF(Tabela2[[#This Row],[Dividendo / Ação]]&gt;0,Tabela2[[#This Row],[Dividendo / Ação]]/Tabela2[[#This Row],[Cotação]],"")</f>
        <v>5.8287795992714025E-2</v>
      </c>
      <c r="J440" s="17">
        <f>SUMPRODUCT(N(Tabela1[Código]=Tabela2[[#This Row],[Ativo]]),Tabela1[Fechamento])</f>
        <v>0</v>
      </c>
      <c r="K440" s="17">
        <f>SUMPRODUCT(N(Tabela17[Código]=Tabela2[[#This Row],[Ativo]]),Tabela17[Fechamento])</f>
        <v>16.47</v>
      </c>
    </row>
    <row r="441" spans="1:13">
      <c r="A441" s="4" t="s">
        <v>21</v>
      </c>
      <c r="B441" s="4">
        <v>2011</v>
      </c>
      <c r="C441" s="5">
        <v>33133022202</v>
      </c>
      <c r="D441" s="8">
        <f>SUMPRODUCT(N(Tabela3[PAPEL]=Tabela2[[#This Row],[Ativo]]),Tabela3[Total Ações])</f>
        <v>13044496930</v>
      </c>
      <c r="E441" s="66">
        <f>(Tabela2[[#This Row],[Lucro Líquido]])/Tabela2[[#This Row],[Total Ações]]</f>
        <v>2.5399999999846679</v>
      </c>
      <c r="F441" s="66">
        <v>0.92</v>
      </c>
      <c r="G441" s="46">
        <f>IF(AND(Tabela2[[#This Row],[Dividendo / Ação]]&gt;0,Tabela2[[#This Row],[Lucro por ação]]&gt;0),Tabela2[[#This Row],[Dividendo / Ação]]/Tabela2[[#This Row],[Lucro por ação]],"")</f>
        <v>0.3622047244116352</v>
      </c>
      <c r="H441" s="13">
        <f>MAX(Tabela2[[#This Row],[Cotação 1]],Tabela2[[#This Row],[Cotação 2]])</f>
        <v>16.47</v>
      </c>
      <c r="I441" s="19">
        <f>IF(Tabela2[[#This Row],[Dividendo / Ação]]&gt;0,Tabela2[[#This Row],[Dividendo / Ação]]/Tabela2[[#This Row],[Cotação]],"")</f>
        <v>5.5859137826350949E-2</v>
      </c>
      <c r="J441" s="17">
        <f>SUMPRODUCT(N(Tabela1[Código]=Tabela2[[#This Row],[Ativo]]),Tabela1[Fechamento])</f>
        <v>0</v>
      </c>
      <c r="K441" s="17">
        <f>SUMPRODUCT(N(Tabela17[Código]=Tabela2[[#This Row],[Ativo]]),Tabela17[Fechamento])</f>
        <v>16.47</v>
      </c>
    </row>
    <row r="442" spans="1:13">
      <c r="A442" s="4" t="s">
        <v>21</v>
      </c>
      <c r="B442" s="4">
        <v>2010</v>
      </c>
      <c r="C442" s="5">
        <v>46307964102</v>
      </c>
      <c r="D442" s="8">
        <f>SUMPRODUCT(N(Tabela3[PAPEL]=Tabela2[[#This Row],[Ativo]]),Tabela3[Total Ações])</f>
        <v>13044496930</v>
      </c>
      <c r="E442" s="66">
        <f>(Tabela2[[#This Row],[Lucro Líquido]])/Tabela2[[#This Row],[Total Ações]]</f>
        <v>3.5500000000383305</v>
      </c>
      <c r="F442" s="66">
        <v>1.03</v>
      </c>
      <c r="G442" s="46">
        <f>IF(AND(Tabela2[[#This Row],[Dividendo / Ação]]&gt;0,Tabela2[[#This Row],[Lucro por ação]]&gt;0),Tabela2[[#This Row],[Dividendo / Ação]]/Tabela2[[#This Row],[Lucro por ação]],"")</f>
        <v>0.29014084506728982</v>
      </c>
      <c r="H442" s="13">
        <f>MAX(Tabela2[[#This Row],[Cotação 1]],Tabela2[[#This Row],[Cotação 2]])</f>
        <v>16.47</v>
      </c>
      <c r="I442" s="19">
        <f>IF(Tabela2[[#This Row],[Dividendo / Ação]]&gt;0,Tabela2[[#This Row],[Dividendo / Ação]]/Tabela2[[#This Row],[Cotação]],"")</f>
        <v>6.2537947783849426E-2</v>
      </c>
      <c r="J442" s="17">
        <f>SUMPRODUCT(N(Tabela1[Código]=Tabela2[[#This Row],[Ativo]]),Tabela1[Fechamento])</f>
        <v>0</v>
      </c>
      <c r="K442" s="17">
        <f>SUMPRODUCT(N(Tabela17[Código]=Tabela2[[#This Row],[Ativo]]),Tabela17[Fechamento])</f>
        <v>16.47</v>
      </c>
    </row>
    <row r="443" spans="1:13">
      <c r="A443" s="4" t="s">
        <v>21</v>
      </c>
      <c r="B443" s="4">
        <v>2009</v>
      </c>
      <c r="C443" s="5">
        <v>44612179501</v>
      </c>
      <c r="D443" s="8">
        <f>SUMPRODUCT(N(Tabela3[PAPEL]=Tabela2[[#This Row],[Ativo]]),Tabela3[Total Ações])</f>
        <v>13044496930</v>
      </c>
      <c r="E443" s="66">
        <f>(Tabela2[[#This Row],[Lucro Líquido]])/Tabela2[[#This Row],[Total Ações]]</f>
        <v>3.4200000000306643</v>
      </c>
      <c r="F443" s="66">
        <v>0.95</v>
      </c>
      <c r="G443" s="46">
        <f>IF(AND(Tabela2[[#This Row],[Dividendo / Ação]]&gt;0,Tabela2[[#This Row],[Lucro por ação]]&gt;0),Tabela2[[#This Row],[Dividendo / Ação]]/Tabela2[[#This Row],[Lucro por ação]],"")</f>
        <v>0.27777777777528717</v>
      </c>
      <c r="H443" s="13">
        <f>MAX(Tabela2[[#This Row],[Cotação 1]],Tabela2[[#This Row],[Cotação 2]])</f>
        <v>16.47</v>
      </c>
      <c r="I443" s="19">
        <f>IF(Tabela2[[#This Row],[Dividendo / Ação]]&gt;0,Tabela2[[#This Row],[Dividendo / Ação]]/Tabela2[[#This Row],[Cotação]],"")</f>
        <v>5.7680631451123253E-2</v>
      </c>
      <c r="J443" s="17">
        <f>SUMPRODUCT(N(Tabela1[Código]=Tabela2[[#This Row],[Ativo]]),Tabela1[Fechamento])</f>
        <v>0</v>
      </c>
      <c r="K443" s="17">
        <f>SUMPRODUCT(N(Tabela17[Código]=Tabela2[[#This Row],[Ativo]]),Tabela17[Fechamento])</f>
        <v>16.47</v>
      </c>
    </row>
    <row r="444" spans="1:13">
      <c r="A444" s="4" t="s">
        <v>78</v>
      </c>
      <c r="B444" s="4">
        <v>2012</v>
      </c>
      <c r="C444" s="6">
        <v>187453404.96000001</v>
      </c>
      <c r="D444" s="8">
        <f>SUMPRODUCT(N(Tabela3[PAPEL]=Tabela2[[#This Row],[Ativo]]),Tabela3[Total Ações])</f>
        <v>110842313</v>
      </c>
      <c r="E444" s="66">
        <f>(Tabela2[[#This Row],[Lucro Líquido]])/Tabela2[[#This Row],[Total Ações]]</f>
        <v>1.6911718989480129</v>
      </c>
      <c r="F444" s="66">
        <v>0.92906</v>
      </c>
      <c r="G444" s="46">
        <f>IF(AND(Tabela2[[#This Row],[Dividendo / Ação]]&gt;0,Tabela2[[#This Row],[Lucro por ação]]&gt;0),Tabela2[[#This Row],[Dividendo / Ação]]/Tabela2[[#This Row],[Lucro por ação]],"")</f>
        <v>0.54935870243463614</v>
      </c>
      <c r="H444" s="6">
        <f>MAX(Tabela2[[#This Row],[Cotação 1]],Tabela2[[#This Row],[Cotação 2]])</f>
        <v>10.199999999999999</v>
      </c>
      <c r="I444" s="19">
        <f>IF(Tabela2[[#This Row],[Dividendo / Ação]]&gt;0,Tabela2[[#This Row],[Dividendo / Ação]]/Tabela2[[#This Row],[Cotação]],"")</f>
        <v>9.1084313725490196E-2</v>
      </c>
      <c r="J444" s="61">
        <f>SUMPRODUCT(N(Tabela1[Código]=Tabela2[[#This Row],[Ativo]]),Tabela1[Fechamento])</f>
        <v>10.199999999999999</v>
      </c>
      <c r="K444" s="61">
        <f>SUMPRODUCT(N(Tabela17[Código]=Tabela2[[#This Row],[Ativo]]),Tabela17[Fechamento])</f>
        <v>0</v>
      </c>
    </row>
    <row r="445" spans="1:13">
      <c r="A445" s="4" t="s">
        <v>78</v>
      </c>
      <c r="B445" s="4">
        <v>2011</v>
      </c>
      <c r="C445" s="6">
        <v>161513908.16999999</v>
      </c>
      <c r="D445" s="8">
        <f>SUMPRODUCT(N(Tabela3[PAPEL]=Tabela2[[#This Row],[Ativo]]),Tabela3[Total Ações])</f>
        <v>110842313</v>
      </c>
      <c r="E445" s="66">
        <f>(Tabela2[[#This Row],[Lucro Líquido]])/Tabela2[[#This Row],[Total Ações]]</f>
        <v>1.4571502867321073</v>
      </c>
      <c r="F445" s="66">
        <v>0.83615399999999995</v>
      </c>
      <c r="G445" s="46">
        <f>IF(AND(Tabela2[[#This Row],[Dividendo / Ação]]&gt;0,Tabela2[[#This Row],[Lucro por ação]]&gt;0),Tabela2[[#This Row],[Dividendo / Ação]]/Tabela2[[#This Row],[Lucro por ação]],"")</f>
        <v>0.57382825067084131</v>
      </c>
      <c r="H445" s="6">
        <f>MAX(Tabela2[[#This Row],[Cotação 1]],Tabela2[[#This Row],[Cotação 2]])</f>
        <v>10.199999999999999</v>
      </c>
      <c r="I445" s="19">
        <f>IF(Tabela2[[#This Row],[Dividendo / Ação]]&gt;0,Tabela2[[#This Row],[Dividendo / Ação]]/Tabela2[[#This Row],[Cotação]],"")</f>
        <v>8.1975882352941176E-2</v>
      </c>
      <c r="J445" s="61">
        <f>SUMPRODUCT(N(Tabela1[Código]=Tabela2[[#This Row],[Ativo]]),Tabela1[Fechamento])</f>
        <v>10.199999999999999</v>
      </c>
      <c r="K445" s="61">
        <f>SUMPRODUCT(N(Tabela17[Código]=Tabela2[[#This Row],[Ativo]]),Tabela17[Fechamento])</f>
        <v>0</v>
      </c>
    </row>
    <row r="446" spans="1:13">
      <c r="A446" s="4" t="s">
        <v>78</v>
      </c>
      <c r="B446" s="4">
        <v>2010</v>
      </c>
      <c r="C446" s="6">
        <v>116428578.18000001</v>
      </c>
      <c r="D446" s="8">
        <f>SUMPRODUCT(N(Tabela3[PAPEL]=Tabela2[[#This Row],[Ativo]]),Tabela3[Total Ações])</f>
        <v>110842313</v>
      </c>
      <c r="E446" s="66">
        <f>(Tabela2[[#This Row],[Lucro Líquido]])/Tabela2[[#This Row],[Total Ações]]</f>
        <v>1.0503983093532161</v>
      </c>
      <c r="F446" s="66">
        <v>0.69679500000000005</v>
      </c>
      <c r="G446" s="46">
        <f>IF(AND(Tabela2[[#This Row],[Dividendo / Ação]]&gt;0,Tabela2[[#This Row],[Lucro por ação]]&gt;0),Tabela2[[#This Row],[Dividendo / Ação]]/Tabela2[[#This Row],[Lucro por ação]],"")</f>
        <v>0.66336264424211833</v>
      </c>
      <c r="H446" s="6">
        <f>MAX(Tabela2[[#This Row],[Cotação 1]],Tabela2[[#This Row],[Cotação 2]])</f>
        <v>10.199999999999999</v>
      </c>
      <c r="I446" s="19">
        <f>IF(Tabela2[[#This Row],[Dividendo / Ação]]&gt;0,Tabela2[[#This Row],[Dividendo / Ação]]/Tabela2[[#This Row],[Cotação]],"")</f>
        <v>6.8313235294117661E-2</v>
      </c>
      <c r="J446" s="61">
        <f>SUMPRODUCT(N(Tabela1[Código]=Tabela2[[#This Row],[Ativo]]),Tabela1[Fechamento])</f>
        <v>10.199999999999999</v>
      </c>
      <c r="K446" s="61">
        <f>SUMPRODUCT(N(Tabela17[Código]=Tabela2[[#This Row],[Ativo]]),Tabela17[Fechamento])</f>
        <v>0</v>
      </c>
    </row>
    <row r="447" spans="1:13">
      <c r="A447" s="4" t="s">
        <v>78</v>
      </c>
      <c r="B447" s="4">
        <v>2009</v>
      </c>
      <c r="C447" s="6">
        <v>86911496.730000004</v>
      </c>
      <c r="D447" s="8">
        <f>SUMPRODUCT(N(Tabela3[PAPEL]=Tabela2[[#This Row],[Ativo]]),Tabela3[Total Ações])</f>
        <v>110842313</v>
      </c>
      <c r="E447" s="66">
        <f>(Tabela2[[#This Row],[Lucro Líquido]])/Tabela2[[#This Row],[Total Ações]]</f>
        <v>0.78410035281382129</v>
      </c>
      <c r="F447" s="66">
        <v>0.69679500000000005</v>
      </c>
      <c r="G447" s="46">
        <f>IF(AND(Tabela2[[#This Row],[Dividendo / Ação]]&gt;0,Tabela2[[#This Row],[Lucro por ação]]&gt;0),Tabela2[[#This Row],[Dividendo / Ação]]/Tabela2[[#This Row],[Lucro por ação]],"")</f>
        <v>0.88865538384147214</v>
      </c>
      <c r="H447" s="6">
        <f>MAX(Tabela2[[#This Row],[Cotação 1]],Tabela2[[#This Row],[Cotação 2]])</f>
        <v>10.199999999999999</v>
      </c>
      <c r="I447" s="19">
        <f>IF(Tabela2[[#This Row],[Dividendo / Ação]]&gt;0,Tabela2[[#This Row],[Dividendo / Ação]]/Tabela2[[#This Row],[Cotação]],"")</f>
        <v>6.8313235294117661E-2</v>
      </c>
      <c r="J447" s="61">
        <f>SUMPRODUCT(N(Tabela1[Código]=Tabela2[[#This Row],[Ativo]]),Tabela1[Fechamento])</f>
        <v>10.199999999999999</v>
      </c>
      <c r="K447" s="61">
        <f>SUMPRODUCT(N(Tabela17[Código]=Tabela2[[#This Row],[Ativo]]),Tabela17[Fechamento])</f>
        <v>0</v>
      </c>
    </row>
    <row r="448" spans="1:13">
      <c r="A448" s="15" t="s">
        <v>87</v>
      </c>
      <c r="B448" s="4">
        <v>2012</v>
      </c>
      <c r="C448" s="6">
        <v>196691606.94</v>
      </c>
      <c r="D448" s="8">
        <f>SUMPRODUCT(N(Tabela3[PAPEL]=Tabela2[[#This Row],[Ativo]]),Tabela3[Total Ações])</f>
        <v>87289932</v>
      </c>
      <c r="E448" s="66">
        <f>(Tabela2[[#This Row],[Lucro Líquido]])/Tabela2[[#This Row],[Total Ações]]</f>
        <v>2.2533137835414969</v>
      </c>
      <c r="F448" s="66">
        <v>0.72</v>
      </c>
      <c r="G448" s="46">
        <f>IF(AND(Tabela2[[#This Row],[Dividendo / Ação]]&gt;0,Tabela2[[#This Row],[Lucro por ação]]&gt;0),Tabela2[[#This Row],[Dividendo / Ação]]/Tabela2[[#This Row],[Lucro por ação]],"")</f>
        <v>0.31952939943783043</v>
      </c>
      <c r="H448" s="6">
        <f>MAX(Tabela2[[#This Row],[Cotação 1]],Tabela2[[#This Row],[Cotação 2]])</f>
        <v>11.4</v>
      </c>
      <c r="I448" s="19">
        <f>IF(Tabela2[[#This Row],[Dividendo / Ação]]&gt;0,Tabela2[[#This Row],[Dividendo / Ação]]/Tabela2[[#This Row],[Cotação]],"")</f>
        <v>6.3157894736842107E-2</v>
      </c>
      <c r="J448" s="61">
        <f>SUMPRODUCT(N(Tabela1[Código]=Tabela2[[#This Row],[Ativo]]),Tabela1[Fechamento])</f>
        <v>11.4</v>
      </c>
      <c r="K448" s="61">
        <f>SUMPRODUCT(N(Tabela17[Código]=Tabela2[[#This Row],[Ativo]]),Tabela17[Fechamento])</f>
        <v>0</v>
      </c>
      <c r="M448" s="65"/>
    </row>
    <row r="449" spans="1:13">
      <c r="A449" s="15" t="s">
        <v>87</v>
      </c>
      <c r="B449" s="4">
        <v>2011</v>
      </c>
      <c r="C449" s="6">
        <v>359474959.12</v>
      </c>
      <c r="D449" s="8">
        <f>SUMPRODUCT(N(Tabela3[PAPEL]=Tabela2[[#This Row],[Ativo]]),Tabela3[Total Ações])</f>
        <v>87289932</v>
      </c>
      <c r="E449" s="66">
        <f>(Tabela2[[#This Row],[Lucro Líquido]])/Tabela2[[#This Row],[Total Ações]]</f>
        <v>4.118172060438769</v>
      </c>
      <c r="F449" s="66">
        <v>1.0900000000000001</v>
      </c>
      <c r="G449" s="46">
        <f>IF(AND(Tabela2[[#This Row],[Dividendo / Ação]]&gt;0,Tabela2[[#This Row],[Lucro por ação]]&gt;0),Tabela2[[#This Row],[Dividendo / Ação]]/Tabela2[[#This Row],[Lucro por ação]],"")</f>
        <v>0.26468053884175652</v>
      </c>
      <c r="H449" s="6">
        <f>MAX(Tabela2[[#This Row],[Cotação 1]],Tabela2[[#This Row],[Cotação 2]])</f>
        <v>11.4</v>
      </c>
      <c r="I449" s="19">
        <f>IF(Tabela2[[#This Row],[Dividendo / Ação]]&gt;0,Tabela2[[#This Row],[Dividendo / Ação]]/Tabela2[[#This Row],[Cotação]],"")</f>
        <v>9.5614035087719304E-2</v>
      </c>
      <c r="J449" s="61">
        <f>SUMPRODUCT(N(Tabela1[Código]=Tabela2[[#This Row],[Ativo]]),Tabela1[Fechamento])</f>
        <v>11.4</v>
      </c>
      <c r="K449" s="61">
        <f>SUMPRODUCT(N(Tabela17[Código]=Tabela2[[#This Row],[Ativo]]),Tabela17[Fechamento])</f>
        <v>0</v>
      </c>
    </row>
    <row r="450" spans="1:13">
      <c r="A450" s="15" t="s">
        <v>87</v>
      </c>
      <c r="B450" s="4">
        <v>2010</v>
      </c>
      <c r="C450" s="6">
        <v>117452154.81999999</v>
      </c>
      <c r="D450" s="8">
        <f>SUMPRODUCT(N(Tabela3[PAPEL]=Tabela2[[#This Row],[Ativo]]),Tabela3[Total Ações])</f>
        <v>87289932</v>
      </c>
      <c r="E450" s="66">
        <f>(Tabela2[[#This Row],[Lucro Líquido]])/Tabela2[[#This Row],[Total Ações]]</f>
        <v>1.3455406841192177</v>
      </c>
      <c r="F450" s="66">
        <v>0.52</v>
      </c>
      <c r="G450" s="46">
        <f>IF(AND(Tabela2[[#This Row],[Dividendo / Ação]]&gt;0,Tabela2[[#This Row],[Lucro por ação]]&gt;0),Tabela2[[#This Row],[Dividendo / Ação]]/Tabela2[[#This Row],[Lucro por ação]],"")</f>
        <v>0.38646174444022008</v>
      </c>
      <c r="H450" s="6">
        <f>MAX(Tabela2[[#This Row],[Cotação 1]],Tabela2[[#This Row],[Cotação 2]])</f>
        <v>11.4</v>
      </c>
      <c r="I450" s="19">
        <f>IF(Tabela2[[#This Row],[Dividendo / Ação]]&gt;0,Tabela2[[#This Row],[Dividendo / Ação]]/Tabela2[[#This Row],[Cotação]],"")</f>
        <v>4.5614035087719301E-2</v>
      </c>
      <c r="J450" s="61">
        <f>SUMPRODUCT(N(Tabela1[Código]=Tabela2[[#This Row],[Ativo]]),Tabela1[Fechamento])</f>
        <v>11.4</v>
      </c>
      <c r="K450" s="61">
        <f>SUMPRODUCT(N(Tabela17[Código]=Tabela2[[#This Row],[Ativo]]),Tabela17[Fechamento])</f>
        <v>0</v>
      </c>
    </row>
    <row r="451" spans="1:13">
      <c r="A451" s="4" t="s">
        <v>469</v>
      </c>
      <c r="B451" s="4">
        <v>2012</v>
      </c>
      <c r="C451" s="6">
        <v>45071000</v>
      </c>
      <c r="D451" s="91">
        <f>SUMPRODUCT(N(Tabela3[PAPEL]=Tabela2[[#This Row],[Ativo]]),Tabela3[Total Ações])</f>
        <v>80041132</v>
      </c>
      <c r="E451" s="66">
        <f>(Tabela2[[#This Row],[Lucro Líquido]])/Tabela2[[#This Row],[Total Ações]]</f>
        <v>0.56309798317195214</v>
      </c>
      <c r="F451" s="66">
        <v>0.66</v>
      </c>
      <c r="G451" s="45">
        <f>IF(AND(Tabela2[[#This Row],[Dividendo / Ação]]&gt;0,Tabela2[[#This Row],[Lucro por ação]]&gt;0),Tabela2[[#This Row],[Dividendo / Ação]]/Tabela2[[#This Row],[Lucro por ação]],"")</f>
        <v>1.1720873093563489</v>
      </c>
      <c r="H451" s="61">
        <f>MAX(Tabela2[[#This Row],[Cotação 1]],Tabela2[[#This Row],[Cotação 2]])</f>
        <v>7.69</v>
      </c>
      <c r="I451" s="46">
        <f>IF(Tabela2[[#This Row],[Dividendo / Ação]]&gt;0,Tabela2[[#This Row],[Dividendo / Ação]]/Tabela2[[#This Row],[Cotação]],"")</f>
        <v>8.5825747724317294E-2</v>
      </c>
      <c r="J451" s="17">
        <f>SUMPRODUCT(N(Tabela1[Código]=Tabela2[[#This Row],[Ativo]]),Tabela1[Fechamento])</f>
        <v>0</v>
      </c>
      <c r="K451" s="17">
        <f>SUMPRODUCT(N(Tabela17[Código]=Tabela2[[#This Row],[Ativo]]),Tabela17[Fechamento])</f>
        <v>7.69</v>
      </c>
      <c r="M451" s="76">
        <f>170748202.7/D452</f>
        <v>2.1332557203213964</v>
      </c>
    </row>
    <row r="452" spans="1:13">
      <c r="A452" s="4" t="s">
        <v>469</v>
      </c>
      <c r="B452" s="4">
        <v>2011</v>
      </c>
      <c r="C452" s="6">
        <v>29451000</v>
      </c>
      <c r="D452" s="91">
        <f>SUMPRODUCT(N(Tabela3[PAPEL]=Tabela2[[#This Row],[Ativo]]),Tabela3[Total Ações])</f>
        <v>80041132</v>
      </c>
      <c r="E452" s="66">
        <f>(Tabela2[[#This Row],[Lucro Líquido]])/Tabela2[[#This Row],[Total Ações]]</f>
        <v>0.36794831937159511</v>
      </c>
      <c r="F452" s="66">
        <v>0.5</v>
      </c>
      <c r="G452" s="45">
        <f>IF(AND(Tabela2[[#This Row],[Dividendo / Ação]]&gt;0,Tabela2[[#This Row],[Lucro por ação]]&gt;0),Tabela2[[#This Row],[Dividendo / Ação]]/Tabela2[[#This Row],[Lucro por ação]],"")</f>
        <v>1.3588864894231094</v>
      </c>
      <c r="H452" s="61">
        <f>MAX(Tabela2[[#This Row],[Cotação 1]],Tabela2[[#This Row],[Cotação 2]])</f>
        <v>7.69</v>
      </c>
      <c r="I452" s="46">
        <f>IF(Tabela2[[#This Row],[Dividendo / Ação]]&gt;0,Tabela2[[#This Row],[Dividendo / Ação]]/Tabela2[[#This Row],[Cotação]],"")</f>
        <v>6.5019505851755519E-2</v>
      </c>
      <c r="J452" s="17">
        <f>SUMPRODUCT(N(Tabela1[Código]=Tabela2[[#This Row],[Ativo]]),Tabela1[Fechamento])</f>
        <v>0</v>
      </c>
      <c r="K452" s="17">
        <f>SUMPRODUCT(N(Tabela17[Código]=Tabela2[[#This Row],[Ativo]]),Tabela17[Fechamento])</f>
        <v>7.69</v>
      </c>
      <c r="M452" s="3">
        <f>0.12145*Tabela2[[#This Row],[Total Ações]]</f>
        <v>9720995.4813999999</v>
      </c>
    </row>
    <row r="453" spans="1:13">
      <c r="A453" s="4" t="s">
        <v>469</v>
      </c>
      <c r="B453" s="4">
        <v>2010</v>
      </c>
      <c r="C453" s="6">
        <v>23814000</v>
      </c>
      <c r="D453" s="91">
        <f>SUMPRODUCT(N(Tabela3[PAPEL]=Tabela2[[#This Row],[Ativo]]),Tabela3[Total Ações])</f>
        <v>80041132</v>
      </c>
      <c r="E453" s="66">
        <f>(Tabela2[[#This Row],[Lucro Líquido]])/Tabela2[[#This Row],[Total Ações]]</f>
        <v>0.29752202904876457</v>
      </c>
      <c r="F453" s="66">
        <v>0.41</v>
      </c>
      <c r="G453" s="45">
        <f>IF(AND(Tabela2[[#This Row],[Dividendo / Ação]]&gt;0,Tabela2[[#This Row],[Lucro por ação]]&gt;0),Tabela2[[#This Row],[Dividendo / Ação]]/Tabela2[[#This Row],[Lucro por ação]],"")</f>
        <v>1.37804921978668</v>
      </c>
      <c r="H453" s="61">
        <f>MAX(Tabela2[[#This Row],[Cotação 1]],Tabela2[[#This Row],[Cotação 2]])</f>
        <v>7.69</v>
      </c>
      <c r="I453" s="46">
        <f>IF(Tabela2[[#This Row],[Dividendo / Ação]]&gt;0,Tabela2[[#This Row],[Dividendo / Ação]]/Tabela2[[#This Row],[Cotação]],"")</f>
        <v>5.3315994798439528E-2</v>
      </c>
      <c r="J453" s="17">
        <f>SUMPRODUCT(N(Tabela1[Código]=Tabela2[[#This Row],[Ativo]]),Tabela1[Fechamento])</f>
        <v>0</v>
      </c>
      <c r="K453" s="17">
        <f>SUMPRODUCT(N(Tabela17[Código]=Tabela2[[#This Row],[Ativo]]),Tabela17[Fechamento])</f>
        <v>7.69</v>
      </c>
    </row>
    <row r="454" spans="1:13">
      <c r="A454" s="4" t="s">
        <v>272</v>
      </c>
      <c r="B454" s="4">
        <v>2012</v>
      </c>
      <c r="C454" s="6">
        <v>682580077</v>
      </c>
      <c r="D454" s="8">
        <f>SUMPRODUCT(N(Tabela3[PAPEL]=Tabela2[[#This Row],[Ativo]]),Tabela3[Total Ações])</f>
        <v>323293030</v>
      </c>
      <c r="E454" s="66">
        <f>(Tabela2[[#This Row],[Lucro Líquido]])/Tabela2[[#This Row],[Total Ações]]</f>
        <v>2.111335579984511</v>
      </c>
      <c r="F454" s="66">
        <v>1.05</v>
      </c>
      <c r="G454" s="46">
        <f>IF(AND(Tabela2[[#This Row],[Dividendo / Ação]]&gt;0,Tabela2[[#This Row],[Lucro por ação]]&gt;0),Tabela2[[#This Row],[Dividendo / Ação]]/Tabela2[[#This Row],[Lucro por ação]],"")</f>
        <v>0.49731554280333917</v>
      </c>
      <c r="H454" s="6">
        <f>MAX(Tabela2[[#This Row],[Cotação 1]],Tabela2[[#This Row],[Cotação 2]])</f>
        <v>28.89</v>
      </c>
      <c r="I454" s="19">
        <f>IF(Tabela2[[#This Row],[Dividendo / Ação]]&gt;0,Tabela2[[#This Row],[Dividendo / Ação]]/Tabela2[[#This Row],[Cotação]],"")</f>
        <v>3.6344755970924195E-2</v>
      </c>
      <c r="J454" s="61">
        <f>SUMPRODUCT(N(Tabela1[Código]=Tabela2[[#This Row],[Ativo]]),Tabela1[Fechamento])</f>
        <v>28.89</v>
      </c>
      <c r="K454" s="61">
        <f>SUMPRODUCT(N(Tabela17[Código]=Tabela2[[#This Row],[Ativo]]),Tabela17[Fechamento])</f>
        <v>0</v>
      </c>
    </row>
    <row r="455" spans="1:13">
      <c r="A455" s="4" t="s">
        <v>272</v>
      </c>
      <c r="B455" s="4">
        <v>2011</v>
      </c>
      <c r="C455" s="6">
        <v>580084000</v>
      </c>
      <c r="D455" s="8">
        <f>SUMPRODUCT(N(Tabela3[PAPEL]=Tabela2[[#This Row],[Ativo]]),Tabela3[Total Ações])</f>
        <v>323293030</v>
      </c>
      <c r="E455" s="66">
        <f>(Tabela2[[#This Row],[Lucro Líquido]])/Tabela2[[#This Row],[Total Ações]]</f>
        <v>1.7942978851106068</v>
      </c>
      <c r="F455" s="66">
        <v>0.84</v>
      </c>
      <c r="G455" s="46">
        <f>IF(AND(Tabela2[[#This Row],[Dividendo / Ação]]&gt;0,Tabela2[[#This Row],[Lucro por ação]]&gt;0),Tabela2[[#This Row],[Dividendo / Ação]]/Tabela2[[#This Row],[Lucro por ação]],"")</f>
        <v>0.46814969073444535</v>
      </c>
      <c r="H455" s="6">
        <f>MAX(Tabela2[[#This Row],[Cotação 1]],Tabela2[[#This Row],[Cotação 2]])</f>
        <v>28.89</v>
      </c>
      <c r="I455" s="19">
        <f>IF(Tabela2[[#This Row],[Dividendo / Ação]]&gt;0,Tabela2[[#This Row],[Dividendo / Ação]]/Tabela2[[#This Row],[Cotação]],"")</f>
        <v>2.9075804776739354E-2</v>
      </c>
      <c r="J455" s="61">
        <f>SUMPRODUCT(N(Tabela1[Código]=Tabela2[[#This Row],[Ativo]]),Tabela1[Fechamento])</f>
        <v>28.89</v>
      </c>
      <c r="K455" s="61">
        <f>SUMPRODUCT(N(Tabela17[Código]=Tabela2[[#This Row],[Ativo]]),Tabela17[Fechamento])</f>
        <v>0</v>
      </c>
    </row>
    <row r="456" spans="1:13">
      <c r="A456" s="4" t="s">
        <v>272</v>
      </c>
      <c r="B456" s="4">
        <v>2010</v>
      </c>
      <c r="C456" s="6">
        <v>623912000</v>
      </c>
      <c r="D456" s="8">
        <f>SUMPRODUCT(N(Tabela3[PAPEL]=Tabela2[[#This Row],[Ativo]]),Tabela3[Total Ações])</f>
        <v>323293030</v>
      </c>
      <c r="E456" s="66">
        <f>(Tabela2[[#This Row],[Lucro Líquido]])/Tabela2[[#This Row],[Total Ações]]</f>
        <v>1.9298652989827836</v>
      </c>
      <c r="F456" s="66">
        <v>0.72</v>
      </c>
      <c r="G456" s="46">
        <f>IF(AND(Tabela2[[#This Row],[Dividendo / Ação]]&gt;0,Tabela2[[#This Row],[Lucro por ação]]&gt;0),Tabela2[[#This Row],[Dividendo / Ação]]/Tabela2[[#This Row],[Lucro por ação]],"")</f>
        <v>0.37308303350472499</v>
      </c>
      <c r="H456" s="6">
        <f>MAX(Tabela2[[#This Row],[Cotação 1]],Tabela2[[#This Row],[Cotação 2]])</f>
        <v>28.89</v>
      </c>
      <c r="I456" s="19">
        <f>IF(Tabela2[[#This Row],[Dividendo / Ação]]&gt;0,Tabela2[[#This Row],[Dividendo / Ação]]/Tabela2[[#This Row],[Cotação]],"")</f>
        <v>2.4922118380062305E-2</v>
      </c>
      <c r="J456" s="61">
        <f>SUMPRODUCT(N(Tabela1[Código]=Tabela2[[#This Row],[Ativo]]),Tabela1[Fechamento])</f>
        <v>28.89</v>
      </c>
      <c r="K456" s="61">
        <f>SUMPRODUCT(N(Tabela17[Código]=Tabela2[[#This Row],[Ativo]]),Tabela17[Fechamento])</f>
        <v>0</v>
      </c>
    </row>
    <row r="457" spans="1:13">
      <c r="A457" s="4" t="s">
        <v>272</v>
      </c>
      <c r="B457" s="4">
        <v>2009</v>
      </c>
      <c r="C457" s="6">
        <v>328416000</v>
      </c>
      <c r="D457" s="8">
        <f>SUMPRODUCT(N(Tabela3[PAPEL]=Tabela2[[#This Row],[Ativo]]),Tabela3[Total Ações])</f>
        <v>323293030</v>
      </c>
      <c r="E457" s="66">
        <f>(Tabela2[[#This Row],[Lucro Líquido]])/Tabela2[[#This Row],[Total Ações]]</f>
        <v>1.0158462123356016</v>
      </c>
      <c r="F457" s="66">
        <v>0.4</v>
      </c>
      <c r="G457" s="46">
        <f>IF(AND(Tabela2[[#This Row],[Dividendo / Ação]]&gt;0,Tabela2[[#This Row],[Lucro por ação]]&gt;0),Tabela2[[#This Row],[Dividendo / Ação]]/Tabela2[[#This Row],[Lucro por ação]],"")</f>
        <v>0.39376038926239892</v>
      </c>
      <c r="H457" s="6">
        <f>MAX(Tabela2[[#This Row],[Cotação 1]],Tabela2[[#This Row],[Cotação 2]])</f>
        <v>28.89</v>
      </c>
      <c r="I457" s="19">
        <f>IF(Tabela2[[#This Row],[Dividendo / Ação]]&gt;0,Tabela2[[#This Row],[Dividendo / Ação]]/Tabela2[[#This Row],[Cotação]],"")</f>
        <v>1.3845621322256836E-2</v>
      </c>
      <c r="J457" s="61">
        <f>SUMPRODUCT(N(Tabela1[Código]=Tabela2[[#This Row],[Ativo]]),Tabela1[Fechamento])</f>
        <v>28.89</v>
      </c>
      <c r="K457" s="61">
        <f>SUMPRODUCT(N(Tabela17[Código]=Tabela2[[#This Row],[Ativo]]),Tabela17[Fechamento])</f>
        <v>0</v>
      </c>
    </row>
    <row r="458" spans="1:13">
      <c r="A458" s="4" t="s">
        <v>455</v>
      </c>
      <c r="B458" s="4">
        <v>2012</v>
      </c>
      <c r="C458" s="6">
        <v>313688976.75999999</v>
      </c>
      <c r="D458" s="91">
        <f>SUMPRODUCT(N(Tabela3[PAPEL]=Tabela2[[#This Row],[Ativo]]),Tabela3[Total Ações])</f>
        <v>17887362</v>
      </c>
      <c r="E458" s="66">
        <f>(Tabela2[[#This Row],[Lucro Líquido]])/Tabela2[[#This Row],[Total Ações]]</f>
        <v>17.53690548444203</v>
      </c>
      <c r="F458" s="66">
        <v>5.0837892499999997</v>
      </c>
      <c r="G458" s="45">
        <f>IF(AND(Tabela2[[#This Row],[Dividendo / Ação]]&gt;0,Tabela2[[#This Row],[Lucro por ação]]&gt;0),Tabela2[[#This Row],[Dividendo / Ação]]/Tabela2[[#This Row],[Lucro por ação]],"")</f>
        <v>0.28989089634486048</v>
      </c>
      <c r="H458" s="61">
        <f>MAX(Tabela2[[#This Row],[Cotação 1]],Tabela2[[#This Row],[Cotação 2]])</f>
        <v>56.6</v>
      </c>
      <c r="I458" s="46">
        <f>IF(Tabela2[[#This Row],[Dividendo / Ação]]&gt;0,Tabela2[[#This Row],[Dividendo / Ação]]/Tabela2[[#This Row],[Cotação]],"")</f>
        <v>8.9819598056537095E-2</v>
      </c>
      <c r="J458" s="17">
        <f>SUMPRODUCT(N(Tabela1[Código]=Tabela2[[#This Row],[Ativo]]),Tabela1[Fechamento])</f>
        <v>0</v>
      </c>
      <c r="K458" s="17">
        <f>SUMPRODUCT(N(Tabela17[Código]=Tabela2[[#This Row],[Ativo]]),Tabela17[Fechamento])</f>
        <v>56.6</v>
      </c>
    </row>
    <row r="459" spans="1:13">
      <c r="A459" s="4" t="s">
        <v>455</v>
      </c>
      <c r="B459" s="4">
        <v>2011</v>
      </c>
      <c r="C459" s="6">
        <v>96465537.109999999</v>
      </c>
      <c r="D459" s="91">
        <f>SUMPRODUCT(N(Tabela3[PAPEL]=Tabela2[[#This Row],[Ativo]]),Tabela3[Total Ações])</f>
        <v>17887362</v>
      </c>
      <c r="E459" s="66">
        <f>(Tabela2[[#This Row],[Lucro Líquido]])/Tabela2[[#This Row],[Total Ações]]</f>
        <v>5.392943750453532</v>
      </c>
      <c r="F459" s="66">
        <v>2.3852000000000002</v>
      </c>
      <c r="G459" s="45">
        <f>IF(AND(Tabela2[[#This Row],[Dividendo / Ação]]&gt;0,Tabela2[[#This Row],[Lucro por ação]]&gt;0),Tabela2[[#This Row],[Dividendo / Ação]]/Tabela2[[#This Row],[Lucro por ação]],"")</f>
        <v>0.44228163881728072</v>
      </c>
      <c r="H459" s="61">
        <f>MAX(Tabela2[[#This Row],[Cotação 1]],Tabela2[[#This Row],[Cotação 2]])</f>
        <v>56.6</v>
      </c>
      <c r="I459" s="46">
        <f>IF(Tabela2[[#This Row],[Dividendo / Ação]]&gt;0,Tabela2[[#This Row],[Dividendo / Ação]]/Tabela2[[#This Row],[Cotação]],"")</f>
        <v>4.2141342756183746E-2</v>
      </c>
      <c r="J459" s="17">
        <f>SUMPRODUCT(N(Tabela1[Código]=Tabela2[[#This Row],[Ativo]]),Tabela1[Fechamento])</f>
        <v>0</v>
      </c>
      <c r="K459" s="17">
        <f>SUMPRODUCT(N(Tabela17[Código]=Tabela2[[#This Row],[Ativo]]),Tabela17[Fechamento])</f>
        <v>56.6</v>
      </c>
    </row>
    <row r="460" spans="1:13">
      <c r="A460" s="4" t="s">
        <v>455</v>
      </c>
      <c r="B460" s="4">
        <v>2010</v>
      </c>
      <c r="C460" s="6">
        <v>86203563.489999995</v>
      </c>
      <c r="D460" s="91">
        <f>SUMPRODUCT(N(Tabela3[PAPEL]=Tabela2[[#This Row],[Ativo]]),Tabela3[Total Ações])</f>
        <v>17887362</v>
      </c>
      <c r="E460" s="66">
        <f>(Tabela2[[#This Row],[Lucro Líquido]])/Tabela2[[#This Row],[Total Ações]]</f>
        <v>4.8192440836161303</v>
      </c>
      <c r="F460" s="66">
        <v>1.2701</v>
      </c>
      <c r="G460" s="45">
        <f>IF(AND(Tabela2[[#This Row],[Dividendo / Ação]]&gt;0,Tabela2[[#This Row],[Lucro por ação]]&gt;0),Tabela2[[#This Row],[Dividendo / Ação]]/Tabela2[[#This Row],[Lucro por ação]],"")</f>
        <v>0.26354755599906815</v>
      </c>
      <c r="H460" s="61">
        <f>MAX(Tabela2[[#This Row],[Cotação 1]],Tabela2[[#This Row],[Cotação 2]])</f>
        <v>56.6</v>
      </c>
      <c r="I460" s="46">
        <f>IF(Tabela2[[#This Row],[Dividendo / Ação]]&gt;0,Tabela2[[#This Row],[Dividendo / Ação]]/Tabela2[[#This Row],[Cotação]],"")</f>
        <v>2.2439929328621908E-2</v>
      </c>
      <c r="J460" s="17">
        <f>SUMPRODUCT(N(Tabela1[Código]=Tabela2[[#This Row],[Ativo]]),Tabela1[Fechamento])</f>
        <v>0</v>
      </c>
      <c r="K460" s="17">
        <f>SUMPRODUCT(N(Tabela17[Código]=Tabela2[[#This Row],[Ativo]]),Tabela17[Fechamento])</f>
        <v>56.6</v>
      </c>
    </row>
    <row r="461" spans="1:13">
      <c r="A461" s="4" t="s">
        <v>455</v>
      </c>
      <c r="B461" s="4">
        <v>2009</v>
      </c>
      <c r="C461" s="6">
        <v>74229898.859999999</v>
      </c>
      <c r="D461" s="91">
        <f>SUMPRODUCT(N(Tabela3[PAPEL]=Tabela2[[#This Row],[Ativo]]),Tabela3[Total Ações])</f>
        <v>17887362</v>
      </c>
      <c r="E461" s="66">
        <f>(Tabela2[[#This Row],[Lucro Líquido]])/Tabela2[[#This Row],[Total Ações]]</f>
        <v>4.1498516583943452</v>
      </c>
      <c r="F461" s="66">
        <v>0.79869999999999997</v>
      </c>
      <c r="G461" s="45">
        <f>IF(AND(Tabela2[[#This Row],[Dividendo / Ação]]&gt;0,Tabela2[[#This Row],[Lucro por ação]]&gt;0),Tabela2[[#This Row],[Dividendo / Ação]]/Tabela2[[#This Row],[Lucro por ação]],"")</f>
        <v>0.1924647109697005</v>
      </c>
      <c r="H461" s="61">
        <f>MAX(Tabela2[[#This Row],[Cotação 1]],Tabela2[[#This Row],[Cotação 2]])</f>
        <v>56.6</v>
      </c>
      <c r="I461" s="46">
        <f>IF(Tabela2[[#This Row],[Dividendo / Ação]]&gt;0,Tabela2[[#This Row],[Dividendo / Ação]]/Tabela2[[#This Row],[Cotação]],"")</f>
        <v>1.4111307420494698E-2</v>
      </c>
      <c r="J461" s="17">
        <f>SUMPRODUCT(N(Tabela1[Código]=Tabela2[[#This Row],[Ativo]]),Tabela1[Fechamento])</f>
        <v>0</v>
      </c>
      <c r="K461" s="17">
        <f>SUMPRODUCT(N(Tabela17[Código]=Tabela2[[#This Row],[Ativo]]),Tabela17[Fechamento])</f>
        <v>56.6</v>
      </c>
    </row>
    <row r="462" spans="1:13">
      <c r="A462" s="4" t="s">
        <v>299</v>
      </c>
      <c r="B462" s="4">
        <v>2012</v>
      </c>
      <c r="C462" s="6">
        <v>82468112.400000006</v>
      </c>
      <c r="D462" s="8">
        <f>SUMPRODUCT(N(Tabela3[PAPEL]=Tabela2[[#This Row],[Ativo]]),Tabela3[Total Ações])</f>
        <v>265806905</v>
      </c>
      <c r="E462" s="66">
        <f>(Tabela2[[#This Row],[Lucro Líquido]])/Tabela2[[#This Row],[Total Ações]]</f>
        <v>0.31025571890241155</v>
      </c>
      <c r="F462" s="66">
        <v>3.0000000000000001E-6</v>
      </c>
      <c r="G462" s="46">
        <f>IF(AND(Tabela2[[#This Row],[Dividendo / Ação]]&gt;0,Tabela2[[#This Row],[Lucro por ação]]&gt;0),Tabela2[[#This Row],[Dividendo / Ação]]/Tabela2[[#This Row],[Lucro por ação]],"")</f>
        <v>9.6694430343236506E-6</v>
      </c>
      <c r="H462" s="6">
        <f>MAX(Tabela2[[#This Row],[Cotação 1]],Tabela2[[#This Row],[Cotação 2]])</f>
        <v>9.36</v>
      </c>
      <c r="I462" s="19">
        <f>IF(Tabela2[[#This Row],[Dividendo / Ação]]&gt;0,Tabela2[[#This Row],[Dividendo / Ação]]/Tabela2[[#This Row],[Cotação]],"")</f>
        <v>3.2051282051282055E-7</v>
      </c>
      <c r="J462" s="61">
        <f>SUMPRODUCT(N(Tabela1[Código]=Tabela2[[#This Row],[Ativo]]),Tabela1[Fechamento])</f>
        <v>0</v>
      </c>
      <c r="K462" s="61">
        <f>SUMPRODUCT(N(Tabela17[Código]=Tabela2[[#This Row],[Ativo]]),Tabela17[Fechamento])</f>
        <v>9.36</v>
      </c>
    </row>
    <row r="463" spans="1:13">
      <c r="A463" s="4" t="s">
        <v>299</v>
      </c>
      <c r="B463" s="4">
        <v>2011</v>
      </c>
      <c r="C463" s="6">
        <v>92137357.700000003</v>
      </c>
      <c r="D463" s="8">
        <f>SUMPRODUCT(N(Tabela3[PAPEL]=Tabela2[[#This Row],[Ativo]]),Tabela3[Total Ações])</f>
        <v>265806905</v>
      </c>
      <c r="E463" s="66">
        <f>(Tabela2[[#This Row],[Lucro Líquido]])/Tabela2[[#This Row],[Total Ações]]</f>
        <v>0.34663267193905289</v>
      </c>
      <c r="F463" s="66">
        <v>3.0000000000000001E-6</v>
      </c>
      <c r="G463" s="46">
        <f>IF(AND(Tabela2[[#This Row],[Dividendo / Ação]]&gt;0,Tabela2[[#This Row],[Lucro por ação]]&gt;0),Tabela2[[#This Row],[Dividendo / Ação]]/Tabela2[[#This Row],[Lucro por ação]],"")</f>
        <v>8.6546948480594434E-6</v>
      </c>
      <c r="H463" s="6">
        <f>MAX(Tabela2[[#This Row],[Cotação 1]],Tabela2[[#This Row],[Cotação 2]])</f>
        <v>9.36</v>
      </c>
      <c r="I463" s="19">
        <f>IF(Tabela2[[#This Row],[Dividendo / Ação]]&gt;0,Tabela2[[#This Row],[Dividendo / Ação]]/Tabela2[[#This Row],[Cotação]],"")</f>
        <v>3.2051282051282055E-7</v>
      </c>
      <c r="J463" s="61">
        <f>SUMPRODUCT(N(Tabela1[Código]=Tabela2[[#This Row],[Ativo]]),Tabela1[Fechamento])</f>
        <v>0</v>
      </c>
      <c r="K463" s="61">
        <f>SUMPRODUCT(N(Tabela17[Código]=Tabela2[[#This Row],[Ativo]]),Tabela17[Fechamento])</f>
        <v>9.36</v>
      </c>
    </row>
    <row r="464" spans="1:13">
      <c r="A464" s="4" t="s">
        <v>299</v>
      </c>
      <c r="B464" s="4">
        <v>2010</v>
      </c>
      <c r="C464" s="6">
        <v>35594641.18</v>
      </c>
      <c r="D464" s="8">
        <f>SUMPRODUCT(N(Tabela3[PAPEL]=Tabela2[[#This Row],[Ativo]]),Tabela3[Total Ações])</f>
        <v>265806905</v>
      </c>
      <c r="E464" s="66">
        <f>(Tabela2[[#This Row],[Lucro Líquido]])/Tabela2[[#This Row],[Total Ações]]</f>
        <v>0.13391164981210701</v>
      </c>
      <c r="F464" s="66">
        <v>0.18173600000000001</v>
      </c>
      <c r="G464" s="46">
        <f>IF(AND(Tabela2[[#This Row],[Dividendo / Ação]]&gt;0,Tabela2[[#This Row],[Lucro por ação]]&gt;0),Tabela2[[#This Row],[Dividendo / Ação]]/Tabela2[[#This Row],[Lucro por ação]],"")</f>
        <v>1.3571336045444582</v>
      </c>
      <c r="H464" s="6">
        <f>MAX(Tabela2[[#This Row],[Cotação 1]],Tabela2[[#This Row],[Cotação 2]])</f>
        <v>9.36</v>
      </c>
      <c r="I464" s="19">
        <f>IF(Tabela2[[#This Row],[Dividendo / Ação]]&gt;0,Tabela2[[#This Row],[Dividendo / Ação]]/Tabela2[[#This Row],[Cotação]],"")</f>
        <v>1.9416239316239318E-2</v>
      </c>
      <c r="J464" s="61">
        <f>SUMPRODUCT(N(Tabela1[Código]=Tabela2[[#This Row],[Ativo]]),Tabela1[Fechamento])</f>
        <v>0</v>
      </c>
      <c r="K464" s="61">
        <f>SUMPRODUCT(N(Tabela17[Código]=Tabela2[[#This Row],[Ativo]]),Tabela17[Fechamento])</f>
        <v>9.36</v>
      </c>
    </row>
    <row r="465" spans="1:13">
      <c r="A465" s="4" t="s">
        <v>207</v>
      </c>
      <c r="B465" s="4">
        <v>2012</v>
      </c>
      <c r="C465" s="6">
        <v>26381000</v>
      </c>
      <c r="D465" s="8">
        <f>SUMPRODUCT(N(Tabela3[PAPEL]=Tabela2[[#This Row],[Ativo]]),Tabela3[Total Ações])</f>
        <v>166720235</v>
      </c>
      <c r="E465" s="66">
        <f>(Tabela2[[#This Row],[Lucro Líquido]])/Tabela2[[#This Row],[Total Ações]]</f>
        <v>0.15823514164312449</v>
      </c>
      <c r="F465" s="66">
        <v>6.1899999999999997E-2</v>
      </c>
      <c r="G465" s="46">
        <f>IF(AND(Tabela2[[#This Row],[Dividendo / Ação]]&gt;0,Tabela2[[#This Row],[Lucro por ação]]&gt;0),Tabela2[[#This Row],[Dividendo / Ação]]/Tabela2[[#This Row],[Lucro por ação]],"")</f>
        <v>0.39118996802623096</v>
      </c>
      <c r="H465" s="6">
        <f>MAX(Tabela2[[#This Row],[Cotação 1]],Tabela2[[#This Row],[Cotação 2]])</f>
        <v>3.2</v>
      </c>
      <c r="I465" s="19">
        <f>IF(Tabela2[[#This Row],[Dividendo / Ação]]&gt;0,Tabela2[[#This Row],[Dividendo / Ação]]/Tabela2[[#This Row],[Cotação]],"")</f>
        <v>1.9343749999999996E-2</v>
      </c>
      <c r="J465" s="61">
        <f>SUMPRODUCT(N(Tabela1[Código]=Tabela2[[#This Row],[Ativo]]),Tabela1[Fechamento])</f>
        <v>3.2</v>
      </c>
      <c r="K465" s="61">
        <f>SUMPRODUCT(N(Tabela17[Código]=Tabela2[[#This Row],[Ativo]]),Tabela17[Fechamento])</f>
        <v>0</v>
      </c>
    </row>
    <row r="466" spans="1:13">
      <c r="A466" s="4" t="s">
        <v>207</v>
      </c>
      <c r="B466" s="3">
        <v>2011</v>
      </c>
      <c r="C466" s="5">
        <v>9354000</v>
      </c>
      <c r="D466" s="62">
        <f>SUMPRODUCT(N(Tabela3[PAPEL]=Tabela2[[#This Row],[Ativo]]),Tabela3[Total Ações])</f>
        <v>166720235</v>
      </c>
      <c r="E466" s="65">
        <f>(Tabela2[[#This Row],[Lucro Líquido]])/Tabela2[[#This Row],[Total Ações]]</f>
        <v>5.610596698115259E-2</v>
      </c>
      <c r="F466" s="65">
        <v>6.0350000000000001E-2</v>
      </c>
      <c r="G466" s="22">
        <f>IF(AND(Tabela2[[#This Row],[Dividendo / Ação]]&gt;0,Tabela2[[#This Row],[Lucro por ação]]&gt;0),Tabela2[[#This Row],[Dividendo / Ação]]/Tabela2[[#This Row],[Lucro por ação]],"")</f>
        <v>1.0756431668002993</v>
      </c>
      <c r="H466" s="5">
        <f>MAX(Tabela2[[#This Row],[Cotação 1]],Tabela2[[#This Row],[Cotação 2]])</f>
        <v>3.2</v>
      </c>
      <c r="I466" s="18">
        <f>IF(Tabela2[[#This Row],[Dividendo / Ação]]&gt;0,Tabela2[[#This Row],[Dividendo / Ação]]/Tabela2[[#This Row],[Cotação]],"")</f>
        <v>1.8859374999999998E-2</v>
      </c>
      <c r="J466" s="60">
        <f>SUMPRODUCT(N(Tabela1[Código]=Tabela2[[#This Row],[Ativo]]),Tabela1[Fechamento])</f>
        <v>3.2</v>
      </c>
      <c r="K466" s="60">
        <f>SUMPRODUCT(N(Tabela17[Código]=Tabela2[[#This Row],[Ativo]]),Tabela17[Fechamento])</f>
        <v>0</v>
      </c>
    </row>
    <row r="467" spans="1:13">
      <c r="A467" s="4" t="s">
        <v>207</v>
      </c>
      <c r="B467" s="3">
        <v>2010</v>
      </c>
      <c r="C467" s="5">
        <v>34360000</v>
      </c>
      <c r="D467" s="62">
        <f>SUMPRODUCT(N(Tabela3[PAPEL]=Tabela2[[#This Row],[Ativo]]),Tabela3[Total Ações])</f>
        <v>166720235</v>
      </c>
      <c r="E467" s="65">
        <f>(Tabela2[[#This Row],[Lucro Líquido]])/Tabela2[[#This Row],[Total Ações]]</f>
        <v>0.20609375940478972</v>
      </c>
      <c r="F467" s="65">
        <v>5.9830000000000001E-2</v>
      </c>
      <c r="G467" s="22">
        <f>IF(AND(Tabela2[[#This Row],[Dividendo / Ação]]&gt;0,Tabela2[[#This Row],[Lucro por ação]]&gt;0),Tabela2[[#This Row],[Dividendo / Ação]]/Tabela2[[#This Row],[Lucro por ação]],"")</f>
        <v>0.29030476309807918</v>
      </c>
      <c r="H467" s="5">
        <f>MAX(Tabela2[[#This Row],[Cotação 1]],Tabela2[[#This Row],[Cotação 2]])</f>
        <v>3.2</v>
      </c>
      <c r="I467" s="18">
        <f>IF(Tabela2[[#This Row],[Dividendo / Ação]]&gt;0,Tabela2[[#This Row],[Dividendo / Ação]]/Tabela2[[#This Row],[Cotação]],"")</f>
        <v>1.8696874999999998E-2</v>
      </c>
      <c r="J467" s="60">
        <f>SUMPRODUCT(N(Tabela1[Código]=Tabela2[[#This Row],[Ativo]]),Tabela1[Fechamento])</f>
        <v>3.2</v>
      </c>
      <c r="K467" s="60">
        <f>SUMPRODUCT(N(Tabela17[Código]=Tabela2[[#This Row],[Ativo]]),Tabela17[Fechamento])</f>
        <v>0</v>
      </c>
    </row>
    <row r="468" spans="1:13">
      <c r="A468" s="4" t="s">
        <v>208</v>
      </c>
      <c r="B468" s="4">
        <v>2012</v>
      </c>
      <c r="C468" s="6">
        <v>26381000</v>
      </c>
      <c r="D468" s="8">
        <f>SUMPRODUCT(N(Tabela3[PAPEL]=Tabela2[[#This Row],[Ativo]]),Tabela3[Total Ações])</f>
        <v>166720235</v>
      </c>
      <c r="E468" s="66">
        <f>(Tabela2[[#This Row],[Lucro Líquido]])/Tabela2[[#This Row],[Total Ações]]</f>
        <v>0.15823514164312449</v>
      </c>
      <c r="F468" s="66">
        <v>6.1899999999999997E-2</v>
      </c>
      <c r="G468" s="46">
        <f>IF(AND(Tabela2[[#This Row],[Dividendo / Ação]]&gt;0,Tabela2[[#This Row],[Lucro por ação]]&gt;0),Tabela2[[#This Row],[Dividendo / Ação]]/Tabela2[[#This Row],[Lucro por ação]],"")</f>
        <v>0.39118996802623096</v>
      </c>
      <c r="H468" s="6">
        <f>MAX(Tabela2[[#This Row],[Cotação 1]],Tabela2[[#This Row],[Cotação 2]])</f>
        <v>3.24</v>
      </c>
      <c r="I468" s="19">
        <f>IF(Tabela2[[#This Row],[Dividendo / Ação]]&gt;0,Tabela2[[#This Row],[Dividendo / Ação]]/Tabela2[[#This Row],[Cotação]],"")</f>
        <v>1.9104938271604935E-2</v>
      </c>
      <c r="J468" s="61">
        <f>SUMPRODUCT(N(Tabela1[Código]=Tabela2[[#This Row],[Ativo]]),Tabela1[Fechamento])</f>
        <v>3.24</v>
      </c>
      <c r="K468" s="61">
        <f>SUMPRODUCT(N(Tabela17[Código]=Tabela2[[#This Row],[Ativo]]),Tabela17[Fechamento])</f>
        <v>0</v>
      </c>
      <c r="M468" s="75"/>
    </row>
    <row r="469" spans="1:13">
      <c r="A469" s="4" t="s">
        <v>208</v>
      </c>
      <c r="B469" s="4">
        <v>2011</v>
      </c>
      <c r="C469" s="5">
        <v>9354000</v>
      </c>
      <c r="D469" s="8">
        <f>SUMPRODUCT(N(Tabela3[PAPEL]=Tabela2[[#This Row],[Ativo]]),Tabela3[Total Ações])</f>
        <v>166720235</v>
      </c>
      <c r="E469" s="66">
        <f>(Tabela2[[#This Row],[Lucro Líquido]])/Tabela2[[#This Row],[Total Ações]]</f>
        <v>5.610596698115259E-2</v>
      </c>
      <c r="F469" s="66">
        <v>6.6379999999999995E-2</v>
      </c>
      <c r="G469" s="46">
        <f>IF(AND(Tabela2[[#This Row],[Dividendo / Ação]]&gt;0,Tabela2[[#This Row],[Lucro por ação]]&gt;0),Tabela2[[#This Row],[Dividendo / Ação]]/Tabela2[[#This Row],[Lucro por ação]],"")</f>
        <v>1.1831183663994012</v>
      </c>
      <c r="H469" s="6">
        <f>MAX(Tabela2[[#This Row],[Cotação 1]],Tabela2[[#This Row],[Cotação 2]])</f>
        <v>3.24</v>
      </c>
      <c r="I469" s="19">
        <f>IF(Tabela2[[#This Row],[Dividendo / Ação]]&gt;0,Tabela2[[#This Row],[Dividendo / Ação]]/Tabela2[[#This Row],[Cotação]],"")</f>
        <v>2.0487654320987651E-2</v>
      </c>
      <c r="J469" s="61">
        <f>SUMPRODUCT(N(Tabela1[Código]=Tabela2[[#This Row],[Ativo]]),Tabela1[Fechamento])</f>
        <v>3.24</v>
      </c>
      <c r="K469" s="61">
        <f>SUMPRODUCT(N(Tabela17[Código]=Tabela2[[#This Row],[Ativo]]),Tabela17[Fechamento])</f>
        <v>0</v>
      </c>
    </row>
    <row r="470" spans="1:13">
      <c r="A470" s="4" t="s">
        <v>208</v>
      </c>
      <c r="B470" s="4">
        <v>2010</v>
      </c>
      <c r="C470" s="5">
        <v>34360000</v>
      </c>
      <c r="D470" s="8">
        <f>SUMPRODUCT(N(Tabela3[PAPEL]=Tabela2[[#This Row],[Ativo]]),Tabela3[Total Ações])</f>
        <v>166720235</v>
      </c>
      <c r="E470" s="66">
        <f>(Tabela2[[#This Row],[Lucro Líquido]])/Tabela2[[#This Row],[Total Ações]]</f>
        <v>0.20609375940478972</v>
      </c>
      <c r="F470" s="66">
        <v>6.5809999999999994E-2</v>
      </c>
      <c r="G470" s="46">
        <f>IF(AND(Tabela2[[#This Row],[Dividendo / Ação]]&gt;0,Tabela2[[#This Row],[Lucro por ação]]&gt;0),Tabela2[[#This Row],[Dividendo / Ação]]/Tabela2[[#This Row],[Lucro por ação]],"")</f>
        <v>0.31932068292636784</v>
      </c>
      <c r="H470" s="6">
        <f>MAX(Tabela2[[#This Row],[Cotação 1]],Tabela2[[#This Row],[Cotação 2]])</f>
        <v>3.24</v>
      </c>
      <c r="I470" s="19">
        <f>IF(Tabela2[[#This Row],[Dividendo / Ação]]&gt;0,Tabela2[[#This Row],[Dividendo / Ação]]/Tabela2[[#This Row],[Cotação]],"")</f>
        <v>2.0311728395061724E-2</v>
      </c>
      <c r="J470" s="61">
        <f>SUMPRODUCT(N(Tabela1[Código]=Tabela2[[#This Row],[Ativo]]),Tabela1[Fechamento])</f>
        <v>3.24</v>
      </c>
      <c r="K470" s="61">
        <f>SUMPRODUCT(N(Tabela17[Código]=Tabela2[[#This Row],[Ativo]]),Tabela17[Fechamento])</f>
        <v>0</v>
      </c>
    </row>
    <row r="471" spans="1:13">
      <c r="A471" s="4" t="s">
        <v>68</v>
      </c>
      <c r="B471" s="4">
        <v>2012</v>
      </c>
      <c r="C471" s="6">
        <v>50944000</v>
      </c>
      <c r="D471" s="8">
        <f>SUMPRODUCT(N(Tabela3[PAPEL]=Tabela2[[#This Row],[Ativo]]),Tabela3[Total Ações])</f>
        <v>108480828</v>
      </c>
      <c r="E471" s="64">
        <f>(Tabela2[[#This Row],[Lucro Líquido]])/Tabela2[[#This Row],[Total Ações]]</f>
        <v>0.46961293473903054</v>
      </c>
      <c r="F471" s="64">
        <v>0.25598361800000002</v>
      </c>
      <c r="G471" s="18">
        <f>IF(AND(Tabela2[[#This Row],[Dividendo / Ação]]&gt;0,Tabela2[[#This Row],[Lucro por ação]]&gt;0),Tabela2[[#This Row],[Dividendo / Ação]]/Tabela2[[#This Row],[Lucro por ação]],"")</f>
        <v>0.5450949048970577</v>
      </c>
      <c r="H471" s="5">
        <f>MAX(Tabela2[[#This Row],[Cotação 1]],Tabela2[[#This Row],[Cotação 2]])</f>
        <v>5.95</v>
      </c>
      <c r="I471" s="18">
        <f>IF(Tabela2[[#This Row],[Dividendo / Ação]]&gt;0,Tabela2[[#This Row],[Dividendo / Ação]]/Tabela2[[#This Row],[Cotação]],"")</f>
        <v>4.3022456806722689E-2</v>
      </c>
      <c r="J471" s="60">
        <f>SUMPRODUCT(N(Tabela1[Código]=Tabela2[[#This Row],[Ativo]]),Tabela1[Fechamento])</f>
        <v>5.95</v>
      </c>
      <c r="K471" s="60">
        <f>SUMPRODUCT(N(Tabela17[Código]=Tabela2[[#This Row],[Ativo]]),Tabela17[Fechamento])</f>
        <v>0</v>
      </c>
    </row>
    <row r="472" spans="1:13">
      <c r="A472" s="4" t="s">
        <v>68</v>
      </c>
      <c r="B472" s="4">
        <v>2011</v>
      </c>
      <c r="C472" s="6">
        <v>42494000</v>
      </c>
      <c r="D472" s="8">
        <f>SUMPRODUCT(N(Tabela3[PAPEL]=Tabela2[[#This Row],[Ativo]]),Tabela3[Total Ações])</f>
        <v>108480828</v>
      </c>
      <c r="E472" s="64">
        <f>(Tabela2[[#This Row],[Lucro Líquido]])/Tabela2[[#This Row],[Total Ações]]</f>
        <v>0.39171898651068554</v>
      </c>
      <c r="F472" s="64">
        <v>0.36250183699999999</v>
      </c>
      <c r="G472" s="19">
        <f>IF(AND(Tabela2[[#This Row],[Dividendo / Ação]]&gt;0,Tabela2[[#This Row],[Lucro por ação]]&gt;0),Tabela2[[#This Row],[Dividendo / Ação]]/Tabela2[[#This Row],[Lucro por ação]],"")</f>
        <v>0.9254129860517023</v>
      </c>
      <c r="H472" s="6">
        <f>MAX(Tabela2[[#This Row],[Cotação 1]],Tabela2[[#This Row],[Cotação 2]])</f>
        <v>5.95</v>
      </c>
      <c r="I472" s="18">
        <f>IF(Tabela2[[#This Row],[Dividendo / Ação]]&gt;0,Tabela2[[#This Row],[Dividendo / Ação]]/Tabela2[[#This Row],[Cotação]],"")</f>
        <v>6.0924678487394954E-2</v>
      </c>
      <c r="J472" s="60">
        <f>SUMPRODUCT(N(Tabela1[Código]=Tabela2[[#This Row],[Ativo]]),Tabela1[Fechamento])</f>
        <v>5.95</v>
      </c>
      <c r="K472" s="60">
        <f>SUMPRODUCT(N(Tabela17[Código]=Tabela2[[#This Row],[Ativo]]),Tabela17[Fechamento])</f>
        <v>0</v>
      </c>
    </row>
    <row r="473" spans="1:13">
      <c r="A473" s="4" t="s">
        <v>68</v>
      </c>
      <c r="B473" s="4">
        <v>2010</v>
      </c>
      <c r="C473" s="6">
        <v>60637000</v>
      </c>
      <c r="D473" s="8">
        <f>SUMPRODUCT(N(Tabela3[PAPEL]=Tabela2[[#This Row],[Ativo]]),Tabela3[Total Ações])</f>
        <v>108480828</v>
      </c>
      <c r="E473" s="64">
        <f>(Tabela2[[#This Row],[Lucro Líquido]])/Tabela2[[#This Row],[Total Ações]]</f>
        <v>0.55896512884285876</v>
      </c>
      <c r="F473" s="64">
        <v>0.41899999999999998</v>
      </c>
      <c r="G473" s="19">
        <f>IF(AND(Tabela2[[#This Row],[Dividendo / Ação]]&gt;0,Tabela2[[#This Row],[Lucro por ação]]&gt;0),Tabela2[[#This Row],[Dividendo / Ação]]/Tabela2[[#This Row],[Lucro por ação]],"")</f>
        <v>0.74959953381598687</v>
      </c>
      <c r="H473" s="6">
        <f>MAX(Tabela2[[#This Row],[Cotação 1]],Tabela2[[#This Row],[Cotação 2]])</f>
        <v>5.95</v>
      </c>
      <c r="I473" s="18">
        <f>IF(Tabela2[[#This Row],[Dividendo / Ação]]&gt;0,Tabela2[[#This Row],[Dividendo / Ação]]/Tabela2[[#This Row],[Cotação]],"")</f>
        <v>7.0420168067226882E-2</v>
      </c>
      <c r="J473" s="60">
        <f>SUMPRODUCT(N(Tabela1[Código]=Tabela2[[#This Row],[Ativo]]),Tabela1[Fechamento])</f>
        <v>5.95</v>
      </c>
      <c r="K473" s="60">
        <f>SUMPRODUCT(N(Tabela17[Código]=Tabela2[[#This Row],[Ativo]]),Tabela17[Fechamento])</f>
        <v>0</v>
      </c>
    </row>
    <row r="474" spans="1:13">
      <c r="A474" s="14" t="s">
        <v>216</v>
      </c>
      <c r="B474" s="3">
        <v>2012</v>
      </c>
      <c r="C474" s="5">
        <v>52406000</v>
      </c>
      <c r="D474" s="62">
        <f>SUMPRODUCT(N(Tabela3[PAPEL]=Tabela2[[#This Row],[Ativo]]),Tabela3[Total Ações])</f>
        <v>84682269</v>
      </c>
      <c r="E474" s="65">
        <f>(Tabela2[[#This Row],[Lucro Líquido]])/Tabela2[[#This Row],[Total Ações]]</f>
        <v>0.61885446172917258</v>
      </c>
      <c r="F474" s="65">
        <v>1.0399999999999999E-3</v>
      </c>
      <c r="G474" s="22">
        <f>IF(AND(Tabela2[[#This Row],[Dividendo / Ação]]&gt;0,Tabela2[[#This Row],[Lucro por ação]]&gt;0),Tabela2[[#This Row],[Dividendo / Ação]]/Tabela2[[#This Row],[Lucro por ação]],"")</f>
        <v>1.6805243628592145E-3</v>
      </c>
      <c r="H474" s="5">
        <f>MAX(Tabela2[[#This Row],[Cotação 1]],Tabela2[[#This Row],[Cotação 2]])</f>
        <v>3.08</v>
      </c>
      <c r="I474" s="18">
        <f>IF(Tabela2[[#This Row],[Dividendo / Ação]]&gt;0,Tabela2[[#This Row],[Dividendo / Ação]]/Tabela2[[#This Row],[Cotação]],"")</f>
        <v>3.3766233766233762E-4</v>
      </c>
      <c r="J474" s="60">
        <f>SUMPRODUCT(N(Tabela1[Código]=Tabela2[[#This Row],[Ativo]]),Tabela1[Fechamento])</f>
        <v>3.08</v>
      </c>
      <c r="K474" s="60">
        <f>SUMPRODUCT(N(Tabela17[Código]=Tabela2[[#This Row],[Ativo]]),Tabela17[Fechamento])</f>
        <v>0</v>
      </c>
    </row>
    <row r="475" spans="1:13">
      <c r="A475" s="14" t="s">
        <v>216</v>
      </c>
      <c r="B475" s="3">
        <v>2011</v>
      </c>
      <c r="C475" s="5">
        <v>47835000</v>
      </c>
      <c r="D475" s="62">
        <f>SUMPRODUCT(N(Tabela3[PAPEL]=Tabela2[[#This Row],[Ativo]]),Tabela3[Total Ações])</f>
        <v>84682269</v>
      </c>
      <c r="E475" s="65">
        <f>(Tabela2[[#This Row],[Lucro Líquido]])/Tabela2[[#This Row],[Total Ações]]</f>
        <v>0.56487621983770886</v>
      </c>
      <c r="F475" s="65">
        <v>0</v>
      </c>
      <c r="G475" s="22" t="str">
        <f>IF(AND(Tabela2[[#This Row],[Dividendo / Ação]]&gt;0,Tabela2[[#This Row],[Lucro por ação]]&gt;0),Tabela2[[#This Row],[Dividendo / Ação]]/Tabela2[[#This Row],[Lucro por ação]],"")</f>
        <v/>
      </c>
      <c r="H475" s="5">
        <f>MAX(Tabela2[[#This Row],[Cotação 1]],Tabela2[[#This Row],[Cotação 2]])</f>
        <v>3.08</v>
      </c>
      <c r="I475" s="18" t="str">
        <f>IF(Tabela2[[#This Row],[Dividendo / Ação]]&gt;0,Tabela2[[#This Row],[Dividendo / Ação]]/Tabela2[[#This Row],[Cotação]],"")</f>
        <v/>
      </c>
      <c r="J475" s="60">
        <f>SUMPRODUCT(N(Tabela1[Código]=Tabela2[[#This Row],[Ativo]]),Tabela1[Fechamento])</f>
        <v>3.08</v>
      </c>
      <c r="K475" s="60">
        <f>SUMPRODUCT(N(Tabela17[Código]=Tabela2[[#This Row],[Ativo]]),Tabela17[Fechamento])</f>
        <v>0</v>
      </c>
    </row>
    <row r="476" spans="1:13">
      <c r="A476" s="14" t="s">
        <v>216</v>
      </c>
      <c r="B476" s="3">
        <v>2010</v>
      </c>
      <c r="C476" s="5">
        <v>43244000</v>
      </c>
      <c r="D476" s="62">
        <f>SUMPRODUCT(N(Tabela3[PAPEL]=Tabela2[[#This Row],[Ativo]]),Tabela3[Total Ações])</f>
        <v>84682269</v>
      </c>
      <c r="E476" s="65">
        <f>(Tabela2[[#This Row],[Lucro Líquido]])/Tabela2[[#This Row],[Total Ações]]</f>
        <v>0.51066180099638092</v>
      </c>
      <c r="F476" s="65">
        <v>4.8799999999999998E-3</v>
      </c>
      <c r="G476" s="22">
        <f>IF(AND(Tabela2[[#This Row],[Dividendo / Ação]]&gt;0,Tabela2[[#This Row],[Lucro por ação]]&gt;0),Tabela2[[#This Row],[Dividendo / Ação]]/Tabela2[[#This Row],[Lucro por ação]],"")</f>
        <v>9.5562268226806035E-3</v>
      </c>
      <c r="H476" s="5">
        <f>MAX(Tabela2[[#This Row],[Cotação 1]],Tabela2[[#This Row],[Cotação 2]])</f>
        <v>3.08</v>
      </c>
      <c r="I476" s="18">
        <f>IF(Tabela2[[#This Row],[Dividendo / Ação]]&gt;0,Tabela2[[#This Row],[Dividendo / Ação]]/Tabela2[[#This Row],[Cotação]],"")</f>
        <v>1.5844155844155843E-3</v>
      </c>
      <c r="J476" s="60">
        <f>SUMPRODUCT(N(Tabela1[Código]=Tabela2[[#This Row],[Ativo]]),Tabela1[Fechamento])</f>
        <v>3.08</v>
      </c>
      <c r="K476" s="60">
        <f>SUMPRODUCT(N(Tabela17[Código]=Tabela2[[#This Row],[Ativo]]),Tabela17[Fechamento])</f>
        <v>0</v>
      </c>
      <c r="M476" s="70"/>
    </row>
    <row r="477" spans="1:13">
      <c r="A477" s="14" t="s">
        <v>216</v>
      </c>
      <c r="B477" s="3">
        <v>2009</v>
      </c>
      <c r="C477" s="5">
        <v>40621000</v>
      </c>
      <c r="D477" s="62">
        <f>SUMPRODUCT(N(Tabela3[PAPEL]=Tabela2[[#This Row],[Ativo]]),Tabela3[Total Ações])</f>
        <v>84682269</v>
      </c>
      <c r="E477" s="65">
        <f>(Tabela2[[#This Row],[Lucro Líquido]])/Tabela2[[#This Row],[Total Ações]]</f>
        <v>0.47968719402169063</v>
      </c>
      <c r="F477" s="65">
        <v>3.2800000000000003E-2</v>
      </c>
      <c r="G477" s="22">
        <f>IF(AND(Tabela2[[#This Row],[Dividendo / Ação]]&gt;0,Tabela2[[#This Row],[Lucro por ação]]&gt;0),Tabela2[[#This Row],[Dividendo / Ação]]/Tabela2[[#This Row],[Lucro por ação]],"")</f>
        <v>6.8377893779079796E-2</v>
      </c>
      <c r="H477" s="5">
        <f>MAX(Tabela2[[#This Row],[Cotação 1]],Tabela2[[#This Row],[Cotação 2]])</f>
        <v>3.08</v>
      </c>
      <c r="I477" s="18">
        <f>IF(Tabela2[[#This Row],[Dividendo / Ação]]&gt;0,Tabela2[[#This Row],[Dividendo / Ação]]/Tabela2[[#This Row],[Cotação]],"")</f>
        <v>1.064935064935065E-2</v>
      </c>
      <c r="J477" s="60">
        <f>SUMPRODUCT(N(Tabela1[Código]=Tabela2[[#This Row],[Ativo]]),Tabela1[Fechamento])</f>
        <v>3.08</v>
      </c>
      <c r="K477" s="60">
        <f>SUMPRODUCT(N(Tabela17[Código]=Tabela2[[#This Row],[Ativo]]),Tabela17[Fechamento])</f>
        <v>0</v>
      </c>
    </row>
    <row r="478" spans="1:13">
      <c r="A478" s="14" t="s">
        <v>80</v>
      </c>
      <c r="B478" s="3">
        <v>2012</v>
      </c>
      <c r="C478" s="5">
        <v>52406000</v>
      </c>
      <c r="D478" s="62">
        <f>SUMPRODUCT(N(Tabela3[PAPEL]=Tabela2[[#This Row],[Ativo]]),Tabela3[Total Ações])</f>
        <v>84682269</v>
      </c>
      <c r="E478" s="65">
        <f>(Tabela2[[#This Row],[Lucro Líquido]])/Tabela2[[#This Row],[Total Ações]]</f>
        <v>0.61885446172917258</v>
      </c>
      <c r="F478" s="65">
        <v>0.38174999999999998</v>
      </c>
      <c r="G478" s="22">
        <f>IF(AND(Tabela2[[#This Row],[Dividendo / Ação]]&gt;0,Tabela2[[#This Row],[Lucro por ação]]&gt;0),Tabela2[[#This Row],[Dividendo / Ação]]/Tabela2[[#This Row],[Lucro por ação]],"")</f>
        <v>0.61686555338606264</v>
      </c>
      <c r="H478" s="5">
        <f>MAX(Tabela2[[#This Row],[Cotação 1]],Tabela2[[#This Row],[Cotação 2]])</f>
        <v>6.89</v>
      </c>
      <c r="I478" s="18">
        <f>IF(Tabela2[[#This Row],[Dividendo / Ação]]&gt;0,Tabela2[[#This Row],[Dividendo / Ação]]/Tabela2[[#This Row],[Cotação]],"")</f>
        <v>5.5406386066763423E-2</v>
      </c>
      <c r="J478" s="60">
        <f>SUMPRODUCT(N(Tabela1[Código]=Tabela2[[#This Row],[Ativo]]),Tabela1[Fechamento])</f>
        <v>6.89</v>
      </c>
      <c r="K478" s="60">
        <f>SUMPRODUCT(N(Tabela17[Código]=Tabela2[[#This Row],[Ativo]]),Tabela17[Fechamento])</f>
        <v>0</v>
      </c>
    </row>
    <row r="479" spans="1:13">
      <c r="A479" s="14" t="s">
        <v>80</v>
      </c>
      <c r="B479" s="3">
        <v>2011</v>
      </c>
      <c r="C479" s="5">
        <v>47835000</v>
      </c>
      <c r="D479" s="62">
        <f>SUMPRODUCT(N(Tabela3[PAPEL]=Tabela2[[#This Row],[Ativo]]),Tabela3[Total Ações])</f>
        <v>84682269</v>
      </c>
      <c r="E479" s="65">
        <f>(Tabela2[[#This Row],[Lucro Líquido]])/Tabela2[[#This Row],[Total Ações]]</f>
        <v>0.56487621983770886</v>
      </c>
      <c r="F479" s="65">
        <v>0.34691</v>
      </c>
      <c r="G479" s="22">
        <f>IF(AND(Tabela2[[#This Row],[Dividendo / Ação]]&gt;0,Tabela2[[#This Row],[Lucro por ação]]&gt;0),Tabela2[[#This Row],[Dividendo / Ação]]/Tabela2[[#This Row],[Lucro por ação]],"")</f>
        <v>0.61413454455503291</v>
      </c>
      <c r="H479" s="5">
        <f>MAX(Tabela2[[#This Row],[Cotação 1]],Tabela2[[#This Row],[Cotação 2]])</f>
        <v>6.89</v>
      </c>
      <c r="I479" s="18">
        <f>IF(Tabela2[[#This Row],[Dividendo / Ação]]&gt;0,Tabela2[[#This Row],[Dividendo / Ação]]/Tabela2[[#This Row],[Cotação]],"")</f>
        <v>5.0349782293178519E-2</v>
      </c>
      <c r="J479" s="60">
        <f>SUMPRODUCT(N(Tabela1[Código]=Tabela2[[#This Row],[Ativo]]),Tabela1[Fechamento])</f>
        <v>6.89</v>
      </c>
      <c r="K479" s="60">
        <f>SUMPRODUCT(N(Tabela17[Código]=Tabela2[[#This Row],[Ativo]]),Tabela17[Fechamento])</f>
        <v>0</v>
      </c>
    </row>
    <row r="480" spans="1:13">
      <c r="A480" s="14" t="s">
        <v>80</v>
      </c>
      <c r="B480" s="3">
        <v>2010</v>
      </c>
      <c r="C480" s="5">
        <v>43244000</v>
      </c>
      <c r="D480" s="62">
        <f>SUMPRODUCT(N(Tabela3[PAPEL]=Tabela2[[#This Row],[Ativo]]),Tabela3[Total Ações])</f>
        <v>84682269</v>
      </c>
      <c r="E480" s="65">
        <f>(Tabela2[[#This Row],[Lucro Líquido]])/Tabela2[[#This Row],[Total Ações]]</f>
        <v>0.51066180099638092</v>
      </c>
      <c r="F480" s="65">
        <v>0.34364</v>
      </c>
      <c r="G480" s="22">
        <f>IF(AND(Tabela2[[#This Row],[Dividendo / Ação]]&gt;0,Tabela2[[#This Row],[Lucro por ação]]&gt;0),Tabela2[[#This Row],[Dividendo / Ação]]/Tabela2[[#This Row],[Lucro por ação]],"")</f>
        <v>0.67293069371843495</v>
      </c>
      <c r="H480" s="5">
        <f>MAX(Tabela2[[#This Row],[Cotação 1]],Tabela2[[#This Row],[Cotação 2]])</f>
        <v>6.89</v>
      </c>
      <c r="I480" s="18">
        <f>IF(Tabela2[[#This Row],[Dividendo / Ação]]&gt;0,Tabela2[[#This Row],[Dividendo / Ação]]/Tabela2[[#This Row],[Cotação]],"")</f>
        <v>4.9875181422351235E-2</v>
      </c>
      <c r="J480" s="60">
        <f>SUMPRODUCT(N(Tabela1[Código]=Tabela2[[#This Row],[Ativo]]),Tabela1[Fechamento])</f>
        <v>6.89</v>
      </c>
      <c r="K480" s="60">
        <f>SUMPRODUCT(N(Tabela17[Código]=Tabela2[[#This Row],[Ativo]]),Tabela17[Fechamento])</f>
        <v>0</v>
      </c>
    </row>
    <row r="481" spans="1:14">
      <c r="A481" s="14" t="s">
        <v>80</v>
      </c>
      <c r="B481" s="3">
        <v>2009</v>
      </c>
      <c r="C481" s="5">
        <v>40621000</v>
      </c>
      <c r="D481" s="62">
        <f>SUMPRODUCT(N(Tabela3[PAPEL]=Tabela2[[#This Row],[Ativo]]),Tabela3[Total Ações])</f>
        <v>84682269</v>
      </c>
      <c r="E481" s="65">
        <f>(Tabela2[[#This Row],[Lucro Líquido]])/Tabela2[[#This Row],[Total Ações]]</f>
        <v>0.47968719402169063</v>
      </c>
      <c r="F481" s="65">
        <v>0.29580000000000001</v>
      </c>
      <c r="G481" s="22">
        <f>IF(AND(Tabela2[[#This Row],[Dividendo / Ação]]&gt;0,Tabela2[[#This Row],[Lucro por ação]]&gt;0),Tabela2[[#This Row],[Dividendo / Ação]]/Tabela2[[#This Row],[Lucro por ação]],"")</f>
        <v>0.61665185914182319</v>
      </c>
      <c r="H481" s="5">
        <f>MAX(Tabela2[[#This Row],[Cotação 1]],Tabela2[[#This Row],[Cotação 2]])</f>
        <v>6.89</v>
      </c>
      <c r="I481" s="18">
        <f>IF(Tabela2[[#This Row],[Dividendo / Ação]]&gt;0,Tabela2[[#This Row],[Dividendo / Ação]]/Tabela2[[#This Row],[Cotação]],"")</f>
        <v>4.2931785195936142E-2</v>
      </c>
      <c r="J481" s="60">
        <f>SUMPRODUCT(N(Tabela1[Código]=Tabela2[[#This Row],[Ativo]]),Tabela1[Fechamento])</f>
        <v>6.89</v>
      </c>
      <c r="K481" s="60">
        <f>SUMPRODUCT(N(Tabela17[Código]=Tabela2[[#This Row],[Ativo]]),Tabela17[Fechamento])</f>
        <v>0</v>
      </c>
    </row>
    <row r="482" spans="1:14">
      <c r="A482" s="14" t="s">
        <v>217</v>
      </c>
      <c r="B482" s="4">
        <v>2012</v>
      </c>
      <c r="C482" s="5">
        <v>52406000</v>
      </c>
      <c r="D482" s="8">
        <f>SUMPRODUCT(N(Tabela3[PAPEL]=Tabela2[[#This Row],[Ativo]]),Tabela3[Total Ações])</f>
        <v>84682269</v>
      </c>
      <c r="E482" s="66">
        <f>(Tabela2[[#This Row],[Lucro Líquido]])/Tabela2[[#This Row],[Total Ações]]</f>
        <v>0.61885446172917258</v>
      </c>
      <c r="F482" s="66">
        <v>1.14E-3</v>
      </c>
      <c r="G482" s="46">
        <f>IF(AND(Tabela2[[#This Row],[Dividendo / Ação]]&gt;0,Tabela2[[#This Row],[Lucro por ação]]&gt;0),Tabela2[[#This Row],[Dividendo / Ação]]/Tabela2[[#This Row],[Lucro por ação]],"")</f>
        <v>1.8421132439033698E-3</v>
      </c>
      <c r="H482" s="6">
        <f>MAX(Tabela2[[#This Row],[Cotação 1]],Tabela2[[#This Row],[Cotação 2]])</f>
        <v>2.83</v>
      </c>
      <c r="I482" s="19">
        <f>IF(Tabela2[[#This Row],[Dividendo / Ação]]&gt;0,Tabela2[[#This Row],[Dividendo / Ação]]/Tabela2[[#This Row],[Cotação]],"")</f>
        <v>4.028268551236749E-4</v>
      </c>
      <c r="J482" s="61">
        <f>SUMPRODUCT(N(Tabela1[Código]=Tabela2[[#This Row],[Ativo]]),Tabela1[Fechamento])</f>
        <v>2.83</v>
      </c>
      <c r="K482" s="61">
        <f>SUMPRODUCT(N(Tabela17[Código]=Tabela2[[#This Row],[Ativo]]),Tabela17[Fechamento])</f>
        <v>0</v>
      </c>
    </row>
    <row r="483" spans="1:14">
      <c r="A483" s="14" t="s">
        <v>217</v>
      </c>
      <c r="B483" s="3">
        <v>2011</v>
      </c>
      <c r="C483" s="5">
        <v>47835000</v>
      </c>
      <c r="D483" s="8">
        <f>SUMPRODUCT(N(Tabela3[PAPEL]=Tabela2[[#This Row],[Ativo]]),Tabela3[Total Ações])</f>
        <v>84682269</v>
      </c>
      <c r="E483" s="66">
        <f>(Tabela2[[#This Row],[Lucro Líquido]])/Tabela2[[#This Row],[Total Ações]]</f>
        <v>0.56487621983770886</v>
      </c>
      <c r="F483" s="66">
        <v>0</v>
      </c>
      <c r="G483" s="46" t="str">
        <f>IF(AND(Tabela2[[#This Row],[Dividendo / Ação]]&gt;0,Tabela2[[#This Row],[Lucro por ação]]&gt;0),Tabela2[[#This Row],[Dividendo / Ação]]/Tabela2[[#This Row],[Lucro por ação]],"")</f>
        <v/>
      </c>
      <c r="H483" s="6">
        <f>MAX(Tabela2[[#This Row],[Cotação 1]],Tabela2[[#This Row],[Cotação 2]])</f>
        <v>2.83</v>
      </c>
      <c r="I483" s="19" t="str">
        <f>IF(Tabela2[[#This Row],[Dividendo / Ação]]&gt;0,Tabela2[[#This Row],[Dividendo / Ação]]/Tabela2[[#This Row],[Cotação]],"")</f>
        <v/>
      </c>
      <c r="J483" s="61">
        <f>SUMPRODUCT(N(Tabela1[Código]=Tabela2[[#This Row],[Ativo]]),Tabela1[Fechamento])</f>
        <v>2.83</v>
      </c>
      <c r="K483" s="61">
        <f>SUMPRODUCT(N(Tabela17[Código]=Tabela2[[#This Row],[Ativo]]),Tabela17[Fechamento])</f>
        <v>0</v>
      </c>
    </row>
    <row r="484" spans="1:14">
      <c r="A484" s="14" t="s">
        <v>217</v>
      </c>
      <c r="B484" s="4">
        <v>2010</v>
      </c>
      <c r="C484" s="5">
        <v>43244000</v>
      </c>
      <c r="D484" s="8">
        <f>SUMPRODUCT(N(Tabela3[PAPEL]=Tabela2[[#This Row],[Ativo]]),Tabela3[Total Ações])</f>
        <v>84682269</v>
      </c>
      <c r="E484" s="66">
        <f>(Tabela2[[#This Row],[Lucro Líquido]])/Tabela2[[#This Row],[Total Ações]]</f>
        <v>0.51066180099638092</v>
      </c>
      <c r="F484" s="66">
        <v>5.3800000000000002E-3</v>
      </c>
      <c r="G484" s="46">
        <f>IF(AND(Tabela2[[#This Row],[Dividendo / Ação]]&gt;0,Tabela2[[#This Row],[Lucro por ação]]&gt;0),Tabela2[[#This Row],[Dividendo / Ação]]/Tabela2[[#This Row],[Lucro por ação]],"")</f>
        <v>1.0535348423365093E-2</v>
      </c>
      <c r="H484" s="6">
        <f>MAX(Tabela2[[#This Row],[Cotação 1]],Tabela2[[#This Row],[Cotação 2]])</f>
        <v>2.83</v>
      </c>
      <c r="I484" s="19">
        <f>IF(Tabela2[[#This Row],[Dividendo / Ação]]&gt;0,Tabela2[[#This Row],[Dividendo / Ação]]/Tabela2[[#This Row],[Cotação]],"")</f>
        <v>1.901060070671378E-3</v>
      </c>
      <c r="J484" s="61">
        <f>SUMPRODUCT(N(Tabela1[Código]=Tabela2[[#This Row],[Ativo]]),Tabela1[Fechamento])</f>
        <v>2.83</v>
      </c>
      <c r="K484" s="61">
        <f>SUMPRODUCT(N(Tabela17[Código]=Tabela2[[#This Row],[Ativo]]),Tabela17[Fechamento])</f>
        <v>0</v>
      </c>
    </row>
    <row r="485" spans="1:14">
      <c r="A485" s="14" t="s">
        <v>217</v>
      </c>
      <c r="B485" s="4">
        <v>2009</v>
      </c>
      <c r="C485" s="5">
        <v>40621000</v>
      </c>
      <c r="D485" s="8">
        <f>SUMPRODUCT(N(Tabela3[PAPEL]=Tabela2[[#This Row],[Ativo]]),Tabela3[Total Ações])</f>
        <v>84682269</v>
      </c>
      <c r="E485" s="66">
        <f>(Tabela2[[#This Row],[Lucro Líquido]])/Tabela2[[#This Row],[Total Ações]]</f>
        <v>0.47968719402169063</v>
      </c>
      <c r="F485" s="66">
        <v>3.6089999999999997E-2</v>
      </c>
      <c r="G485" s="46">
        <f>IF(AND(Tabela2[[#This Row],[Dividendo / Ação]]&gt;0,Tabela2[[#This Row],[Lucro por ação]]&gt;0),Tabela2[[#This Row],[Dividendo / Ação]]/Tabela2[[#This Row],[Lucro por ação]],"")</f>
        <v>7.5236530075822844E-2</v>
      </c>
      <c r="H485" s="6">
        <f>MAX(Tabela2[[#This Row],[Cotação 1]],Tabela2[[#This Row],[Cotação 2]])</f>
        <v>2.83</v>
      </c>
      <c r="I485" s="19">
        <f>IF(Tabela2[[#This Row],[Dividendo / Ação]]&gt;0,Tabela2[[#This Row],[Dividendo / Ação]]/Tabela2[[#This Row],[Cotação]],"")</f>
        <v>1.2752650176678443E-2</v>
      </c>
      <c r="J485" s="61">
        <f>SUMPRODUCT(N(Tabela1[Código]=Tabela2[[#This Row],[Ativo]]),Tabela1[Fechamento])</f>
        <v>2.83</v>
      </c>
      <c r="K485" s="61">
        <f>SUMPRODUCT(N(Tabela17[Código]=Tabela2[[#This Row],[Ativo]]),Tabela17[Fechamento])</f>
        <v>0</v>
      </c>
    </row>
    <row r="486" spans="1:14">
      <c r="A486" s="4" t="s">
        <v>205</v>
      </c>
      <c r="B486" s="4">
        <v>2012</v>
      </c>
      <c r="C486" s="6">
        <v>335756000</v>
      </c>
      <c r="D486" s="8">
        <f>SUMPRODUCT(N(Tabela3[PAPEL]=Tabela2[[#This Row],[Ativo]]),Tabela3[Total Ações])</f>
        <v>476620206</v>
      </c>
      <c r="E486" s="66">
        <f>(Tabela2[[#This Row],[Lucro Líquido]])/Tabela2[[#This Row],[Total Ações]]</f>
        <v>0.70445187965866474</v>
      </c>
      <c r="F486" s="66">
        <v>0.37269999999999998</v>
      </c>
      <c r="G486" s="46">
        <f>IF(AND(Tabela2[[#This Row],[Dividendo / Ação]]&gt;0,Tabela2[[#This Row],[Lucro por ação]]&gt;0),Tabela2[[#This Row],[Dividendo / Ação]]/Tabela2[[#This Row],[Lucro por ação]],"")</f>
        <v>0.52906381651020384</v>
      </c>
      <c r="H486" s="6">
        <f>MAX(Tabela2[[#This Row],[Cotação 1]],Tabela2[[#This Row],[Cotação 2]])</f>
        <v>8.19</v>
      </c>
      <c r="I486" s="19">
        <f>IF(Tabela2[[#This Row],[Dividendo / Ação]]&gt;0,Tabela2[[#This Row],[Dividendo / Ação]]/Tabela2[[#This Row],[Cotação]],"")</f>
        <v>4.5506715506715506E-2</v>
      </c>
      <c r="J486" s="61">
        <f>SUMPRODUCT(N(Tabela1[Código]=Tabela2[[#This Row],[Ativo]]),Tabela1[Fechamento])</f>
        <v>8.19</v>
      </c>
      <c r="K486" s="61">
        <f>SUMPRODUCT(N(Tabela17[Código]=Tabela2[[#This Row],[Ativo]]),Tabela17[Fechamento])</f>
        <v>0</v>
      </c>
    </row>
    <row r="487" spans="1:14">
      <c r="A487" s="4" t="s">
        <v>205</v>
      </c>
      <c r="B487" s="3">
        <v>2011</v>
      </c>
      <c r="C487" s="5">
        <v>249170000</v>
      </c>
      <c r="D487" s="62">
        <f>SUMPRODUCT(N(Tabela3[PAPEL]=Tabela2[[#This Row],[Ativo]]),Tabela3[Total Ações])</f>
        <v>476620206</v>
      </c>
      <c r="E487" s="65">
        <f>(Tabela2[[#This Row],[Lucro Líquido]])/Tabela2[[#This Row],[Total Ações]]</f>
        <v>0.52278522157325402</v>
      </c>
      <c r="F487" s="65">
        <v>0.27800000000000002</v>
      </c>
      <c r="G487" s="22">
        <f>IF(AND(Tabela2[[#This Row],[Dividendo / Ação]]&gt;0,Tabela2[[#This Row],[Lucro por ação]]&gt;0),Tabela2[[#This Row],[Dividendo / Ação]]/Tabela2[[#This Row],[Lucro por ação]],"")</f>
        <v>0.53176713596339853</v>
      </c>
      <c r="H487" s="5">
        <f>MAX(Tabela2[[#This Row],[Cotação 1]],Tabela2[[#This Row],[Cotação 2]])</f>
        <v>8.19</v>
      </c>
      <c r="I487" s="18">
        <f>IF(Tabela2[[#This Row],[Dividendo / Ação]]&gt;0,Tabela2[[#This Row],[Dividendo / Ação]]/Tabela2[[#This Row],[Cotação]],"")</f>
        <v>3.3943833943833948E-2</v>
      </c>
      <c r="J487" s="60">
        <f>SUMPRODUCT(N(Tabela1[Código]=Tabela2[[#This Row],[Ativo]]),Tabela1[Fechamento])</f>
        <v>8.19</v>
      </c>
      <c r="K487" s="60">
        <f>SUMPRODUCT(N(Tabela17[Código]=Tabela2[[#This Row],[Ativo]]),Tabela17[Fechamento])</f>
        <v>0</v>
      </c>
    </row>
    <row r="488" spans="1:14">
      <c r="A488" s="4" t="s">
        <v>205</v>
      </c>
      <c r="B488" s="3">
        <v>2010</v>
      </c>
      <c r="C488" s="5">
        <v>135511000</v>
      </c>
      <c r="D488" s="62">
        <f>SUMPRODUCT(N(Tabela3[PAPEL]=Tabela2[[#This Row],[Ativo]]),Tabela3[Total Ações])</f>
        <v>476620206</v>
      </c>
      <c r="E488" s="65">
        <f>(Tabela2[[#This Row],[Lucro Líquido]])/Tabela2[[#This Row],[Total Ações]]</f>
        <v>0.28431652350047448</v>
      </c>
      <c r="F488" s="65">
        <v>8.72E-2</v>
      </c>
      <c r="G488" s="22">
        <f>IF(AND(Tabela2[[#This Row],[Dividendo / Ação]]&gt;0,Tabela2[[#This Row],[Lucro por ação]]&gt;0),Tabela2[[#This Row],[Dividendo / Ação]]/Tabela2[[#This Row],[Lucro por ação]],"")</f>
        <v>0.30670042995181207</v>
      </c>
      <c r="H488" s="5">
        <f>MAX(Tabela2[[#This Row],[Cotação 1]],Tabela2[[#This Row],[Cotação 2]])</f>
        <v>8.19</v>
      </c>
      <c r="I488" s="18">
        <f>IF(Tabela2[[#This Row],[Dividendo / Ação]]&gt;0,Tabela2[[#This Row],[Dividendo / Ação]]/Tabela2[[#This Row],[Cotação]],"")</f>
        <v>1.0647130647130647E-2</v>
      </c>
      <c r="J488" s="60">
        <f>SUMPRODUCT(N(Tabela1[Código]=Tabela2[[#This Row],[Ativo]]),Tabela1[Fechamento])</f>
        <v>8.19</v>
      </c>
      <c r="K488" s="60">
        <f>SUMPRODUCT(N(Tabela17[Código]=Tabela2[[#This Row],[Ativo]]),Tabela17[Fechamento])</f>
        <v>0</v>
      </c>
    </row>
    <row r="489" spans="1:14">
      <c r="A489" s="4" t="s">
        <v>205</v>
      </c>
      <c r="B489" s="3">
        <v>2009</v>
      </c>
      <c r="C489" s="5">
        <v>137871000</v>
      </c>
      <c r="D489" s="62">
        <f>SUMPRODUCT(N(Tabela3[PAPEL]=Tabela2[[#This Row],[Ativo]]),Tabela3[Total Ações])</f>
        <v>476620206</v>
      </c>
      <c r="E489" s="65">
        <f>(Tabela2[[#This Row],[Lucro Líquido]])/Tabela2[[#This Row],[Total Ações]]</f>
        <v>0.28926805507695996</v>
      </c>
      <c r="F489" s="65">
        <v>9.1499999999999998E-2</v>
      </c>
      <c r="G489" s="22">
        <f>IF(AND(Tabela2[[#This Row],[Dividendo / Ação]]&gt;0,Tabela2[[#This Row],[Lucro por ação]]&gt;0),Tabela2[[#This Row],[Dividendo / Ação]]/Tabela2[[#This Row],[Lucro por ação]],"")</f>
        <v>0.31631560552255367</v>
      </c>
      <c r="H489" s="5">
        <f>MAX(Tabela2[[#This Row],[Cotação 1]],Tabela2[[#This Row],[Cotação 2]])</f>
        <v>8.19</v>
      </c>
      <c r="I489" s="18">
        <f>IF(Tabela2[[#This Row],[Dividendo / Ação]]&gt;0,Tabela2[[#This Row],[Dividendo / Ação]]/Tabela2[[#This Row],[Cotação]],"")</f>
        <v>1.1172161172161172E-2</v>
      </c>
      <c r="J489" s="60">
        <f>SUMPRODUCT(N(Tabela1[Código]=Tabela2[[#This Row],[Ativo]]),Tabela1[Fechamento])</f>
        <v>8.19</v>
      </c>
      <c r="K489" s="60">
        <f>SUMPRODUCT(N(Tabela17[Código]=Tabela2[[#This Row],[Ativo]]),Tabela17[Fechamento])</f>
        <v>0</v>
      </c>
      <c r="N489" s="3">
        <v>6.6270000000000001E-3</v>
      </c>
    </row>
    <row r="490" spans="1:14">
      <c r="A490" s="4" t="s">
        <v>69</v>
      </c>
      <c r="B490" s="4">
        <v>2012</v>
      </c>
      <c r="C490" s="6">
        <v>335756000</v>
      </c>
      <c r="D490" s="8">
        <f>SUMPRODUCT(N(Tabela3[PAPEL]=Tabela2[[#This Row],[Ativo]]),Tabela3[Total Ações])</f>
        <v>476620206</v>
      </c>
      <c r="E490" s="66">
        <f>(Tabela2[[#This Row],[Lucro Líquido]])/Tabela2[[#This Row],[Total Ações]]</f>
        <v>0.70445187965866474</v>
      </c>
      <c r="F490" s="66">
        <v>0.40989999999999999</v>
      </c>
      <c r="G490" s="46">
        <f>IF(AND(Tabela2[[#This Row],[Dividendo / Ação]]&gt;0,Tabela2[[#This Row],[Lucro por ação]]&gt;0),Tabela2[[#This Row],[Dividendo / Ação]]/Tabela2[[#This Row],[Lucro por ação]],"")</f>
        <v>0.58187083012485252</v>
      </c>
      <c r="H490" s="6">
        <f>MAX(Tabela2[[#This Row],[Cotação 1]],Tabela2[[#This Row],[Cotação 2]])</f>
        <v>6.8</v>
      </c>
      <c r="I490" s="19">
        <f>IF(Tabela2[[#This Row],[Dividendo / Ação]]&gt;0,Tabela2[[#This Row],[Dividendo / Ação]]/Tabela2[[#This Row],[Cotação]],"")</f>
        <v>6.027941176470588E-2</v>
      </c>
      <c r="J490" s="61">
        <f>SUMPRODUCT(N(Tabela1[Código]=Tabela2[[#This Row],[Ativo]]),Tabela1[Fechamento])</f>
        <v>6.8</v>
      </c>
      <c r="K490" s="61">
        <f>SUMPRODUCT(N(Tabela17[Código]=Tabela2[[#This Row],[Ativo]]),Tabela17[Fechamento])</f>
        <v>0</v>
      </c>
      <c r="N490" s="3">
        <v>0.273698</v>
      </c>
    </row>
    <row r="491" spans="1:14">
      <c r="A491" s="4" t="s">
        <v>69</v>
      </c>
      <c r="B491" s="4">
        <v>2011</v>
      </c>
      <c r="C491" s="5">
        <v>249170000</v>
      </c>
      <c r="D491" s="8">
        <f>SUMPRODUCT(N(Tabela3[PAPEL]=Tabela2[[#This Row],[Ativo]]),Tabela3[Total Ações])</f>
        <v>476620206</v>
      </c>
      <c r="E491" s="66">
        <f>(Tabela2[[#This Row],[Lucro Líquido]])/Tabela2[[#This Row],[Total Ações]]</f>
        <v>0.52278522157325402</v>
      </c>
      <c r="F491" s="66">
        <v>0.30580000000000002</v>
      </c>
      <c r="G491" s="46">
        <f>IF(AND(Tabela2[[#This Row],[Dividendo / Ação]]&gt;0,Tabela2[[#This Row],[Lucro por ação]]&gt;0),Tabela2[[#This Row],[Dividendo / Ação]]/Tabela2[[#This Row],[Lucro por ação]],"")</f>
        <v>0.58494384955973844</v>
      </c>
      <c r="H491" s="6">
        <f>MAX(Tabela2[[#This Row],[Cotação 1]],Tabela2[[#This Row],[Cotação 2]])</f>
        <v>6.8</v>
      </c>
      <c r="I491" s="19">
        <f>IF(Tabela2[[#This Row],[Dividendo / Ação]]&gt;0,Tabela2[[#This Row],[Dividendo / Ação]]/Tabela2[[#This Row],[Cotação]],"")</f>
        <v>4.4970588235294123E-2</v>
      </c>
      <c r="J491" s="61">
        <f>SUMPRODUCT(N(Tabela1[Código]=Tabela2[[#This Row],[Ativo]]),Tabela1[Fechamento])</f>
        <v>6.8</v>
      </c>
      <c r="K491" s="61">
        <f>SUMPRODUCT(N(Tabela17[Código]=Tabela2[[#This Row],[Ativo]]),Tabela17[Fechamento])</f>
        <v>0</v>
      </c>
      <c r="N491" s="3">
        <f>SUM(N489:N490)</f>
        <v>0.28032499999999999</v>
      </c>
    </row>
    <row r="492" spans="1:14">
      <c r="A492" s="4" t="s">
        <v>69</v>
      </c>
      <c r="B492" s="4">
        <v>2010</v>
      </c>
      <c r="C492" s="5">
        <v>135511000</v>
      </c>
      <c r="D492" s="8">
        <f>SUMPRODUCT(N(Tabela3[PAPEL]=Tabela2[[#This Row],[Ativo]]),Tabela3[Total Ações])</f>
        <v>476620206</v>
      </c>
      <c r="E492" s="66">
        <f>(Tabela2[[#This Row],[Lucro Líquido]])/Tabela2[[#This Row],[Total Ações]]</f>
        <v>0.28431652350047448</v>
      </c>
      <c r="F492" s="66">
        <v>9.5899999999999999E-2</v>
      </c>
      <c r="G492" s="46">
        <f>IF(AND(Tabela2[[#This Row],[Dividendo / Ação]]&gt;0,Tabela2[[#This Row],[Lucro por ação]]&gt;0),Tabela2[[#This Row],[Dividendo / Ação]]/Tabela2[[#This Row],[Lucro por ação]],"")</f>
        <v>0.3373001288116832</v>
      </c>
      <c r="H492" s="6">
        <f>MAX(Tabela2[[#This Row],[Cotação 1]],Tabela2[[#This Row],[Cotação 2]])</f>
        <v>6.8</v>
      </c>
      <c r="I492" s="19">
        <f>IF(Tabela2[[#This Row],[Dividendo / Ação]]&gt;0,Tabela2[[#This Row],[Dividendo / Ação]]/Tabela2[[#This Row],[Cotação]],"")</f>
        <v>1.4102941176470589E-2</v>
      </c>
      <c r="J492" s="61">
        <f>SUMPRODUCT(N(Tabela1[Código]=Tabela2[[#This Row],[Ativo]]),Tabela1[Fechamento])</f>
        <v>6.8</v>
      </c>
      <c r="K492" s="61">
        <f>SUMPRODUCT(N(Tabela17[Código]=Tabela2[[#This Row],[Ativo]]),Tabela17[Fechamento])</f>
        <v>0</v>
      </c>
      <c r="N492" s="3">
        <f>Tabela2[[#This Row],[Total Ações]]*0.81</f>
        <v>386062366.86000001</v>
      </c>
    </row>
    <row r="493" spans="1:14">
      <c r="A493" s="4" t="s">
        <v>69</v>
      </c>
      <c r="B493" s="4">
        <v>2009</v>
      </c>
      <c r="C493" s="5">
        <v>137871000</v>
      </c>
      <c r="D493" s="8">
        <f>SUMPRODUCT(N(Tabela3[PAPEL]=Tabela2[[#This Row],[Ativo]]),Tabela3[Total Ações])</f>
        <v>476620206</v>
      </c>
      <c r="E493" s="66">
        <f>(Tabela2[[#This Row],[Lucro Líquido]])/Tabela2[[#This Row],[Total Ações]]</f>
        <v>0.28926805507695996</v>
      </c>
      <c r="F493" s="66">
        <v>0.10059999999999999</v>
      </c>
      <c r="G493" s="46">
        <f>IF(AND(Tabela2[[#This Row],[Dividendo / Ação]]&gt;0,Tabela2[[#This Row],[Lucro por ação]]&gt;0),Tabela2[[#This Row],[Dividendo / Ação]]/Tabela2[[#This Row],[Lucro por ação]],"")</f>
        <v>0.34777431601714642</v>
      </c>
      <c r="H493" s="6">
        <f>MAX(Tabela2[[#This Row],[Cotação 1]],Tabela2[[#This Row],[Cotação 2]])</f>
        <v>6.8</v>
      </c>
      <c r="I493" s="19">
        <f>IF(Tabela2[[#This Row],[Dividendo / Ação]]&gt;0,Tabela2[[#This Row],[Dividendo / Ação]]/Tabela2[[#This Row],[Cotação]],"")</f>
        <v>1.4794117647058824E-2</v>
      </c>
      <c r="J493" s="61">
        <f>SUMPRODUCT(N(Tabela1[Código]=Tabela2[[#This Row],[Ativo]]),Tabela1[Fechamento])</f>
        <v>6.8</v>
      </c>
      <c r="K493" s="61">
        <f>SUMPRODUCT(N(Tabela17[Código]=Tabela2[[#This Row],[Ativo]]),Tabela17[Fechamento])</f>
        <v>0</v>
      </c>
    </row>
    <row r="494" spans="1:14">
      <c r="A494" s="4" t="s">
        <v>36</v>
      </c>
      <c r="B494" s="4">
        <v>2012</v>
      </c>
      <c r="C494" s="6">
        <v>1911900245.4200001</v>
      </c>
      <c r="D494" s="8">
        <f>SUMPRODUCT(N(Tabela3[PAPEL]=Tabela2[[#This Row],[Ativo]]),Tabela3[Total Ações])</f>
        <v>683509869</v>
      </c>
      <c r="E494" s="66">
        <f>(Tabela2[[#This Row],[Lucro Líquido]])/Tabela2[[#This Row],[Total Ações]]</f>
        <v>2.7971801610080336</v>
      </c>
      <c r="F494" s="66">
        <v>2.3450000000000002</v>
      </c>
      <c r="G494" s="46">
        <f>IF(AND(Tabela2[[#This Row],[Dividendo / Ação]]&gt;0,Tabela2[[#This Row],[Lucro por ação]]&gt;0),Tabela2[[#This Row],[Dividendo / Ação]]/Tabela2[[#This Row],[Lucro por ação]],"")</f>
        <v>0.83834428425050789</v>
      </c>
      <c r="H494" s="6">
        <f>MAX(Tabela2[[#This Row],[Cotação 1]],Tabela2[[#This Row],[Cotação 2]])</f>
        <v>25.26</v>
      </c>
      <c r="I494" s="19">
        <f>IF(Tabela2[[#This Row],[Dividendo / Ação]]&gt;0,Tabela2[[#This Row],[Dividendo / Ação]]/Tabela2[[#This Row],[Cotação]],"")</f>
        <v>9.283452098178939E-2</v>
      </c>
      <c r="J494" s="61">
        <f>SUMPRODUCT(N(Tabela1[Código]=Tabela2[[#This Row],[Ativo]]),Tabela1[Fechamento])</f>
        <v>25.26</v>
      </c>
      <c r="K494" s="61">
        <f>SUMPRODUCT(N(Tabela17[Código]=Tabela2[[#This Row],[Ativo]]),Tabela17[Fechamento])</f>
        <v>0</v>
      </c>
    </row>
    <row r="495" spans="1:14">
      <c r="A495" s="4" t="s">
        <v>36</v>
      </c>
      <c r="B495" s="4">
        <v>2011</v>
      </c>
      <c r="C495" s="6">
        <v>1223420217</v>
      </c>
      <c r="D495" s="8">
        <f>SUMPRODUCT(N(Tabela3[PAPEL]=Tabela2[[#This Row],[Ativo]]),Tabela3[Total Ações])</f>
        <v>683509869</v>
      </c>
      <c r="E495" s="66">
        <f>(Tabela2[[#This Row],[Lucro Líquido]])/Tabela2[[#This Row],[Total Ações]]</f>
        <v>1.7899086355401257</v>
      </c>
      <c r="F495" s="66">
        <v>2.54</v>
      </c>
      <c r="G495" s="46">
        <f>IF(AND(Tabela2[[#This Row],[Dividendo / Ação]]&gt;0,Tabela2[[#This Row],[Lucro por ação]]&gt;0),Tabela2[[#This Row],[Dividendo / Ação]]/Tabela2[[#This Row],[Lucro por ação]],"")</f>
        <v>1.4190668448468184</v>
      </c>
      <c r="H495" s="6">
        <f>MAX(Tabela2[[#This Row],[Cotação 1]],Tabela2[[#This Row],[Cotação 2]])</f>
        <v>25.26</v>
      </c>
      <c r="I495" s="19">
        <f>IF(Tabela2[[#This Row],[Dividendo / Ação]]&gt;0,Tabela2[[#This Row],[Dividendo / Ação]]/Tabela2[[#This Row],[Cotação]],"")</f>
        <v>0.10055423594615993</v>
      </c>
      <c r="J495" s="61">
        <f>SUMPRODUCT(N(Tabela1[Código]=Tabela2[[#This Row],[Ativo]]),Tabela1[Fechamento])</f>
        <v>25.26</v>
      </c>
      <c r="K495" s="61">
        <f>SUMPRODUCT(N(Tabela17[Código]=Tabela2[[#This Row],[Ativo]]),Tabela17[Fechamento])</f>
        <v>0</v>
      </c>
      <c r="N495" s="3">
        <f>0.067*D490</f>
        <v>31933553.802000001</v>
      </c>
    </row>
    <row r="496" spans="1:14">
      <c r="A496" s="4" t="s">
        <v>36</v>
      </c>
      <c r="B496" s="4">
        <v>2010</v>
      </c>
      <c r="C496" s="6">
        <v>1630452307</v>
      </c>
      <c r="D496" s="8">
        <f>SUMPRODUCT(N(Tabela3[PAPEL]=Tabela2[[#This Row],[Ativo]]),Tabela3[Total Ações])</f>
        <v>683509869</v>
      </c>
      <c r="E496" s="66">
        <f>(Tabela2[[#This Row],[Lucro Líquido]])/Tabela2[[#This Row],[Total Ações]]</f>
        <v>2.385411507496463</v>
      </c>
      <c r="F496" s="66">
        <v>2</v>
      </c>
      <c r="G496" s="46">
        <f>IF(AND(Tabela2[[#This Row],[Dividendo / Ação]]&gt;0,Tabela2[[#This Row],[Lucro por ação]]&gt;0),Tabela2[[#This Row],[Dividendo / Ação]]/Tabela2[[#This Row],[Lucro por ação]],"")</f>
        <v>0.83842976095098998</v>
      </c>
      <c r="H496" s="6">
        <f>MAX(Tabela2[[#This Row],[Cotação 1]],Tabela2[[#This Row],[Cotação 2]])</f>
        <v>25.26</v>
      </c>
      <c r="I496" s="19">
        <f>IF(Tabela2[[#This Row],[Dividendo / Ação]]&gt;0,Tabela2[[#This Row],[Dividendo / Ação]]/Tabela2[[#This Row],[Cotação]],"")</f>
        <v>7.9176563737133804E-2</v>
      </c>
      <c r="J496" s="61">
        <f>SUMPRODUCT(N(Tabela1[Código]=Tabela2[[#This Row],[Ativo]]),Tabela1[Fechamento])</f>
        <v>25.26</v>
      </c>
      <c r="K496" s="61">
        <f>SUMPRODUCT(N(Tabela17[Código]=Tabela2[[#This Row],[Ativo]]),Tabela17[Fechamento])</f>
        <v>0</v>
      </c>
    </row>
    <row r="497" spans="1:14">
      <c r="A497" s="4" t="s">
        <v>696</v>
      </c>
      <c r="B497" s="4">
        <v>2012</v>
      </c>
      <c r="C497" s="6">
        <v>221047209.75999999</v>
      </c>
      <c r="D497" s="91">
        <f>SUMPRODUCT(N(Tabela3[PAPEL]=Tabela2[[#This Row],[Ativo]]),Tabela3[Total Ações])</f>
        <v>57737317</v>
      </c>
      <c r="E497" s="66">
        <f>(Tabela2[[#This Row],[Lucro Líquido]])/Tabela2[[#This Row],[Total Ações]]</f>
        <v>3.8284981229730501</v>
      </c>
      <c r="F497" s="66">
        <v>1.0118932270000001</v>
      </c>
      <c r="G497" s="45">
        <f>IF(AND(Tabela2[[#This Row],[Dividendo / Ação]]&gt;0,Tabela2[[#This Row],[Lucro por ação]]&gt;0),Tabela2[[#This Row],[Dividendo / Ação]]/Tabela2[[#This Row],[Lucro por ação]],"")</f>
        <v>0.26430553039273963</v>
      </c>
      <c r="H497" s="61">
        <f>MAX(Tabela2[[#This Row],[Cotação 1]],Tabela2[[#This Row],[Cotação 2]])</f>
        <v>36.799999999999997</v>
      </c>
      <c r="I497" s="46">
        <f>IF(Tabela2[[#This Row],[Dividendo / Ação]]&gt;0,Tabela2[[#This Row],[Dividendo / Ação]]/Tabela2[[#This Row],[Cotação]],"")</f>
        <v>2.7497098559782614E-2</v>
      </c>
      <c r="J497" s="17">
        <f>SUMPRODUCT(N(Tabela1[Código]=Tabela2[[#This Row],[Ativo]]),Tabela1[Fechamento])</f>
        <v>0</v>
      </c>
      <c r="K497" s="17">
        <f>SUMPRODUCT(N(Tabela17[Código]=Tabela2[[#This Row],[Ativo]]),Tabela17[Fechamento])</f>
        <v>36.799999999999997</v>
      </c>
    </row>
    <row r="498" spans="1:14">
      <c r="A498" s="4" t="s">
        <v>696</v>
      </c>
      <c r="B498" s="4">
        <v>2011</v>
      </c>
      <c r="C498" s="6">
        <v>96359523.819999993</v>
      </c>
      <c r="D498" s="91">
        <f>SUMPRODUCT(N(Tabela3[PAPEL]=Tabela2[[#This Row],[Ativo]]),Tabela3[Total Ações])</f>
        <v>57737317</v>
      </c>
      <c r="E498" s="66">
        <f>(Tabela2[[#This Row],[Lucro Líquido]])/Tabela2[[#This Row],[Total Ações]]</f>
        <v>1.6689297117841482</v>
      </c>
      <c r="F498" s="66">
        <v>0</v>
      </c>
      <c r="G498" s="45" t="str">
        <f>IF(AND(Tabela2[[#This Row],[Dividendo / Ação]]&gt;0,Tabela2[[#This Row],[Lucro por ação]]&gt;0),Tabela2[[#This Row],[Dividendo / Ação]]/Tabela2[[#This Row],[Lucro por ação]],"")</f>
        <v/>
      </c>
      <c r="H498" s="61">
        <f>MAX(Tabela2[[#This Row],[Cotação 1]],Tabela2[[#This Row],[Cotação 2]])</f>
        <v>36.799999999999997</v>
      </c>
      <c r="I498" s="46" t="str">
        <f>IF(Tabela2[[#This Row],[Dividendo / Ação]]&gt;0,Tabela2[[#This Row],[Dividendo / Ação]]/Tabela2[[#This Row],[Cotação]],"")</f>
        <v/>
      </c>
      <c r="J498" s="17">
        <f>SUMPRODUCT(N(Tabela1[Código]=Tabela2[[#This Row],[Ativo]]),Tabela1[Fechamento])</f>
        <v>0</v>
      </c>
      <c r="K498" s="17">
        <f>SUMPRODUCT(N(Tabela17[Código]=Tabela2[[#This Row],[Ativo]]),Tabela17[Fechamento])</f>
        <v>36.799999999999997</v>
      </c>
    </row>
    <row r="499" spans="1:14">
      <c r="A499" s="4" t="s">
        <v>696</v>
      </c>
      <c r="B499" s="4">
        <v>2010</v>
      </c>
      <c r="C499" s="6">
        <v>91934228.780000001</v>
      </c>
      <c r="D499" s="91">
        <f>SUMPRODUCT(N(Tabela3[PAPEL]=Tabela2[[#This Row],[Ativo]]),Tabela3[Total Ações])</f>
        <v>57737317</v>
      </c>
      <c r="E499" s="66">
        <f>(Tabela2[[#This Row],[Lucro Líquido]])/Tabela2[[#This Row],[Total Ações]]</f>
        <v>1.5922843934712103</v>
      </c>
      <c r="F499" s="66">
        <v>0.74785255399999995</v>
      </c>
      <c r="G499" s="45">
        <f>IF(AND(Tabela2[[#This Row],[Dividendo / Ação]]&gt;0,Tabela2[[#This Row],[Lucro por ação]]&gt;0),Tabela2[[#This Row],[Dividendo / Ação]]/Tabela2[[#This Row],[Lucro por ação]],"")</f>
        <v>0.46967272747657041</v>
      </c>
      <c r="H499" s="61">
        <f>MAX(Tabela2[[#This Row],[Cotação 1]],Tabela2[[#This Row],[Cotação 2]])</f>
        <v>36.799999999999997</v>
      </c>
      <c r="I499" s="46">
        <f>IF(Tabela2[[#This Row],[Dividendo / Ação]]&gt;0,Tabela2[[#This Row],[Dividendo / Ação]]/Tabela2[[#This Row],[Cotação]],"")</f>
        <v>2.0322080271739131E-2</v>
      </c>
      <c r="J499" s="17">
        <f>SUMPRODUCT(N(Tabela1[Código]=Tabela2[[#This Row],[Ativo]]),Tabela1[Fechamento])</f>
        <v>0</v>
      </c>
      <c r="K499" s="17">
        <f>SUMPRODUCT(N(Tabela17[Código]=Tabela2[[#This Row],[Ativo]]),Tabela17[Fechamento])</f>
        <v>36.799999999999997</v>
      </c>
      <c r="N499" s="70">
        <f>1.3*Tabela2[[#This Row],[Total Ações]]</f>
        <v>75058512.100000009</v>
      </c>
    </row>
    <row r="500" spans="1:14">
      <c r="A500" s="4" t="s">
        <v>79</v>
      </c>
      <c r="B500" s="4">
        <v>2012</v>
      </c>
      <c r="C500" s="6">
        <v>26389234.239999998</v>
      </c>
      <c r="D500" s="8">
        <f>SUMPRODUCT(N(Tabela3[PAPEL]=Tabela2[[#This Row],[Ativo]]),Tabela3[Total Ações])</f>
        <v>137747421</v>
      </c>
      <c r="E500" s="66">
        <f>(Tabela2[[#This Row],[Lucro Líquido]])/Tabela2[[#This Row],[Total Ações]]</f>
        <v>0.19157697507817587</v>
      </c>
      <c r="F500" s="66">
        <v>0.59209073000000001</v>
      </c>
      <c r="G500" s="46">
        <f>IF(AND(Tabela2[[#This Row],[Dividendo / Ação]]&gt;0,Tabela2[[#This Row],[Lucro por ação]]&gt;0),Tabela2[[#This Row],[Dividendo / Ação]]/Tabela2[[#This Row],[Lucro por ação]],"")</f>
        <v>3.090615298411453</v>
      </c>
      <c r="H500" s="6">
        <f>MAX(Tabela2[[#This Row],[Cotação 1]],Tabela2[[#This Row],[Cotação 2]])</f>
        <v>2.65</v>
      </c>
      <c r="I500" s="19">
        <f>IF(Tabela2[[#This Row],[Dividendo / Ação]]&gt;0,Tabela2[[#This Row],[Dividendo / Ação]]/Tabela2[[#This Row],[Cotação]],"")</f>
        <v>0.22343046415094342</v>
      </c>
      <c r="J500" s="61">
        <f>SUMPRODUCT(N(Tabela1[Código]=Tabela2[[#This Row],[Ativo]]),Tabela1[Fechamento])</f>
        <v>2.65</v>
      </c>
      <c r="K500" s="61">
        <f>SUMPRODUCT(N(Tabela17[Código]=Tabela2[[#This Row],[Ativo]]),Tabela17[Fechamento])</f>
        <v>0</v>
      </c>
    </row>
    <row r="501" spans="1:14">
      <c r="A501" s="4" t="s">
        <v>79</v>
      </c>
      <c r="B501" s="4">
        <v>2011</v>
      </c>
      <c r="C501" s="6">
        <v>27175402.329999998</v>
      </c>
      <c r="D501" s="8">
        <f>SUMPRODUCT(N(Tabela3[PAPEL]=Tabela2[[#This Row],[Ativo]]),Tabela3[Total Ações])</f>
        <v>137747421</v>
      </c>
      <c r="E501" s="66">
        <f>(Tabela2[[#This Row],[Lucro Líquido]])/Tabela2[[#This Row],[Total Ações]]</f>
        <v>0.19728429129718514</v>
      </c>
      <c r="F501" s="66">
        <v>0.28363851000000001</v>
      </c>
      <c r="G501" s="46">
        <f>IF(AND(Tabela2[[#This Row],[Dividendo / Ação]]&gt;0,Tabela2[[#This Row],[Lucro por ação]]&gt;0),Tabela2[[#This Row],[Dividendo / Ação]]/Tabela2[[#This Row],[Lucro por ação]],"")</f>
        <v>1.4377146205357658</v>
      </c>
      <c r="H501" s="6">
        <f>MAX(Tabela2[[#This Row],[Cotação 1]],Tabela2[[#This Row],[Cotação 2]])</f>
        <v>2.65</v>
      </c>
      <c r="I501" s="19">
        <f>IF(Tabela2[[#This Row],[Dividendo / Ação]]&gt;0,Tabela2[[#This Row],[Dividendo / Ação]]/Tabela2[[#This Row],[Cotação]],"")</f>
        <v>0.1070334</v>
      </c>
      <c r="J501" s="61">
        <f>SUMPRODUCT(N(Tabela1[Código]=Tabela2[[#This Row],[Ativo]]),Tabela1[Fechamento])</f>
        <v>2.65</v>
      </c>
      <c r="K501" s="61">
        <f>SUMPRODUCT(N(Tabela17[Código]=Tabela2[[#This Row],[Ativo]]),Tabela17[Fechamento])</f>
        <v>0</v>
      </c>
    </row>
    <row r="502" spans="1:14">
      <c r="A502" s="4" t="s">
        <v>79</v>
      </c>
      <c r="B502" s="4">
        <v>2010</v>
      </c>
      <c r="C502" s="6">
        <v>76030857.450000003</v>
      </c>
      <c r="D502" s="8">
        <f>SUMPRODUCT(N(Tabela3[PAPEL]=Tabela2[[#This Row],[Ativo]]),Tabela3[Total Ações])</f>
        <v>137747421</v>
      </c>
      <c r="E502" s="66">
        <f>(Tabela2[[#This Row],[Lucro Líquido]])/Tabela2[[#This Row],[Total Ações]]</f>
        <v>0.55195848240236745</v>
      </c>
      <c r="F502" s="66">
        <v>0.69388981999999999</v>
      </c>
      <c r="G502" s="46">
        <f>IF(AND(Tabela2[[#This Row],[Dividendo / Ação]]&gt;0,Tabela2[[#This Row],[Lucro por ação]]&gt;0),Tabela2[[#This Row],[Dividendo / Ação]]/Tabela2[[#This Row],[Lucro por ação]],"")</f>
        <v>1.2571413287823472</v>
      </c>
      <c r="H502" s="6">
        <f>MAX(Tabela2[[#This Row],[Cotação 1]],Tabela2[[#This Row],[Cotação 2]])</f>
        <v>2.65</v>
      </c>
      <c r="I502" s="19">
        <f>IF(Tabela2[[#This Row],[Dividendo / Ação]]&gt;0,Tabela2[[#This Row],[Dividendo / Ação]]/Tabela2[[#This Row],[Cotação]],"")</f>
        <v>0.26184521509433961</v>
      </c>
      <c r="J502" s="61">
        <f>SUMPRODUCT(N(Tabela1[Código]=Tabela2[[#This Row],[Ativo]]),Tabela1[Fechamento])</f>
        <v>2.65</v>
      </c>
      <c r="K502" s="61">
        <f>SUMPRODUCT(N(Tabela17[Código]=Tabela2[[#This Row],[Ativo]]),Tabela17[Fechamento])</f>
        <v>0</v>
      </c>
    </row>
    <row r="503" spans="1:14">
      <c r="A503" s="3" t="s">
        <v>334</v>
      </c>
      <c r="B503" s="3">
        <v>2012</v>
      </c>
      <c r="C503" s="5">
        <v>72949906.010000005</v>
      </c>
      <c r="D503" s="62">
        <f>SUMPRODUCT(N(Tabela3[PAPEL]=Tabela2[[#This Row],[Ativo]]),Tabela3[Total Ações])</f>
        <v>113000000</v>
      </c>
      <c r="E503" s="65">
        <f>(Tabela2[[#This Row],[Lucro Líquido]])/Tabela2[[#This Row],[Total Ações]]</f>
        <v>0.64557438946902657</v>
      </c>
      <c r="F503" s="65">
        <v>0.26730199999999998</v>
      </c>
      <c r="G503" s="22">
        <f>IF(AND(Tabela2[[#This Row],[Dividendo / Ação]]&gt;0,Tabela2[[#This Row],[Lucro por ação]]&gt;0),Tabela2[[#This Row],[Dividendo / Ação]]/Tabela2[[#This Row],[Lucro por ação]],"")</f>
        <v>0.41405298035421001</v>
      </c>
      <c r="H503" s="51">
        <f>MAX(Tabela2[[#This Row],[Cotação 1]],Tabela2[[#This Row],[Cotação 2]])</f>
        <v>28.04</v>
      </c>
      <c r="I503" s="18">
        <f>IF(Tabela2[[#This Row],[Dividendo / Ação]]&gt;0,Tabela2[[#This Row],[Dividendo / Ação]]/Tabela2[[#This Row],[Cotação]],"")</f>
        <v>9.5328815977175456E-3</v>
      </c>
      <c r="J503" s="7">
        <f>SUMPRODUCT(N(Tabela1[Código]=Tabela2[[#This Row],[Ativo]]),Tabela1[Fechamento])</f>
        <v>0</v>
      </c>
      <c r="K503" s="7">
        <f>SUMPRODUCT(N(Tabela17[Código]=Tabela2[[#This Row],[Ativo]]),Tabela17[Fechamento])</f>
        <v>28.04</v>
      </c>
    </row>
    <row r="504" spans="1:14">
      <c r="A504" s="3" t="s">
        <v>334</v>
      </c>
      <c r="B504" s="3">
        <v>2011</v>
      </c>
      <c r="C504" s="5">
        <v>126610718.51000001</v>
      </c>
      <c r="D504" s="62">
        <f>SUMPRODUCT(N(Tabela3[PAPEL]=Tabela2[[#This Row],[Ativo]]),Tabela3[Total Ações])</f>
        <v>113000000</v>
      </c>
      <c r="E504" s="65">
        <f>(Tabela2[[#This Row],[Lucro Líquido]])/Tabela2[[#This Row],[Total Ações]]</f>
        <v>1.1204488363716814</v>
      </c>
      <c r="F504" s="65">
        <v>0.32134299999999999</v>
      </c>
      <c r="G504" s="22">
        <f>IF(AND(Tabela2[[#This Row],[Dividendo / Ação]]&gt;0,Tabela2[[#This Row],[Lucro por ação]]&gt;0),Tabela2[[#This Row],[Dividendo / Ação]]/Tabela2[[#This Row],[Lucro por ação]],"")</f>
        <v>0.28679845930368064</v>
      </c>
      <c r="H504" s="51">
        <f>MAX(Tabela2[[#This Row],[Cotação 1]],Tabela2[[#This Row],[Cotação 2]])</f>
        <v>28.04</v>
      </c>
      <c r="I504" s="18">
        <f>IF(Tabela2[[#This Row],[Dividendo / Ação]]&gt;0,Tabela2[[#This Row],[Dividendo / Ação]]/Tabela2[[#This Row],[Cotação]],"")</f>
        <v>1.1460164051355207E-2</v>
      </c>
      <c r="J504" s="7">
        <f>SUMPRODUCT(N(Tabela1[Código]=Tabela2[[#This Row],[Ativo]]),Tabela1[Fechamento])</f>
        <v>0</v>
      </c>
      <c r="K504" s="7">
        <f>SUMPRODUCT(N(Tabela17[Código]=Tabela2[[#This Row],[Ativo]]),Tabela17[Fechamento])</f>
        <v>28.04</v>
      </c>
    </row>
    <row r="505" spans="1:14">
      <c r="A505" s="3" t="s">
        <v>334</v>
      </c>
      <c r="B505" s="3">
        <v>2010</v>
      </c>
      <c r="C505" s="5">
        <v>142288162.75</v>
      </c>
      <c r="D505" s="62">
        <f>SUMPRODUCT(N(Tabela3[PAPEL]=Tabela2[[#This Row],[Ativo]]),Tabela3[Total Ações])</f>
        <v>113000000</v>
      </c>
      <c r="E505" s="65">
        <f>(Tabela2[[#This Row],[Lucro Líquido]])/Tabela2[[#This Row],[Total Ações]]</f>
        <v>1.2591872809734512</v>
      </c>
      <c r="F505" s="65">
        <v>0.41675099999999998</v>
      </c>
      <c r="G505" s="22">
        <f>IF(AND(Tabela2[[#This Row],[Dividendo / Ação]]&gt;0,Tabela2[[#This Row],[Lucro por ação]]&gt;0),Tabela2[[#This Row],[Dividendo / Ação]]/Tabela2[[#This Row],[Lucro por ação]],"")</f>
        <v>0.33096824141824127</v>
      </c>
      <c r="H505" s="51">
        <f>MAX(Tabela2[[#This Row],[Cotação 1]],Tabela2[[#This Row],[Cotação 2]])</f>
        <v>28.04</v>
      </c>
      <c r="I505" s="18">
        <f>IF(Tabela2[[#This Row],[Dividendo / Ação]]&gt;0,Tabela2[[#This Row],[Dividendo / Ação]]/Tabela2[[#This Row],[Cotação]],"")</f>
        <v>1.4862731811697574E-2</v>
      </c>
      <c r="J505" s="7">
        <f>SUMPRODUCT(N(Tabela1[Código]=Tabela2[[#This Row],[Ativo]]),Tabela1[Fechamento])</f>
        <v>0</v>
      </c>
      <c r="K505" s="7">
        <f>SUMPRODUCT(N(Tabela17[Código]=Tabela2[[#This Row],[Ativo]]),Tabela17[Fechamento])</f>
        <v>28.04</v>
      </c>
    </row>
    <row r="506" spans="1:14">
      <c r="A506" s="3" t="s">
        <v>334</v>
      </c>
      <c r="B506" s="3">
        <v>2009</v>
      </c>
      <c r="C506" s="5">
        <v>93031657.010000005</v>
      </c>
      <c r="D506" s="62">
        <f>SUMPRODUCT(N(Tabela3[PAPEL]=Tabela2[[#This Row],[Ativo]]),Tabela3[Total Ações])</f>
        <v>113000000</v>
      </c>
      <c r="E506" s="65">
        <f>(Tabela2[[#This Row],[Lucro Líquido]])/Tabela2[[#This Row],[Total Ações]]</f>
        <v>0.82328900008849559</v>
      </c>
      <c r="F506" s="65">
        <v>0.24957299999999999</v>
      </c>
      <c r="G506" s="22">
        <f>IF(AND(Tabela2[[#This Row],[Dividendo / Ação]]&gt;0,Tabela2[[#This Row],[Lucro por ação]]&gt;0),Tabela2[[#This Row],[Dividendo / Ação]]/Tabela2[[#This Row],[Lucro por ação]],"")</f>
        <v>0.30314142418175549</v>
      </c>
      <c r="H506" s="51">
        <f>MAX(Tabela2[[#This Row],[Cotação 1]],Tabela2[[#This Row],[Cotação 2]])</f>
        <v>28.04</v>
      </c>
      <c r="I506" s="18">
        <f>IF(Tabela2[[#This Row],[Dividendo / Ação]]&gt;0,Tabela2[[#This Row],[Dividendo / Ação]]/Tabela2[[#This Row],[Cotação]],"")</f>
        <v>8.9006062767475035E-3</v>
      </c>
      <c r="J506" s="7">
        <f>SUMPRODUCT(N(Tabela1[Código]=Tabela2[[#This Row],[Ativo]]),Tabela1[Fechamento])</f>
        <v>0</v>
      </c>
      <c r="K506" s="7">
        <f>SUMPRODUCT(N(Tabela17[Código]=Tabela2[[#This Row],[Ativo]]),Tabela17[Fechamento])</f>
        <v>28.04</v>
      </c>
    </row>
    <row r="507" spans="1:14">
      <c r="A507" s="4" t="s">
        <v>695</v>
      </c>
      <c r="B507" s="4">
        <v>2012</v>
      </c>
      <c r="C507" s="6">
        <v>185531000</v>
      </c>
      <c r="D507" s="91">
        <f>SUMPRODUCT(N(Tabela3[PAPEL]=Tabela2[[#This Row],[Ativo]]),Tabela3[Total Ações])</f>
        <v>76423831</v>
      </c>
      <c r="E507" s="66">
        <f>(Tabela2[[#This Row],[Lucro Líquido]])/Tabela2[[#This Row],[Total Ações]]</f>
        <v>2.4276589850618717</v>
      </c>
      <c r="F507" s="66">
        <v>0.35</v>
      </c>
      <c r="G507" s="45">
        <f>IF(AND(Tabela2[[#This Row],[Dividendo / Ação]]&gt;0,Tabela2[[#This Row],[Lucro por ação]]&gt;0),Tabela2[[#This Row],[Dividendo / Ação]]/Tabela2[[#This Row],[Lucro por ação]],"")</f>
        <v>0.14417181414426697</v>
      </c>
      <c r="H507" s="61">
        <f>MAX(Tabela2[[#This Row],[Cotação 1]],Tabela2[[#This Row],[Cotação 2]])</f>
        <v>17.93</v>
      </c>
      <c r="I507" s="46">
        <f>IF(Tabela2[[#This Row],[Dividendo / Ação]]&gt;0,Tabela2[[#This Row],[Dividendo / Ação]]/Tabela2[[#This Row],[Cotação]],"")</f>
        <v>1.9520356943669825E-2</v>
      </c>
      <c r="J507" s="17">
        <f>SUMPRODUCT(N(Tabela1[Código]=Tabela2[[#This Row],[Ativo]]),Tabela1[Fechamento])</f>
        <v>0</v>
      </c>
      <c r="K507" s="17">
        <f>SUMPRODUCT(N(Tabela17[Código]=Tabela2[[#This Row],[Ativo]]),Tabela17[Fechamento])</f>
        <v>17.93</v>
      </c>
    </row>
    <row r="508" spans="1:14">
      <c r="A508" s="4" t="s">
        <v>695</v>
      </c>
      <c r="B508" s="4">
        <v>2011</v>
      </c>
      <c r="C508" s="6">
        <v>239206591.03</v>
      </c>
      <c r="D508" s="91">
        <f>SUMPRODUCT(N(Tabela3[PAPEL]=Tabela2[[#This Row],[Ativo]]),Tabela3[Total Ações])</f>
        <v>76423831</v>
      </c>
      <c r="E508" s="66">
        <f>(Tabela2[[#This Row],[Lucro Líquido]])/Tabela2[[#This Row],[Total Ações]]</f>
        <v>3.13</v>
      </c>
      <c r="F508" s="66">
        <v>0.32</v>
      </c>
      <c r="G508" s="45">
        <f>IF(AND(Tabela2[[#This Row],[Dividendo / Ação]]&gt;0,Tabela2[[#This Row],[Lucro por ação]]&gt;0),Tabela2[[#This Row],[Dividendo / Ação]]/Tabela2[[#This Row],[Lucro por ação]],"")</f>
        <v>0.10223642172523963</v>
      </c>
      <c r="H508" s="61">
        <f>MAX(Tabela2[[#This Row],[Cotação 1]],Tabela2[[#This Row],[Cotação 2]])</f>
        <v>17.93</v>
      </c>
      <c r="I508" s="46">
        <f>IF(Tabela2[[#This Row],[Dividendo / Ação]]&gt;0,Tabela2[[#This Row],[Dividendo / Ação]]/Tabela2[[#This Row],[Cotação]],"")</f>
        <v>1.7847183491355272E-2</v>
      </c>
      <c r="J508" s="17">
        <f>SUMPRODUCT(N(Tabela1[Código]=Tabela2[[#This Row],[Ativo]]),Tabela1[Fechamento])</f>
        <v>0</v>
      </c>
      <c r="K508" s="17">
        <f>SUMPRODUCT(N(Tabela17[Código]=Tabela2[[#This Row],[Ativo]]),Tabela17[Fechamento])</f>
        <v>17.93</v>
      </c>
      <c r="N508" s="70">
        <f>6.91*D509</f>
        <v>528088672.21000004</v>
      </c>
    </row>
    <row r="509" spans="1:14">
      <c r="A509" s="4" t="s">
        <v>695</v>
      </c>
      <c r="B509" s="4">
        <v>2010</v>
      </c>
      <c r="C509" s="6">
        <v>200230437.22</v>
      </c>
      <c r="D509" s="91">
        <f>SUMPRODUCT(N(Tabela3[PAPEL]=Tabela2[[#This Row],[Ativo]]),Tabela3[Total Ações])</f>
        <v>76423831</v>
      </c>
      <c r="E509" s="66">
        <f>(Tabela2[[#This Row],[Lucro Líquido]])/Tabela2[[#This Row],[Total Ações]]</f>
        <v>2.62</v>
      </c>
      <c r="F509" s="66">
        <v>0.26</v>
      </c>
      <c r="G509" s="45">
        <f>IF(AND(Tabela2[[#This Row],[Dividendo / Ação]]&gt;0,Tabela2[[#This Row],[Lucro por ação]]&gt;0),Tabela2[[#This Row],[Dividendo / Ação]]/Tabela2[[#This Row],[Lucro por ação]],"")</f>
        <v>9.9236641221374045E-2</v>
      </c>
      <c r="H509" s="61">
        <f>MAX(Tabela2[[#This Row],[Cotação 1]],Tabela2[[#This Row],[Cotação 2]])</f>
        <v>17.93</v>
      </c>
      <c r="I509" s="46">
        <f>IF(Tabela2[[#This Row],[Dividendo / Ação]]&gt;0,Tabela2[[#This Row],[Dividendo / Ação]]/Tabela2[[#This Row],[Cotação]],"")</f>
        <v>1.4500836586726159E-2</v>
      </c>
      <c r="J509" s="17">
        <f>SUMPRODUCT(N(Tabela1[Código]=Tabela2[[#This Row],[Ativo]]),Tabela1[Fechamento])</f>
        <v>0</v>
      </c>
      <c r="K509" s="17">
        <f>SUMPRODUCT(N(Tabela17[Código]=Tabela2[[#This Row],[Ativo]]),Tabela17[Fechamento])</f>
        <v>17.93</v>
      </c>
    </row>
    <row r="510" spans="1:14">
      <c r="A510" s="4" t="s">
        <v>58</v>
      </c>
      <c r="B510" s="4">
        <v>2012</v>
      </c>
      <c r="C510" s="6">
        <v>483247945.06999999</v>
      </c>
      <c r="D510" s="8">
        <f>SUMPRODUCT(N(Tabela3[PAPEL]=Tabela2[[#This Row],[Ativo]]),Tabela3[Total Ações])</f>
        <v>1022205493</v>
      </c>
      <c r="E510" s="66">
        <f>(Tabela2[[#This Row],[Lucro Líquido]])/Tabela2[[#This Row],[Total Ações]]</f>
        <v>0.47275029177523703</v>
      </c>
      <c r="F510" s="66">
        <v>0.30062499999999998</v>
      </c>
      <c r="G510" s="46">
        <f>IF(AND(Tabela2[[#This Row],[Dividendo / Ação]]&gt;0,Tabela2[[#This Row],[Lucro por ação]]&gt;0),Tabela2[[#This Row],[Dividendo / Ação]]/Tabela2[[#This Row],[Lucro por ação]],"")</f>
        <v>0.63590653507820194</v>
      </c>
      <c r="H510" s="13">
        <f>MAX(Tabela2[[#This Row],[Cotação 1]],Tabela2[[#This Row],[Cotação 2]])</f>
        <v>14.58</v>
      </c>
      <c r="I510" s="19">
        <f>IF(Tabela2[[#This Row],[Dividendo / Ação]]&gt;0,Tabela2[[#This Row],[Dividendo / Ação]]/Tabela2[[#This Row],[Cotação]],"")</f>
        <v>2.0618998628257886E-2</v>
      </c>
      <c r="J510" s="17">
        <f>SUMPRODUCT(N(Tabela1[Código]=Tabela2[[#This Row],[Ativo]]),Tabela1[Fechamento])</f>
        <v>0</v>
      </c>
      <c r="K510" s="17">
        <f>SUMPRODUCT(N(Tabela17[Código]=Tabela2[[#This Row],[Ativo]]),Tabela17[Fechamento])</f>
        <v>14.58</v>
      </c>
    </row>
    <row r="511" spans="1:14">
      <c r="A511" s="4" t="s">
        <v>58</v>
      </c>
      <c r="B511" s="4">
        <v>2011</v>
      </c>
      <c r="C511" s="6">
        <v>445682000</v>
      </c>
      <c r="D511" s="8">
        <f>SUMPRODUCT(N(Tabela3[PAPEL]=Tabela2[[#This Row],[Ativo]]),Tabela3[Total Ações])</f>
        <v>1022205493</v>
      </c>
      <c r="E511" s="66">
        <f>(Tabela2[[#This Row],[Lucro Líquido]])/Tabela2[[#This Row],[Total Ações]]</f>
        <v>0.43600039625300663</v>
      </c>
      <c r="F511" s="66">
        <v>0.76497757200000005</v>
      </c>
      <c r="G511" s="46">
        <f>IF(AND(Tabela2[[#This Row],[Dividendo / Ação]]&gt;0,Tabela2[[#This Row],[Lucro por ação]]&gt;0),Tabela2[[#This Row],[Dividendo / Ação]]/Tabela2[[#This Row],[Lucro por ação]],"")</f>
        <v>1.7545341210105032</v>
      </c>
      <c r="H511" s="13">
        <f>MAX(Tabela2[[#This Row],[Cotação 1]],Tabela2[[#This Row],[Cotação 2]])</f>
        <v>14.58</v>
      </c>
      <c r="I511" s="19">
        <f>IF(Tabela2[[#This Row],[Dividendo / Ação]]&gt;0,Tabela2[[#This Row],[Dividendo / Ação]]/Tabela2[[#This Row],[Cotação]],"")</f>
        <v>5.2467597530864198E-2</v>
      </c>
      <c r="J511" s="17">
        <f>SUMPRODUCT(N(Tabela1[Código]=Tabela2[[#This Row],[Ativo]]),Tabela1[Fechamento])</f>
        <v>0</v>
      </c>
      <c r="K511" s="17">
        <f>SUMPRODUCT(N(Tabela17[Código]=Tabela2[[#This Row],[Ativo]]),Tabela17[Fechamento])</f>
        <v>14.58</v>
      </c>
    </row>
    <row r="512" spans="1:14">
      <c r="A512" s="4" t="s">
        <v>58</v>
      </c>
      <c r="B512" s="4">
        <v>2010</v>
      </c>
      <c r="C512" s="6">
        <v>614021000</v>
      </c>
      <c r="D512" s="8">
        <f>SUMPRODUCT(N(Tabela3[PAPEL]=Tabela2[[#This Row],[Ativo]]),Tabela3[Total Ações])</f>
        <v>1022205493</v>
      </c>
      <c r="E512" s="66">
        <f>(Tabela2[[#This Row],[Lucro Líquido]])/Tabela2[[#This Row],[Total Ações]]</f>
        <v>0.6006825478876584</v>
      </c>
      <c r="F512" s="66">
        <v>1.0517938200000001</v>
      </c>
      <c r="G512" s="46">
        <f>IF(AND(Tabela2[[#This Row],[Dividendo / Ação]]&gt;0,Tabela2[[#This Row],[Lucro por ação]]&gt;0),Tabela2[[#This Row],[Dividendo / Ação]]/Tabela2[[#This Row],[Lucro por ação]],"")</f>
        <v>1.7509978002502413</v>
      </c>
      <c r="H512" s="13">
        <f>MAX(Tabela2[[#This Row],[Cotação 1]],Tabela2[[#This Row],[Cotação 2]])</f>
        <v>14.58</v>
      </c>
      <c r="I512" s="19">
        <f>IF(Tabela2[[#This Row],[Dividendo / Ação]]&gt;0,Tabela2[[#This Row],[Dividendo / Ação]]/Tabela2[[#This Row],[Cotação]],"")</f>
        <v>7.2139493827160506E-2</v>
      </c>
      <c r="J512" s="17">
        <f>SUMPRODUCT(N(Tabela1[Código]=Tabela2[[#This Row],[Ativo]]),Tabela1[Fechamento])</f>
        <v>0</v>
      </c>
      <c r="K512" s="17">
        <f>SUMPRODUCT(N(Tabela17[Código]=Tabela2[[#This Row],[Ativo]]),Tabela17[Fechamento])</f>
        <v>14.58</v>
      </c>
    </row>
    <row r="513" spans="1:14">
      <c r="A513" s="4" t="s">
        <v>58</v>
      </c>
      <c r="B513" s="4">
        <v>2009</v>
      </c>
      <c r="C513" s="6">
        <v>419093000</v>
      </c>
      <c r="D513" s="8">
        <f>SUMPRODUCT(N(Tabela3[PAPEL]=Tabela2[[#This Row],[Ativo]]),Tabela3[Total Ações])</f>
        <v>1022205493</v>
      </c>
      <c r="E513" s="66">
        <f>(Tabela2[[#This Row],[Lucro Líquido]])/Tabela2[[#This Row],[Total Ações]]</f>
        <v>0.40998899230137476</v>
      </c>
      <c r="F513" s="66">
        <v>2.1419339700000002</v>
      </c>
      <c r="G513" s="46">
        <f>IF(AND(Tabela2[[#This Row],[Dividendo / Ação]]&gt;0,Tabela2[[#This Row],[Lucro por ação]]&gt;0),Tabela2[[#This Row],[Dividendo / Ação]]/Tabela2[[#This Row],[Lucro por ação]],"")</f>
        <v>5.2243694592305223</v>
      </c>
      <c r="H513" s="13">
        <f>MAX(Tabela2[[#This Row],[Cotação 1]],Tabela2[[#This Row],[Cotação 2]])</f>
        <v>14.58</v>
      </c>
      <c r="I513" s="19">
        <f>IF(Tabela2[[#This Row],[Dividendo / Ação]]&gt;0,Tabela2[[#This Row],[Dividendo / Ação]]/Tabela2[[#This Row],[Cotação]],"")</f>
        <v>0.14690905144032923</v>
      </c>
      <c r="J513" s="17">
        <f>SUMPRODUCT(N(Tabela1[Código]=Tabela2[[#This Row],[Ativo]]),Tabela1[Fechamento])</f>
        <v>0</v>
      </c>
      <c r="K513" s="17">
        <f>SUMPRODUCT(N(Tabela17[Código]=Tabela2[[#This Row],[Ativo]]),Tabela17[Fechamento])</f>
        <v>14.58</v>
      </c>
    </row>
    <row r="514" spans="1:14">
      <c r="A514" s="4" t="s">
        <v>18</v>
      </c>
      <c r="B514" s="4">
        <v>2012</v>
      </c>
      <c r="C514" s="6">
        <v>-182125692.53</v>
      </c>
      <c r="D514" s="8">
        <f>SUMPRODUCT(N(Tabela3[PAPEL]=Tabela2[[#This Row],[Ativo]]),Tabela3[Total Ações])</f>
        <v>1107677313</v>
      </c>
      <c r="E514" s="66">
        <f>(Tabela2[[#This Row],[Lucro Líquido]])/Tabela2[[#This Row],[Total Ações]]</f>
        <v>-0.16442125372843128</v>
      </c>
      <c r="F514" s="66">
        <v>0</v>
      </c>
      <c r="G514" s="46" t="str">
        <f>IF(AND(Tabela2[[#This Row],[Dividendo / Ação]]&gt;0,Tabela2[[#This Row],[Lucro por ação]]&gt;0),Tabela2[[#This Row],[Dividendo / Ação]]/Tabela2[[#This Row],[Lucro por ação]],"")</f>
        <v/>
      </c>
      <c r="H514" s="6">
        <f>MAX(Tabela2[[#This Row],[Cotação 1]],Tabela2[[#This Row],[Cotação 2]])</f>
        <v>9.2100000000000009</v>
      </c>
      <c r="I514" s="19" t="str">
        <f>IF(Tabela2[[#This Row],[Dividendo / Ação]]&gt;0,Tabela2[[#This Row],[Dividendo / Ação]]/Tabela2[[#This Row],[Cotação]],"")</f>
        <v/>
      </c>
      <c r="J514" s="61">
        <f>SUMPRODUCT(N(Tabela1[Código]=Tabela2[[#This Row],[Ativo]]),Tabela1[Fechamento])</f>
        <v>9.2100000000000009</v>
      </c>
      <c r="K514" s="61">
        <f>SUMPRODUCT(N(Tabela17[Código]=Tabela2[[#This Row],[Ativo]]),Tabela17[Fechamento])</f>
        <v>0</v>
      </c>
    </row>
    <row r="515" spans="1:14">
      <c r="A515" s="4" t="s">
        <v>18</v>
      </c>
      <c r="B515" s="4">
        <v>2011</v>
      </c>
      <c r="C515" s="6">
        <v>78013713</v>
      </c>
      <c r="D515" s="8">
        <f>SUMPRODUCT(N(Tabela3[PAPEL]=Tabela2[[#This Row],[Ativo]]),Tabela3[Total Ações])</f>
        <v>1107677313</v>
      </c>
      <c r="E515" s="66">
        <f>(Tabela2[[#This Row],[Lucro Líquido]])/Tabela2[[#This Row],[Total Ações]]</f>
        <v>7.04299998604377E-2</v>
      </c>
      <c r="F515" s="66">
        <v>0.24881</v>
      </c>
      <c r="G515" s="46">
        <f>IF(AND(Tabela2[[#This Row],[Dividendo / Ação]]&gt;0,Tabela2[[#This Row],[Lucro por ação]]&gt;0),Tabela2[[#This Row],[Dividendo / Ação]]/Tabela2[[#This Row],[Lucro por ação]],"")</f>
        <v>3.5327275378820899</v>
      </c>
      <c r="H515" s="6">
        <f>MAX(Tabela2[[#This Row],[Cotação 1]],Tabela2[[#This Row],[Cotação 2]])</f>
        <v>9.2100000000000009</v>
      </c>
      <c r="I515" s="19">
        <f>IF(Tabela2[[#This Row],[Dividendo / Ação]]&gt;0,Tabela2[[#This Row],[Dividendo / Ação]]/Tabela2[[#This Row],[Cotação]],"")</f>
        <v>2.7015200868621064E-2</v>
      </c>
      <c r="J515" s="61">
        <f>SUMPRODUCT(N(Tabela1[Código]=Tabela2[[#This Row],[Ativo]]),Tabela1[Fechamento])</f>
        <v>9.2100000000000009</v>
      </c>
      <c r="K515" s="61">
        <f>SUMPRODUCT(N(Tabela17[Código]=Tabela2[[#This Row],[Ativo]]),Tabela17[Fechamento])</f>
        <v>0</v>
      </c>
    </row>
    <row r="516" spans="1:14">
      <c r="A516" s="4" t="s">
        <v>18</v>
      </c>
      <c r="B516" s="3">
        <v>2010</v>
      </c>
      <c r="C516" s="5">
        <v>2190730959</v>
      </c>
      <c r="D516" s="62">
        <f>SUMPRODUCT(N(Tabela3[PAPEL]=Tabela2[[#This Row],[Ativo]]),Tabela3[Total Ações])</f>
        <v>1107677313</v>
      </c>
      <c r="E516" s="66">
        <f>(Tabela2[[#This Row],[Lucro Líquido]])/Tabela2[[#This Row],[Total Ações]]</f>
        <v>1.9777699997002647</v>
      </c>
      <c r="F516" s="65">
        <v>0.64239000000000002</v>
      </c>
      <c r="G516" s="22">
        <f>IF(AND(Tabela2[[#This Row],[Dividendo / Ação]]&gt;0,Tabela2[[#This Row],[Lucro por ação]]&gt;0),Tabela2[[#This Row],[Dividendo / Ação]]/Tabela2[[#This Row],[Lucro por ação]],"")</f>
        <v>0.32480520995735379</v>
      </c>
      <c r="H516" s="5">
        <f>MAX(Tabela2[[#This Row],[Cotação 1]],Tabela2[[#This Row],[Cotação 2]])</f>
        <v>9.2100000000000009</v>
      </c>
      <c r="I516" s="18">
        <f>IF(Tabela2[[#This Row],[Dividendo / Ação]]&gt;0,Tabela2[[#This Row],[Dividendo / Ação]]/Tabela2[[#This Row],[Cotação]],"")</f>
        <v>6.9749185667752442E-2</v>
      </c>
      <c r="J516" s="60">
        <f>SUMPRODUCT(N(Tabela1[Código]=Tabela2[[#This Row],[Ativo]]),Tabela1[Fechamento])</f>
        <v>9.2100000000000009</v>
      </c>
      <c r="K516" s="60">
        <f>SUMPRODUCT(N(Tabela17[Código]=Tabela2[[#This Row],[Ativo]]),Tabela17[Fechamento])</f>
        <v>0</v>
      </c>
      <c r="N516" s="70">
        <f>7.161*Tabela2[[#This Row],[Total Ações]]</f>
        <v>7932077238.3929996</v>
      </c>
    </row>
    <row r="517" spans="1:14">
      <c r="A517" s="4" t="s">
        <v>18</v>
      </c>
      <c r="B517" s="3">
        <v>2009</v>
      </c>
      <c r="C517" s="5">
        <v>3206936280</v>
      </c>
      <c r="D517" s="62">
        <f>SUMPRODUCT(N(Tabela3[PAPEL]=Tabela2[[#This Row],[Ativo]]),Tabela3[Total Ações])</f>
        <v>1107677313</v>
      </c>
      <c r="E517" s="66">
        <f>(Tabela2[[#This Row],[Lucro Líquido]])/Tabela2[[#This Row],[Total Ações]]</f>
        <v>2.8951900001584669</v>
      </c>
      <c r="F517" s="65">
        <v>0.77659999999999996</v>
      </c>
      <c r="G517" s="22">
        <f>IF(AND(Tabela2[[#This Row],[Dividendo / Ação]]&gt;0,Tabela2[[#This Row],[Lucro por ação]]&gt;0),Tabela2[[#This Row],[Dividendo / Ação]]/Tabela2[[#This Row],[Lucro por ação]],"")</f>
        <v>0.26823800854434188</v>
      </c>
      <c r="H517" s="5">
        <f>MAX(Tabela2[[#This Row],[Cotação 1]],Tabela2[[#This Row],[Cotação 2]])</f>
        <v>9.2100000000000009</v>
      </c>
      <c r="I517" s="18">
        <f>IF(Tabela2[[#This Row],[Dividendo / Ação]]&gt;0,Tabela2[[#This Row],[Dividendo / Ação]]/Tabela2[[#This Row],[Cotação]],"")</f>
        <v>8.4321389793702489E-2</v>
      </c>
      <c r="J517" s="60">
        <f>SUMPRODUCT(N(Tabela1[Código]=Tabela2[[#This Row],[Ativo]]),Tabela1[Fechamento])</f>
        <v>9.2100000000000009</v>
      </c>
      <c r="K517" s="60">
        <f>SUMPRODUCT(N(Tabela17[Código]=Tabela2[[#This Row],[Ativo]]),Tabela17[Fechamento])</f>
        <v>0</v>
      </c>
    </row>
    <row r="518" spans="1:14">
      <c r="A518" s="4" t="s">
        <v>213</v>
      </c>
      <c r="B518" s="4">
        <v>2012</v>
      </c>
      <c r="C518" s="6">
        <v>-182125692.53</v>
      </c>
      <c r="D518" s="8">
        <f>SUMPRODUCT(N(Tabela3[PAPEL]=Tabela2[[#This Row],[Ativo]]),Tabela3[Total Ações])</f>
        <v>1107677313</v>
      </c>
      <c r="E518" s="66">
        <f>(Tabela2[[#This Row],[Lucro Líquido]])/Tabela2[[#This Row],[Total Ações]]</f>
        <v>-0.16442125372843128</v>
      </c>
      <c r="F518" s="66">
        <v>0</v>
      </c>
      <c r="G518" s="46" t="str">
        <f>IF(AND(Tabela2[[#This Row],[Dividendo / Ação]]&gt;0,Tabela2[[#This Row],[Lucro por ação]]&gt;0),Tabela2[[#This Row],[Dividendo / Ação]]/Tabela2[[#This Row],[Lucro por ação]],"")</f>
        <v/>
      </c>
      <c r="H518" s="6">
        <f>MAX(Tabela2[[#This Row],[Cotação 1]],Tabela2[[#This Row],[Cotação 2]])</f>
        <v>5.7</v>
      </c>
      <c r="I518" s="19" t="str">
        <f>IF(Tabela2[[#This Row],[Dividendo / Ação]]&gt;0,Tabela2[[#This Row],[Dividendo / Ação]]/Tabela2[[#This Row],[Cotação]],"")</f>
        <v/>
      </c>
      <c r="J518" s="61">
        <f>SUMPRODUCT(N(Tabela1[Código]=Tabela2[[#This Row],[Ativo]]),Tabela1[Fechamento])</f>
        <v>5.7</v>
      </c>
      <c r="K518" s="61">
        <f>SUMPRODUCT(N(Tabela17[Código]=Tabela2[[#This Row],[Ativo]]),Tabela17[Fechamento])</f>
        <v>0</v>
      </c>
    </row>
    <row r="519" spans="1:14">
      <c r="A519" s="4" t="s">
        <v>213</v>
      </c>
      <c r="B519" s="3">
        <v>2011</v>
      </c>
      <c r="C519" s="6">
        <v>78013713</v>
      </c>
      <c r="D519" s="62">
        <f>SUMPRODUCT(N(Tabela3[PAPEL]=Tabela2[[#This Row],[Ativo]]),Tabela3[Total Ações])</f>
        <v>1107677313</v>
      </c>
      <c r="E519" s="66">
        <f>(Tabela2[[#This Row],[Lucro Líquido]])/Tabela2[[#This Row],[Total Ações]]</f>
        <v>7.04299998604377E-2</v>
      </c>
      <c r="F519" s="66">
        <v>0.24881</v>
      </c>
      <c r="G519" s="22">
        <f>IF(AND(Tabela2[[#This Row],[Dividendo / Ação]]&gt;0,Tabela2[[#This Row],[Lucro por ação]]&gt;0),Tabela2[[#This Row],[Dividendo / Ação]]/Tabela2[[#This Row],[Lucro por ação]],"")</f>
        <v>3.5327275378820899</v>
      </c>
      <c r="H519" s="5">
        <f>MAX(Tabela2[[#This Row],[Cotação 1]],Tabela2[[#This Row],[Cotação 2]])</f>
        <v>5.7</v>
      </c>
      <c r="I519" s="18">
        <f>IF(Tabela2[[#This Row],[Dividendo / Ação]]&gt;0,Tabela2[[#This Row],[Dividendo / Ação]]/Tabela2[[#This Row],[Cotação]],"")</f>
        <v>4.3650877192982454E-2</v>
      </c>
      <c r="J519" s="60">
        <f>SUMPRODUCT(N(Tabela1[Código]=Tabela2[[#This Row],[Ativo]]),Tabela1[Fechamento])</f>
        <v>5.7</v>
      </c>
      <c r="K519" s="60">
        <f>SUMPRODUCT(N(Tabela17[Código]=Tabela2[[#This Row],[Ativo]]),Tabela17[Fechamento])</f>
        <v>0</v>
      </c>
      <c r="N519" s="92">
        <f>11278000/D517</f>
        <v>1.0181665605712374E-2</v>
      </c>
    </row>
    <row r="520" spans="1:14">
      <c r="A520" s="4" t="s">
        <v>213</v>
      </c>
      <c r="B520" s="4">
        <v>2010</v>
      </c>
      <c r="C520" s="5">
        <v>2190730959</v>
      </c>
      <c r="D520" s="8">
        <f>SUMPRODUCT(N(Tabela3[PAPEL]=Tabela2[[#This Row],[Ativo]]),Tabela3[Total Ações])</f>
        <v>1107677313</v>
      </c>
      <c r="E520" s="66">
        <f>(Tabela2[[#This Row],[Lucro Líquido]])/Tabela2[[#This Row],[Total Ações]]</f>
        <v>1.9777699997002647</v>
      </c>
      <c r="F520" s="66">
        <v>0.59360000000000002</v>
      </c>
      <c r="G520" s="46">
        <f>IF(AND(Tabela2[[#This Row],[Dividendo / Ação]]&gt;0,Tabela2[[#This Row],[Lucro por ação]]&gt;0),Tabela2[[#This Row],[Dividendo / Ação]]/Tabela2[[#This Row],[Lucro por ação]],"")</f>
        <v>0.3001360118163191</v>
      </c>
      <c r="H520" s="6">
        <f>MAX(Tabela2[[#This Row],[Cotação 1]],Tabela2[[#This Row],[Cotação 2]])</f>
        <v>5.7</v>
      </c>
      <c r="I520" s="19">
        <f>IF(Tabela2[[#This Row],[Dividendo / Ação]]&gt;0,Tabela2[[#This Row],[Dividendo / Ação]]/Tabela2[[#This Row],[Cotação]],"")</f>
        <v>0.10414035087719298</v>
      </c>
      <c r="J520" s="61">
        <f>SUMPRODUCT(N(Tabela1[Código]=Tabela2[[#This Row],[Ativo]]),Tabela1[Fechamento])</f>
        <v>5.7</v>
      </c>
      <c r="K520" s="61">
        <f>SUMPRODUCT(N(Tabela17[Código]=Tabela2[[#This Row],[Ativo]]),Tabela17[Fechamento])</f>
        <v>0</v>
      </c>
    </row>
    <row r="521" spans="1:14">
      <c r="A521" s="4" t="s">
        <v>213</v>
      </c>
      <c r="B521" s="4">
        <v>2009</v>
      </c>
      <c r="C521" s="5">
        <v>3206936280</v>
      </c>
      <c r="D521" s="8">
        <f>SUMPRODUCT(N(Tabela3[PAPEL]=Tabela2[[#This Row],[Ativo]]),Tabela3[Total Ações])</f>
        <v>1107677313</v>
      </c>
      <c r="E521" s="66">
        <f>(Tabela2[[#This Row],[Lucro Líquido]])/Tabela2[[#This Row],[Total Ações]]</f>
        <v>2.8951900001584669</v>
      </c>
      <c r="F521" s="66">
        <v>0.77659999999999996</v>
      </c>
      <c r="G521" s="46">
        <f>IF(AND(Tabela2[[#This Row],[Dividendo / Ação]]&gt;0,Tabela2[[#This Row],[Lucro por ação]]&gt;0),Tabela2[[#This Row],[Dividendo / Ação]]/Tabela2[[#This Row],[Lucro por ação]],"")</f>
        <v>0.26823800854434188</v>
      </c>
      <c r="H521" s="6">
        <f>MAX(Tabela2[[#This Row],[Cotação 1]],Tabela2[[#This Row],[Cotação 2]])</f>
        <v>5.7</v>
      </c>
      <c r="I521" s="19">
        <f>IF(Tabela2[[#This Row],[Dividendo / Ação]]&gt;0,Tabela2[[#This Row],[Dividendo / Ação]]/Tabela2[[#This Row],[Cotação]],"")</f>
        <v>0.1362456140350877</v>
      </c>
      <c r="J521" s="61">
        <f>SUMPRODUCT(N(Tabela1[Código]=Tabela2[[#This Row],[Ativo]]),Tabela1[Fechamento])</f>
        <v>5.7</v>
      </c>
      <c r="K521" s="61">
        <f>SUMPRODUCT(N(Tabela17[Código]=Tabela2[[#This Row],[Ativo]]),Tabela17[Fechamento])</f>
        <v>0</v>
      </c>
    </row>
    <row r="522" spans="1:14">
      <c r="A522" s="4" t="s">
        <v>57</v>
      </c>
      <c r="B522" s="4">
        <v>2012</v>
      </c>
      <c r="C522" s="6">
        <v>589182430.70000005</v>
      </c>
      <c r="D522" s="8">
        <f>SUMPRODUCT(N(Tabela3[PAPEL]=Tabela2[[#This Row],[Ativo]]),Tabela3[Total Ações])</f>
        <v>1033496721</v>
      </c>
      <c r="E522" s="66">
        <f>(Tabela2[[#This Row],[Lucro Líquido]])/Tabela2[[#This Row],[Total Ações]]</f>
        <v>0.57008640543137246</v>
      </c>
      <c r="F522" s="66">
        <v>1.51</v>
      </c>
      <c r="G522" s="46">
        <f>IF(AND(Tabela2[[#This Row],[Dividendo / Ação]]&gt;0,Tabela2[[#This Row],[Lucro por ação]]&gt;0),Tabela2[[#This Row],[Dividendo / Ação]]/Tabela2[[#This Row],[Lucro por ação]],"")</f>
        <v>2.6487212913933891</v>
      </c>
      <c r="H522" s="6">
        <f>MAX(Tabela2[[#This Row],[Cotação 1]],Tabela2[[#This Row],[Cotação 2]])</f>
        <v>18.399999999999999</v>
      </c>
      <c r="I522" s="19">
        <f>IF(Tabela2[[#This Row],[Dividendo / Ação]]&gt;0,Tabela2[[#This Row],[Dividendo / Ação]]/Tabela2[[#This Row],[Cotação]],"")</f>
        <v>8.206521739130436E-2</v>
      </c>
      <c r="J522" s="61">
        <f>SUMPRODUCT(N(Tabela1[Código]=Tabela2[[#This Row],[Ativo]]),Tabela1[Fechamento])</f>
        <v>18.399999999999999</v>
      </c>
      <c r="K522" s="61">
        <f>SUMPRODUCT(N(Tabela17[Código]=Tabela2[[#This Row],[Ativo]]),Tabela17[Fechamento])</f>
        <v>0</v>
      </c>
    </row>
    <row r="523" spans="1:14">
      <c r="A523" s="4" t="s">
        <v>57</v>
      </c>
      <c r="B523" s="4">
        <v>2011</v>
      </c>
      <c r="C523" s="6">
        <v>495399428.38999999</v>
      </c>
      <c r="D523" s="8">
        <f>SUMPRODUCT(N(Tabela3[PAPEL]=Tabela2[[#This Row],[Ativo]]),Tabela3[Total Ações])</f>
        <v>1033496721</v>
      </c>
      <c r="E523" s="66">
        <f>(Tabela2[[#This Row],[Lucro Líquido]])/Tabela2[[#This Row],[Total Ações]]</f>
        <v>0.47934300934274565</v>
      </c>
      <c r="F523" s="66">
        <v>1.88</v>
      </c>
      <c r="G523" s="46">
        <f>IF(AND(Tabela2[[#This Row],[Dividendo / Ação]]&gt;0,Tabela2[[#This Row],[Lucro por ação]]&gt;0),Tabela2[[#This Row],[Dividendo / Ação]]/Tabela2[[#This Row],[Lucro por ação]],"")</f>
        <v>3.9220348755638983</v>
      </c>
      <c r="H523" s="6">
        <f>MAX(Tabela2[[#This Row],[Cotação 1]],Tabela2[[#This Row],[Cotação 2]])</f>
        <v>18.399999999999999</v>
      </c>
      <c r="I523" s="19">
        <f>IF(Tabela2[[#This Row],[Dividendo / Ação]]&gt;0,Tabela2[[#This Row],[Dividendo / Ação]]/Tabela2[[#This Row],[Cotação]],"")</f>
        <v>0.10217391304347827</v>
      </c>
      <c r="J523" s="61">
        <f>SUMPRODUCT(N(Tabela1[Código]=Tabela2[[#This Row],[Ativo]]),Tabela1[Fechamento])</f>
        <v>18.399999999999999</v>
      </c>
      <c r="K523" s="61">
        <f>SUMPRODUCT(N(Tabela17[Código]=Tabela2[[#This Row],[Ativo]]),Tabela17[Fechamento])</f>
        <v>0</v>
      </c>
    </row>
    <row r="524" spans="1:14">
      <c r="A524" s="4" t="s">
        <v>57</v>
      </c>
      <c r="B524" s="4">
        <v>2010</v>
      </c>
      <c r="C524" s="6">
        <v>428630102.26999998</v>
      </c>
      <c r="D524" s="8">
        <f>SUMPRODUCT(N(Tabela3[PAPEL]=Tabela2[[#This Row],[Ativo]]),Tabela3[Total Ações])</f>
        <v>1033496721</v>
      </c>
      <c r="E524" s="66">
        <f>(Tabela2[[#This Row],[Lucro Líquido]])/Tabela2[[#This Row],[Total Ações]]</f>
        <v>0.41473774764883842</v>
      </c>
      <c r="F524" s="66">
        <v>1.63</v>
      </c>
      <c r="G524" s="46">
        <f>IF(AND(Tabela2[[#This Row],[Dividendo / Ação]]&gt;0,Tabela2[[#This Row],[Lucro por ação]]&gt;0),Tabela2[[#This Row],[Dividendo / Ação]]/Tabela2[[#This Row],[Lucro por ação]],"")</f>
        <v>3.9301944644308895</v>
      </c>
      <c r="H524" s="6">
        <f>MAX(Tabela2[[#This Row],[Cotação 1]],Tabela2[[#This Row],[Cotação 2]])</f>
        <v>18.399999999999999</v>
      </c>
      <c r="I524" s="19">
        <f>IF(Tabela2[[#This Row],[Dividendo / Ação]]&gt;0,Tabela2[[#This Row],[Dividendo / Ação]]/Tabela2[[#This Row],[Cotação]],"")</f>
        <v>8.8586956521739132E-2</v>
      </c>
      <c r="J524" s="61">
        <f>SUMPRODUCT(N(Tabela1[Código]=Tabela2[[#This Row],[Ativo]]),Tabela1[Fechamento])</f>
        <v>18.399999999999999</v>
      </c>
      <c r="K524" s="61">
        <f>SUMPRODUCT(N(Tabela17[Código]=Tabela2[[#This Row],[Ativo]]),Tabela17[Fechamento])</f>
        <v>0</v>
      </c>
    </row>
    <row r="525" spans="1:14">
      <c r="A525" s="4" t="s">
        <v>57</v>
      </c>
      <c r="B525" s="4">
        <v>2009</v>
      </c>
      <c r="C525" s="6">
        <v>287794829.95999998</v>
      </c>
      <c r="D525" s="8">
        <f>SUMPRODUCT(N(Tabela3[PAPEL]=Tabela2[[#This Row],[Ativo]]),Tabela3[Total Ações])</f>
        <v>1033496721</v>
      </c>
      <c r="E525" s="66">
        <f>(Tabela2[[#This Row],[Lucro Líquido]])/Tabela2[[#This Row],[Total Ações]]</f>
        <v>0.2784670953590766</v>
      </c>
      <c r="F525" s="66">
        <v>1.0900000000000001</v>
      </c>
      <c r="G525" s="46">
        <f>IF(AND(Tabela2[[#This Row],[Dividendo / Ação]]&gt;0,Tabela2[[#This Row],[Lucro por ação]]&gt;0),Tabela2[[#This Row],[Dividendo / Ação]]/Tabela2[[#This Row],[Lucro por ação]],"")</f>
        <v>3.9142865285195416</v>
      </c>
      <c r="H525" s="6">
        <f>MAX(Tabela2[[#This Row],[Cotação 1]],Tabela2[[#This Row],[Cotação 2]])</f>
        <v>18.399999999999999</v>
      </c>
      <c r="I525" s="19">
        <f>IF(Tabela2[[#This Row],[Dividendo / Ação]]&gt;0,Tabela2[[#This Row],[Dividendo / Ação]]/Tabela2[[#This Row],[Cotação]],"")</f>
        <v>5.9239130434782621E-2</v>
      </c>
      <c r="J525" s="61">
        <f>SUMPRODUCT(N(Tabela1[Código]=Tabela2[[#This Row],[Ativo]]),Tabela1[Fechamento])</f>
        <v>18.399999999999999</v>
      </c>
      <c r="K525" s="61">
        <f>SUMPRODUCT(N(Tabela17[Código]=Tabela2[[#This Row],[Ativo]]),Tabela17[Fechamento])</f>
        <v>0</v>
      </c>
    </row>
    <row r="526" spans="1:14">
      <c r="A526" s="4" t="s">
        <v>199</v>
      </c>
      <c r="B526" s="4">
        <v>2012</v>
      </c>
      <c r="C526" s="6">
        <v>1499500000</v>
      </c>
      <c r="D526" s="8">
        <f>SUMPRODUCT(N(Tabela3[PAPEL]=Tabela2[[#This Row],[Ativo]]),Tabela3[Total Ações])</f>
        <v>652742192</v>
      </c>
      <c r="E526" s="66">
        <f>(Tabela2[[#This Row],[Lucro Líquido]])/Tabela2[[#This Row],[Total Ações]]</f>
        <v>2.2972316151427821</v>
      </c>
      <c r="F526" s="66">
        <v>2.3690660666999999</v>
      </c>
      <c r="G526" s="46">
        <f>IF(AND(Tabela2[[#This Row],[Dividendo / Ação]]&gt;0,Tabela2[[#This Row],[Lucro por ação]]&gt;0),Tabela2[[#This Row],[Dividendo / Ação]]/Tabela2[[#This Row],[Lucro por ação]],"")</f>
        <v>1.0312700082498008</v>
      </c>
      <c r="H526" s="6">
        <f>MAX(Tabela2[[#This Row],[Cotação 1]],Tabela2[[#This Row],[Cotação 2]])</f>
        <v>35.69</v>
      </c>
      <c r="I526" s="19">
        <f>IF(Tabela2[[#This Row],[Dividendo / Ação]]&gt;0,Tabela2[[#This Row],[Dividendo / Ação]]/Tabela2[[#This Row],[Cotação]],"")</f>
        <v>6.6378987579153823E-2</v>
      </c>
      <c r="J526" s="61">
        <f>SUMPRODUCT(N(Tabela1[Código]=Tabela2[[#This Row],[Ativo]]),Tabela1[Fechamento])</f>
        <v>35.69</v>
      </c>
      <c r="K526" s="61">
        <f>SUMPRODUCT(N(Tabela17[Código]=Tabela2[[#This Row],[Ativo]]),Tabela17[Fechamento])</f>
        <v>0</v>
      </c>
    </row>
    <row r="527" spans="1:14">
      <c r="A527" s="4" t="s">
        <v>199</v>
      </c>
      <c r="B527" s="4">
        <v>2011</v>
      </c>
      <c r="C527" s="6">
        <v>1447636528</v>
      </c>
      <c r="D527" s="8">
        <f>SUMPRODUCT(N(Tabela3[PAPEL]=Tabela2[[#This Row],[Ativo]]),Tabela3[Total Ações])</f>
        <v>652742192</v>
      </c>
      <c r="E527" s="66">
        <f>(Tabela2[[#This Row],[Lucro Líquido]])/Tabela2[[#This Row],[Total Ações]]</f>
        <v>2.2177768585242608</v>
      </c>
      <c r="F527" s="66">
        <v>2.1897556102000002</v>
      </c>
      <c r="G527" s="46">
        <f>IF(AND(Tabela2[[#This Row],[Dividendo / Ação]]&gt;0,Tabela2[[#This Row],[Lucro por ação]]&gt;0),Tabela2[[#This Row],[Dividendo / Ação]]/Tabela2[[#This Row],[Lucro por ação]],"")</f>
        <v>0.98736516335421309</v>
      </c>
      <c r="H527" s="6">
        <f>MAX(Tabela2[[#This Row],[Cotação 1]],Tabela2[[#This Row],[Cotação 2]])</f>
        <v>35.69</v>
      </c>
      <c r="I527" s="19">
        <f>IF(Tabela2[[#This Row],[Dividendo / Ação]]&gt;0,Tabela2[[#This Row],[Dividendo / Ação]]/Tabela2[[#This Row],[Cotação]],"")</f>
        <v>6.1354878402913988E-2</v>
      </c>
      <c r="J527" s="61">
        <f>SUMPRODUCT(N(Tabela1[Código]=Tabela2[[#This Row],[Ativo]]),Tabela1[Fechamento])</f>
        <v>35.69</v>
      </c>
      <c r="K527" s="61">
        <f>SUMPRODUCT(N(Tabela17[Código]=Tabela2[[#This Row],[Ativo]]),Tabela17[Fechamento])</f>
        <v>0</v>
      </c>
      <c r="N527" s="70">
        <f>4.8755*Tabela2[[#This Row],[Total Ações]]</f>
        <v>3182444557.0959997</v>
      </c>
    </row>
    <row r="528" spans="1:14">
      <c r="A528" s="4" t="s">
        <v>199</v>
      </c>
      <c r="B528" s="4">
        <v>2010</v>
      </c>
      <c r="C528" s="6">
        <v>1211648449</v>
      </c>
      <c r="D528" s="8">
        <f>SUMPRODUCT(N(Tabela3[PAPEL]=Tabela2[[#This Row],[Ativo]]),Tabela3[Total Ações])</f>
        <v>652742192</v>
      </c>
      <c r="E528" s="66">
        <f>(Tabela2[[#This Row],[Lucro Líquido]])/Tabela2[[#This Row],[Total Ações]]</f>
        <v>1.8562434968199513</v>
      </c>
      <c r="F528" s="66">
        <v>1.0178134248999999</v>
      </c>
      <c r="G528" s="46">
        <f>IF(AND(Tabela2[[#This Row],[Dividendo / Ação]]&gt;0,Tabela2[[#This Row],[Lucro por ação]]&gt;0),Tabela2[[#This Row],[Dividendo / Ação]]/Tabela2[[#This Row],[Lucro por ação]],"")</f>
        <v>0.5483189175577885</v>
      </c>
      <c r="H528" s="6">
        <f>MAX(Tabela2[[#This Row],[Cotação 1]],Tabela2[[#This Row],[Cotação 2]])</f>
        <v>35.69</v>
      </c>
      <c r="I528" s="19">
        <f>IF(Tabela2[[#This Row],[Dividendo / Ação]]&gt;0,Tabela2[[#This Row],[Dividendo / Ação]]/Tabela2[[#This Row],[Cotação]],"")</f>
        <v>2.8518168251611097E-2</v>
      </c>
      <c r="J528" s="61">
        <f>SUMPRODUCT(N(Tabela1[Código]=Tabela2[[#This Row],[Ativo]]),Tabela1[Fechamento])</f>
        <v>35.69</v>
      </c>
      <c r="K528" s="61">
        <f>SUMPRODUCT(N(Tabela17[Código]=Tabela2[[#This Row],[Ativo]]),Tabela17[Fechamento])</f>
        <v>0</v>
      </c>
    </row>
    <row r="529" spans="1:14">
      <c r="A529" s="4" t="s">
        <v>82</v>
      </c>
      <c r="B529" s="4">
        <v>2012</v>
      </c>
      <c r="C529" s="6"/>
      <c r="D529" s="8">
        <f>SUMPRODUCT(N(Tabela3[PAPEL]=Tabela2[[#This Row],[Ativo]]),Tabela3[Total Ações])</f>
        <v>817720079</v>
      </c>
      <c r="E529" s="66">
        <f>(Tabela2[[#This Row],[Lucro Líquido]])/Tabela2[[#This Row],[Total Ações]]</f>
        <v>0</v>
      </c>
      <c r="F529" s="66">
        <v>0</v>
      </c>
      <c r="G529" s="46" t="str">
        <f>IF(AND(Tabela2[[#This Row],[Dividendo / Ação]]&gt;0,Tabela2[[#This Row],[Lucro por ação]]&gt;0),Tabela2[[#This Row],[Dividendo / Ação]]/Tabela2[[#This Row],[Lucro por ação]],"")</f>
        <v/>
      </c>
      <c r="H529" s="13">
        <f>MAX(Tabela2[[#This Row],[Cotação 1]],Tabela2[[#This Row],[Cotação 2]])</f>
        <v>2.44</v>
      </c>
      <c r="I529" s="19" t="str">
        <f>IF(Tabela2[[#This Row],[Dividendo / Ação]]&gt;0,Tabela2[[#This Row],[Dividendo / Ação]]/Tabela2[[#This Row],[Cotação]],"")</f>
        <v/>
      </c>
      <c r="J529" s="17">
        <f>SUMPRODUCT(N(Tabela1[Código]=Tabela2[[#This Row],[Ativo]]),Tabela1[Fechamento])</f>
        <v>0</v>
      </c>
      <c r="K529" s="17">
        <f>SUMPRODUCT(N(Tabela17[Código]=Tabela2[[#This Row],[Ativo]]),Tabela17[Fechamento])</f>
        <v>2.44</v>
      </c>
    </row>
    <row r="530" spans="1:14">
      <c r="A530" s="4" t="s">
        <v>82</v>
      </c>
      <c r="B530" s="4">
        <v>2011</v>
      </c>
      <c r="C530" s="6">
        <v>166896668.09999999</v>
      </c>
      <c r="D530" s="8">
        <f>SUMPRODUCT(N(Tabela3[PAPEL]=Tabela2[[#This Row],[Ativo]]),Tabela3[Total Ações])</f>
        <v>817720079</v>
      </c>
      <c r="E530" s="66">
        <f>(Tabela2[[#This Row],[Lucro Líquido]])/Tabela2[[#This Row],[Total Ações]]</f>
        <v>0.20409999997077238</v>
      </c>
      <c r="F530" s="66">
        <v>6.6000000000000003E-2</v>
      </c>
      <c r="G530" s="46">
        <f>IF(AND(Tabela2[[#This Row],[Dividendo / Ação]]&gt;0,Tabela2[[#This Row],[Lucro por ação]]&gt;0),Tabela2[[#This Row],[Dividendo / Ação]]/Tabela2[[#This Row],[Lucro por ação]],"")</f>
        <v>0.32337089666561175</v>
      </c>
      <c r="H530" s="13">
        <f>MAX(Tabela2[[#This Row],[Cotação 1]],Tabela2[[#This Row],[Cotação 2]])</f>
        <v>2.44</v>
      </c>
      <c r="I530" s="19">
        <f>IF(Tabela2[[#This Row],[Dividendo / Ação]]&gt;0,Tabela2[[#This Row],[Dividendo / Ação]]/Tabela2[[#This Row],[Cotação]],"")</f>
        <v>2.7049180327868853E-2</v>
      </c>
      <c r="J530" s="17">
        <f>SUMPRODUCT(N(Tabela1[Código]=Tabela2[[#This Row],[Ativo]]),Tabela1[Fechamento])</f>
        <v>0</v>
      </c>
      <c r="K530" s="17">
        <f>SUMPRODUCT(N(Tabela17[Código]=Tabela2[[#This Row],[Ativo]]),Tabela17[Fechamento])</f>
        <v>2.44</v>
      </c>
    </row>
    <row r="531" spans="1:14">
      <c r="A531" s="4" t="s">
        <v>82</v>
      </c>
      <c r="B531" s="4">
        <v>2010</v>
      </c>
      <c r="C531" s="94">
        <v>234522118.69999999</v>
      </c>
      <c r="D531" s="8">
        <f>SUMPRODUCT(N(Tabela3[PAPEL]=Tabela2[[#This Row],[Ativo]]),Tabela3[Total Ações])</f>
        <v>817720079</v>
      </c>
      <c r="E531" s="66">
        <f>(Tabela2[[#This Row],[Lucro Líquido]])/Tabela2[[#This Row],[Total Ações]]</f>
        <v>0.28680000005234063</v>
      </c>
      <c r="F531" s="66">
        <v>6.6400000000000001E-2</v>
      </c>
      <c r="G531" s="46">
        <f>IF(AND(Tabela2[[#This Row],[Dividendo / Ação]]&gt;0,Tabela2[[#This Row],[Lucro por ação]]&gt;0),Tabela2[[#This Row],[Dividendo / Ação]]/Tabela2[[#This Row],[Lucro por ação]],"")</f>
        <v>0.23152022310977016</v>
      </c>
      <c r="H531" s="13">
        <f>MAX(Tabela2[[#This Row],[Cotação 1]],Tabela2[[#This Row],[Cotação 2]])</f>
        <v>2.44</v>
      </c>
      <c r="I531" s="19">
        <f>IF(Tabela2[[#This Row],[Dividendo / Ação]]&gt;0,Tabela2[[#This Row],[Dividendo / Ação]]/Tabela2[[#This Row],[Cotação]],"")</f>
        <v>2.721311475409836E-2</v>
      </c>
      <c r="J531" s="17">
        <f>SUMPRODUCT(N(Tabela1[Código]=Tabela2[[#This Row],[Ativo]]),Tabela1[Fechamento])</f>
        <v>0</v>
      </c>
      <c r="K531" s="17">
        <f>SUMPRODUCT(N(Tabela17[Código]=Tabela2[[#This Row],[Ativo]]),Tabela17[Fechamento])</f>
        <v>2.44</v>
      </c>
    </row>
    <row r="532" spans="1:14">
      <c r="A532" s="4" t="s">
        <v>82</v>
      </c>
      <c r="B532" s="4">
        <v>2009</v>
      </c>
      <c r="C532" s="6">
        <v>106303610.3</v>
      </c>
      <c r="D532" s="8">
        <f>SUMPRODUCT(N(Tabela3[PAPEL]=Tabela2[[#This Row],[Ativo]]),Tabela3[Total Ações])</f>
        <v>817720079</v>
      </c>
      <c r="E532" s="66">
        <f>(Tabela2[[#This Row],[Lucro Líquido]])/Tabela2[[#This Row],[Total Ações]]</f>
        <v>0.13000000003668738</v>
      </c>
      <c r="F532" s="66">
        <v>0</v>
      </c>
      <c r="G532" s="46" t="str">
        <f>IF(AND(Tabela2[[#This Row],[Dividendo / Ação]]&gt;0,Tabela2[[#This Row],[Lucro por ação]]&gt;0),Tabela2[[#This Row],[Dividendo / Ação]]/Tabela2[[#This Row],[Lucro por ação]],"")</f>
        <v/>
      </c>
      <c r="H532" s="13">
        <f>MAX(Tabela2[[#This Row],[Cotação 1]],Tabela2[[#This Row],[Cotação 2]])</f>
        <v>2.44</v>
      </c>
      <c r="I532" s="19" t="str">
        <f>IF(Tabela2[[#This Row],[Dividendo / Ação]]&gt;0,Tabela2[[#This Row],[Dividendo / Ação]]/Tabela2[[#This Row],[Cotação]],"")</f>
        <v/>
      </c>
      <c r="J532" s="17">
        <f>SUMPRODUCT(N(Tabela1[Código]=Tabela2[[#This Row],[Ativo]]),Tabela1[Fechamento])</f>
        <v>0</v>
      </c>
      <c r="K532" s="17">
        <f>SUMPRODUCT(N(Tabela17[Código]=Tabela2[[#This Row],[Ativo]]),Tabela17[Fechamento])</f>
        <v>2.44</v>
      </c>
    </row>
    <row r="533" spans="1:14">
      <c r="A533" s="3" t="s">
        <v>349</v>
      </c>
      <c r="B533" s="3">
        <v>2012</v>
      </c>
      <c r="C533" s="94"/>
      <c r="D533" s="62">
        <f>SUMPRODUCT(N(Tabela3[PAPEL]=Tabela2[[#This Row],[Ativo]]),Tabela3[Total Ações])</f>
        <v>2417632647</v>
      </c>
      <c r="E533" s="65">
        <f>(Tabela2[[#This Row],[Lucro Líquido]])/Tabela2[[#This Row],[Total Ações]]</f>
        <v>0</v>
      </c>
      <c r="F533" s="65"/>
      <c r="G533" s="22" t="str">
        <f>IF(AND(Tabela2[[#This Row],[Dividendo / Ação]]&gt;0,Tabela2[[#This Row],[Lucro por ação]]&gt;0),Tabela2[[#This Row],[Dividendo / Ação]]/Tabela2[[#This Row],[Lucro por ação]],"")</f>
        <v/>
      </c>
      <c r="H533" s="51">
        <f>MAX(Tabela2[[#This Row],[Cotação 1]],Tabela2[[#This Row],[Cotação 2]])</f>
        <v>13.29</v>
      </c>
      <c r="I533" s="18" t="str">
        <f>IF(Tabela2[[#This Row],[Dividendo / Ação]]&gt;0,Tabela2[[#This Row],[Dividendo / Ação]]/Tabela2[[#This Row],[Cotação]],"")</f>
        <v/>
      </c>
      <c r="J533" s="7">
        <f>SUMPRODUCT(N(Tabela1[Código]=Tabela2[[#This Row],[Ativo]]),Tabela1[Fechamento])</f>
        <v>0</v>
      </c>
      <c r="K533" s="7">
        <f>SUMPRODUCT(N(Tabela17[Código]=Tabela2[[#This Row],[Ativo]]),Tabela17[Fechamento])</f>
        <v>13.29</v>
      </c>
    </row>
    <row r="534" spans="1:14">
      <c r="A534" s="3" t="s">
        <v>349</v>
      </c>
      <c r="B534" s="3">
        <v>2011</v>
      </c>
      <c r="C534" s="5">
        <v>1281227722.3699999</v>
      </c>
      <c r="D534" s="62">
        <f>SUMPRODUCT(N(Tabela3[PAPEL]=Tabela2[[#This Row],[Ativo]]),Tabela3[Total Ações])</f>
        <v>2417632647</v>
      </c>
      <c r="E534" s="65">
        <f>(Tabela2[[#This Row],[Lucro Líquido]])/Tabela2[[#This Row],[Total Ações]]</f>
        <v>0.52995136542346666</v>
      </c>
      <c r="F534" s="65">
        <v>0.22</v>
      </c>
      <c r="G534" s="22">
        <f>IF(AND(Tabela2[[#This Row],[Dividendo / Ação]]&gt;0,Tabela2[[#This Row],[Lucro por ação]]&gt;0),Tabela2[[#This Row],[Dividendo / Ação]]/Tabela2[[#This Row],[Lucro por ação]],"")</f>
        <v>0.41513243356624857</v>
      </c>
      <c r="H534" s="51">
        <f>MAX(Tabela2[[#This Row],[Cotação 1]],Tabela2[[#This Row],[Cotação 2]])</f>
        <v>13.29</v>
      </c>
      <c r="I534" s="18">
        <f>IF(Tabela2[[#This Row],[Dividendo / Ação]]&gt;0,Tabela2[[#This Row],[Dividendo / Ação]]/Tabela2[[#This Row],[Cotação]],"")</f>
        <v>1.6553799849510911E-2</v>
      </c>
      <c r="J534" s="7">
        <f>SUMPRODUCT(N(Tabela1[Código]=Tabela2[[#This Row],[Ativo]]),Tabela1[Fechamento])</f>
        <v>0</v>
      </c>
      <c r="K534" s="7">
        <f>SUMPRODUCT(N(Tabela17[Código]=Tabela2[[#This Row],[Ativo]]),Tabela17[Fechamento])</f>
        <v>13.29</v>
      </c>
    </row>
    <row r="535" spans="1:14">
      <c r="A535" s="3" t="s">
        <v>349</v>
      </c>
      <c r="B535" s="3">
        <v>2010</v>
      </c>
      <c r="C535" s="5">
        <v>2216909132.75</v>
      </c>
      <c r="D535" s="62">
        <f>SUMPRODUCT(N(Tabela3[PAPEL]=Tabela2[[#This Row],[Ativo]]),Tabela3[Total Ações])</f>
        <v>2417632647</v>
      </c>
      <c r="E535" s="65">
        <f>(Tabela2[[#This Row],[Lucro Líquido]])/Tabela2[[#This Row],[Total Ações]]</f>
        <v>0.9169751804522186</v>
      </c>
      <c r="F535" s="65">
        <v>0.2</v>
      </c>
      <c r="G535" s="22">
        <f>IF(AND(Tabela2[[#This Row],[Dividendo / Ação]]&gt;0,Tabela2[[#This Row],[Lucro por ação]]&gt;0),Tabela2[[#This Row],[Dividendo / Ação]]/Tabela2[[#This Row],[Lucro por ação]],"")</f>
        <v>0.21810841150724203</v>
      </c>
      <c r="H535" s="51">
        <f>MAX(Tabela2[[#This Row],[Cotação 1]],Tabela2[[#This Row],[Cotação 2]])</f>
        <v>13.29</v>
      </c>
      <c r="I535" s="18">
        <f>IF(Tabela2[[#This Row],[Dividendo / Ação]]&gt;0,Tabela2[[#This Row],[Dividendo / Ação]]/Tabela2[[#This Row],[Cotação]],"")</f>
        <v>1.5048908954100829E-2</v>
      </c>
      <c r="J535" s="7">
        <f>SUMPRODUCT(N(Tabela1[Código]=Tabela2[[#This Row],[Ativo]]),Tabela1[Fechamento])</f>
        <v>0</v>
      </c>
      <c r="K535" s="7">
        <f>SUMPRODUCT(N(Tabela17[Código]=Tabela2[[#This Row],[Ativo]]),Tabela17[Fechamento])</f>
        <v>13.29</v>
      </c>
    </row>
    <row r="536" spans="1:14">
      <c r="A536" s="4" t="s">
        <v>491</v>
      </c>
      <c r="B536" s="4">
        <v>2012</v>
      </c>
      <c r="C536" s="6">
        <v>21385000</v>
      </c>
      <c r="D536" s="91">
        <f>SUMPRODUCT(N(Tabela3[PAPEL]=Tabela2[[#This Row],[Ativo]]),Tabela3[Total Ações])</f>
        <v>2857301</v>
      </c>
      <c r="E536" s="66">
        <f>(Tabela2[[#This Row],[Lucro Líquido]])/Tabela2[[#This Row],[Total Ações]]</f>
        <v>7.4843357420166789</v>
      </c>
      <c r="F536" s="66">
        <v>5.7389999999999999</v>
      </c>
      <c r="G536" s="45">
        <f>IF(AND(Tabela2[[#This Row],[Dividendo / Ação]]&gt;0,Tabela2[[#This Row],[Lucro por ação]]&gt;0),Tabela2[[#This Row],[Dividendo / Ação]]/Tabela2[[#This Row],[Lucro por ação]],"")</f>
        <v>0.76680151690437226</v>
      </c>
      <c r="H536" s="61">
        <f>MAX(Tabela2[[#This Row],[Cotação 1]],Tabela2[[#This Row],[Cotação 2]])</f>
        <v>88</v>
      </c>
      <c r="I536" s="46">
        <f>IF(Tabela2[[#This Row],[Dividendo / Ação]]&gt;0,Tabela2[[#This Row],[Dividendo / Ação]]/Tabela2[[#This Row],[Cotação]],"")</f>
        <v>6.5215909090909088E-2</v>
      </c>
      <c r="J536" s="17">
        <f>SUMPRODUCT(N(Tabela1[Código]=Tabela2[[#This Row],[Ativo]]),Tabela1[Fechamento])</f>
        <v>0</v>
      </c>
      <c r="K536" s="17">
        <f>SUMPRODUCT(N(Tabela17[Código]=Tabela2[[#This Row],[Ativo]]),Tabela17[Fechamento])</f>
        <v>88</v>
      </c>
    </row>
    <row r="537" spans="1:14">
      <c r="A537" s="4" t="s">
        <v>491</v>
      </c>
      <c r="B537" s="4">
        <v>2011</v>
      </c>
      <c r="C537" s="6">
        <v>27650101.780000001</v>
      </c>
      <c r="D537" s="91">
        <f>SUMPRODUCT(N(Tabela3[PAPEL]=Tabela2[[#This Row],[Ativo]]),Tabela3[Total Ações])</f>
        <v>2857301</v>
      </c>
      <c r="E537" s="66">
        <f>(Tabela2[[#This Row],[Lucro Líquido]])/Tabela2[[#This Row],[Total Ações]]</f>
        <v>9.677000001049942</v>
      </c>
      <c r="F537" s="66">
        <v>9.48</v>
      </c>
      <c r="G537" s="45">
        <f>IF(AND(Tabela2[[#This Row],[Dividendo / Ação]]&gt;0,Tabela2[[#This Row],[Lucro por ação]]&gt;0),Tabela2[[#This Row],[Dividendo / Ação]]/Tabela2[[#This Row],[Lucro por ação]],"")</f>
        <v>0.97964245106659431</v>
      </c>
      <c r="H537" s="61">
        <f>MAX(Tabela2[[#This Row],[Cotação 1]],Tabela2[[#This Row],[Cotação 2]])</f>
        <v>88</v>
      </c>
      <c r="I537" s="46">
        <f>IF(Tabela2[[#This Row],[Dividendo / Ação]]&gt;0,Tabela2[[#This Row],[Dividendo / Ação]]/Tabela2[[#This Row],[Cotação]],"")</f>
        <v>0.10772727272727273</v>
      </c>
      <c r="J537" s="17">
        <f>SUMPRODUCT(N(Tabela1[Código]=Tabela2[[#This Row],[Ativo]]),Tabela1[Fechamento])</f>
        <v>0</v>
      </c>
      <c r="K537" s="17">
        <f>SUMPRODUCT(N(Tabela17[Código]=Tabela2[[#This Row],[Ativo]]),Tabela17[Fechamento])</f>
        <v>88</v>
      </c>
    </row>
    <row r="538" spans="1:14">
      <c r="A538" s="4" t="s">
        <v>491</v>
      </c>
      <c r="B538" s="4">
        <v>2010</v>
      </c>
      <c r="C538" s="6">
        <v>27290081.850000001</v>
      </c>
      <c r="D538" s="91">
        <f>SUMPRODUCT(N(Tabela3[PAPEL]=Tabela2[[#This Row],[Ativo]]),Tabela3[Total Ações])</f>
        <v>2857301</v>
      </c>
      <c r="E538" s="66">
        <f>(Tabela2[[#This Row],[Lucro Líquido]])/Tabela2[[#This Row],[Total Ações]]</f>
        <v>9.5509999996500206</v>
      </c>
      <c r="F538" s="66">
        <v>6.27</v>
      </c>
      <c r="G538" s="45">
        <f>IF(AND(Tabela2[[#This Row],[Dividendo / Ação]]&gt;0,Tabela2[[#This Row],[Lucro por ação]]&gt;0),Tabela2[[#This Row],[Dividendo / Ação]]/Tabela2[[#This Row],[Lucro por ação]],"")</f>
        <v>0.65647576172440081</v>
      </c>
      <c r="H538" s="61">
        <f>MAX(Tabela2[[#This Row],[Cotação 1]],Tabela2[[#This Row],[Cotação 2]])</f>
        <v>88</v>
      </c>
      <c r="I538" s="46">
        <f>IF(Tabela2[[#This Row],[Dividendo / Ação]]&gt;0,Tabela2[[#This Row],[Dividendo / Ação]]/Tabela2[[#This Row],[Cotação]],"")</f>
        <v>7.1249999999999994E-2</v>
      </c>
      <c r="J538" s="17">
        <f>SUMPRODUCT(N(Tabela1[Código]=Tabela2[[#This Row],[Ativo]]),Tabela1[Fechamento])</f>
        <v>0</v>
      </c>
      <c r="K538" s="17">
        <f>SUMPRODUCT(N(Tabela17[Código]=Tabela2[[#This Row],[Ativo]]),Tabela17[Fechamento])</f>
        <v>88</v>
      </c>
    </row>
    <row r="539" spans="1:14">
      <c r="A539" s="4" t="s">
        <v>491</v>
      </c>
      <c r="B539" s="4">
        <v>2009</v>
      </c>
      <c r="C539" s="6">
        <v>20461132.460000001</v>
      </c>
      <c r="D539" s="91">
        <f>SUMPRODUCT(N(Tabela3[PAPEL]=Tabela2[[#This Row],[Ativo]]),Tabela3[Total Ações])</f>
        <v>2857301</v>
      </c>
      <c r="E539" s="66">
        <f>(Tabela2[[#This Row],[Lucro Líquido]])/Tabela2[[#This Row],[Total Ações]]</f>
        <v>7.16099999965002</v>
      </c>
      <c r="F539" s="66">
        <v>3.63</v>
      </c>
      <c r="G539" s="45">
        <f>IF(AND(Tabela2[[#This Row],[Dividendo / Ação]]&gt;0,Tabela2[[#This Row],[Lucro por ação]]&gt;0),Tabela2[[#This Row],[Dividendo / Ação]]/Tabela2[[#This Row],[Lucro por ação]],"")</f>
        <v>0.50691244242108768</v>
      </c>
      <c r="H539" s="61">
        <f>MAX(Tabela2[[#This Row],[Cotação 1]],Tabela2[[#This Row],[Cotação 2]])</f>
        <v>88</v>
      </c>
      <c r="I539" s="46">
        <f>IF(Tabela2[[#This Row],[Dividendo / Ação]]&gt;0,Tabela2[[#This Row],[Dividendo / Ação]]/Tabela2[[#This Row],[Cotação]],"")</f>
        <v>4.1250000000000002E-2</v>
      </c>
      <c r="J539" s="17">
        <f>SUMPRODUCT(N(Tabela1[Código]=Tabela2[[#This Row],[Ativo]]),Tabela1[Fechamento])</f>
        <v>0</v>
      </c>
      <c r="K539" s="17">
        <f>SUMPRODUCT(N(Tabela17[Código]=Tabela2[[#This Row],[Ativo]]),Tabela17[Fechamento])</f>
        <v>88</v>
      </c>
    </row>
    <row r="540" spans="1:14">
      <c r="A540" s="4" t="s">
        <v>175</v>
      </c>
      <c r="B540" s="4">
        <v>2012</v>
      </c>
      <c r="C540" s="6">
        <v>843488000</v>
      </c>
      <c r="D540" s="8">
        <f>SUMPRODUCT(N(Tabela3[PAPEL]=Tabela2[[#This Row],[Ativo]]),Tabela3[Total Ações])</f>
        <v>152661565</v>
      </c>
      <c r="E540" s="66">
        <f>(Tabela2[[#This Row],[Lucro Líquido]])/Tabela2[[#This Row],[Total Ações]]</f>
        <v>5.5252152039709532</v>
      </c>
      <c r="F540" s="66">
        <v>1.8032159999999999</v>
      </c>
      <c r="G540" s="46">
        <f>IF(AND(Tabela2[[#This Row],[Dividendo / Ação]]&gt;0,Tabela2[[#This Row],[Lucro por ação]]&gt;0),Tabela2[[#This Row],[Dividendo / Ação]]/Tabela2[[#This Row],[Lucro por ação]],"")</f>
        <v>0.32636122457348538</v>
      </c>
      <c r="H540" s="6">
        <f>MAX(Tabela2[[#This Row],[Cotação 1]],Tabela2[[#This Row],[Cotação 2]])</f>
        <v>42.11</v>
      </c>
      <c r="I540" s="19">
        <f>IF(Tabela2[[#This Row],[Dividendo / Ação]]&gt;0,Tabela2[[#This Row],[Dividendo / Ação]]/Tabela2[[#This Row],[Cotação]],"")</f>
        <v>4.2821562574210402E-2</v>
      </c>
      <c r="J540" s="61">
        <f>SUMPRODUCT(N(Tabela1[Código]=Tabela2[[#This Row],[Ativo]]),Tabela1[Fechamento])</f>
        <v>42.11</v>
      </c>
      <c r="K540" s="61">
        <f>SUMPRODUCT(N(Tabela17[Código]=Tabela2[[#This Row],[Ativo]]),Tabela17[Fechamento])</f>
        <v>0</v>
      </c>
    </row>
    <row r="541" spans="1:14">
      <c r="A541" s="4" t="s">
        <v>175</v>
      </c>
      <c r="B541" s="3">
        <v>2011</v>
      </c>
      <c r="C541" s="5">
        <v>920137051</v>
      </c>
      <c r="D541" s="62">
        <f>SUMPRODUCT(N(Tabela3[PAPEL]=Tabela2[[#This Row],[Ativo]]),Tabela3[Total Ações])</f>
        <v>152661565</v>
      </c>
      <c r="E541" s="65">
        <f>(Tabela2[[#This Row],[Lucro Líquido]])/Tabela2[[#This Row],[Total Ações]]</f>
        <v>6.0273000018046456</v>
      </c>
      <c r="F541" s="65">
        <v>4.9819000000000004</v>
      </c>
      <c r="G541" s="22">
        <f>IF(AND(Tabela2[[#This Row],[Dividendo / Ação]]&gt;0,Tabela2[[#This Row],[Lucro por ação]]&gt;0),Tabela2[[#This Row],[Dividendo / Ação]]/Tabela2[[#This Row],[Lucro por ação]],"")</f>
        <v>0.82655583735808069</v>
      </c>
      <c r="H541" s="5">
        <f>MAX(Tabela2[[#This Row],[Cotação 1]],Tabela2[[#This Row],[Cotação 2]])</f>
        <v>42.11</v>
      </c>
      <c r="I541" s="18">
        <f>IF(Tabela2[[#This Row],[Dividendo / Ação]]&gt;0,Tabela2[[#This Row],[Dividendo / Ação]]/Tabela2[[#This Row],[Cotação]],"")</f>
        <v>0.11830681548325815</v>
      </c>
      <c r="J541" s="60">
        <f>SUMPRODUCT(N(Tabela1[Código]=Tabela2[[#This Row],[Ativo]]),Tabela1[Fechamento])</f>
        <v>42.11</v>
      </c>
      <c r="K541" s="60">
        <f>SUMPRODUCT(N(Tabela17[Código]=Tabela2[[#This Row],[Ativo]]),Tabela17[Fechamento])</f>
        <v>0</v>
      </c>
    </row>
    <row r="542" spans="1:14">
      <c r="A542" s="4" t="s">
        <v>175</v>
      </c>
      <c r="B542" s="3">
        <v>2010</v>
      </c>
      <c r="C542" s="5">
        <v>818571312</v>
      </c>
      <c r="D542" s="62">
        <f>SUMPRODUCT(N(Tabela3[PAPEL]=Tabela2[[#This Row],[Ativo]]),Tabela3[Total Ações])</f>
        <v>152661565</v>
      </c>
      <c r="E542" s="65">
        <f>(Tabela2[[#This Row],[Lucro Líquido]])/Tabela2[[#This Row],[Total Ações]]</f>
        <v>5.3620000030787054</v>
      </c>
      <c r="F542" s="65">
        <v>5.0853999999999999</v>
      </c>
      <c r="G542" s="22">
        <f>IF(AND(Tabela2[[#This Row],[Dividendo / Ação]]&gt;0,Tabela2[[#This Row],[Lucro por ação]]&gt;0),Tabela2[[#This Row],[Dividendo / Ação]]/Tabela2[[#This Row],[Lucro por ação]],"")</f>
        <v>0.94841477006342978</v>
      </c>
      <c r="H542" s="5">
        <f>MAX(Tabela2[[#This Row],[Cotação 1]],Tabela2[[#This Row],[Cotação 2]])</f>
        <v>42.11</v>
      </c>
      <c r="I542" s="18">
        <f>IF(Tabela2[[#This Row],[Dividendo / Ação]]&gt;0,Tabela2[[#This Row],[Dividendo / Ação]]/Tabela2[[#This Row],[Cotação]],"")</f>
        <v>0.12076466397530278</v>
      </c>
      <c r="J542" s="60">
        <f>SUMPRODUCT(N(Tabela1[Código]=Tabela2[[#This Row],[Ativo]]),Tabela1[Fechamento])</f>
        <v>42.11</v>
      </c>
      <c r="K542" s="60">
        <f>SUMPRODUCT(N(Tabela17[Código]=Tabela2[[#This Row],[Ativo]]),Tabela17[Fechamento])</f>
        <v>0</v>
      </c>
    </row>
    <row r="543" spans="1:14">
      <c r="A543" s="4" t="s">
        <v>176</v>
      </c>
      <c r="B543" s="4">
        <v>2012</v>
      </c>
      <c r="C543" s="6">
        <v>843488000</v>
      </c>
      <c r="D543" s="8">
        <f>SUMPRODUCT(N(Tabela3[PAPEL]=Tabela2[[#This Row],[Ativo]]),Tabela3[Total Ações])</f>
        <v>152661565</v>
      </c>
      <c r="E543" s="66">
        <f>(Tabela2[[#This Row],[Lucro Líquido]])/Tabela2[[#This Row],[Total Ações]]</f>
        <v>5.5252152039709532</v>
      </c>
      <c r="F543" s="66">
        <v>1.8032159999999999</v>
      </c>
      <c r="G543" s="46">
        <f>IF(AND(Tabela2[[#This Row],[Dividendo / Ação]]&gt;0,Tabela2[[#This Row],[Lucro por ação]]&gt;0),Tabela2[[#This Row],[Dividendo / Ação]]/Tabela2[[#This Row],[Lucro por ação]],"")</f>
        <v>0.32636122457348538</v>
      </c>
      <c r="H543" s="6">
        <f>MAX(Tabela2[[#This Row],[Cotação 1]],Tabela2[[#This Row],[Cotação 2]])</f>
        <v>26.61</v>
      </c>
      <c r="I543" s="19">
        <f>IF(Tabela2[[#This Row],[Dividendo / Ação]]&gt;0,Tabela2[[#This Row],[Dividendo / Ação]]/Tabela2[[#This Row],[Cotação]],"")</f>
        <v>6.7764599774520859E-2</v>
      </c>
      <c r="J543" s="61">
        <f>SUMPRODUCT(N(Tabela1[Código]=Tabela2[[#This Row],[Ativo]]),Tabela1[Fechamento])</f>
        <v>26.61</v>
      </c>
      <c r="K543" s="61">
        <f>SUMPRODUCT(N(Tabela17[Código]=Tabela2[[#This Row],[Ativo]]),Tabela17[Fechamento])</f>
        <v>0</v>
      </c>
    </row>
    <row r="544" spans="1:14">
      <c r="A544" s="4" t="s">
        <v>176</v>
      </c>
      <c r="B544" s="4">
        <v>2011</v>
      </c>
      <c r="C544" s="5">
        <v>920137051</v>
      </c>
      <c r="D544" s="8">
        <f>SUMPRODUCT(N(Tabela3[PAPEL]=Tabela2[[#This Row],[Ativo]]),Tabela3[Total Ações])</f>
        <v>152661565</v>
      </c>
      <c r="E544" s="66">
        <f>(Tabela2[[#This Row],[Lucro Líquido]])/Tabela2[[#This Row],[Total Ações]]</f>
        <v>6.0273000018046456</v>
      </c>
      <c r="F544" s="65">
        <v>4.9819000000000004</v>
      </c>
      <c r="G544" s="46">
        <f>IF(AND(Tabela2[[#This Row],[Dividendo / Ação]]&gt;0,Tabela2[[#This Row],[Lucro por ação]]&gt;0),Tabela2[[#This Row],[Dividendo / Ação]]/Tabela2[[#This Row],[Lucro por ação]],"")</f>
        <v>0.82655583735808069</v>
      </c>
      <c r="H544" s="6">
        <f>MAX(Tabela2[[#This Row],[Cotação 1]],Tabela2[[#This Row],[Cotação 2]])</f>
        <v>26.61</v>
      </c>
      <c r="I544" s="19">
        <f>IF(Tabela2[[#This Row],[Dividendo / Ação]]&gt;0,Tabela2[[#This Row],[Dividendo / Ação]]/Tabela2[[#This Row],[Cotação]],"")</f>
        <v>0.18721909056745586</v>
      </c>
      <c r="J544" s="61">
        <f>SUMPRODUCT(N(Tabela1[Código]=Tabela2[[#This Row],[Ativo]]),Tabela1[Fechamento])</f>
        <v>26.61</v>
      </c>
      <c r="K544" s="61">
        <f>SUMPRODUCT(N(Tabela17[Código]=Tabela2[[#This Row],[Ativo]]),Tabela17[Fechamento])</f>
        <v>0</v>
      </c>
      <c r="N544" s="70">
        <f>2.62*Tabela2[[#This Row],[Total Ações]]</f>
        <v>399973300.30000001</v>
      </c>
    </row>
    <row r="545" spans="1:14">
      <c r="A545" s="4" t="s">
        <v>176</v>
      </c>
      <c r="B545" s="4">
        <v>2010</v>
      </c>
      <c r="C545" s="5">
        <v>818571312</v>
      </c>
      <c r="D545" s="8">
        <f>SUMPRODUCT(N(Tabela3[PAPEL]=Tabela2[[#This Row],[Ativo]]),Tabela3[Total Ações])</f>
        <v>152661565</v>
      </c>
      <c r="E545" s="66">
        <f>(Tabela2[[#This Row],[Lucro Líquido]])/Tabela2[[#This Row],[Total Ações]]</f>
        <v>5.3620000030787054</v>
      </c>
      <c r="F545" s="65">
        <v>5.0853999999999999</v>
      </c>
      <c r="G545" s="46">
        <f>IF(AND(Tabela2[[#This Row],[Dividendo / Ação]]&gt;0,Tabela2[[#This Row],[Lucro por ação]]&gt;0),Tabela2[[#This Row],[Dividendo / Ação]]/Tabela2[[#This Row],[Lucro por ação]],"")</f>
        <v>0.94841477006342978</v>
      </c>
      <c r="H545" s="6">
        <f>MAX(Tabela2[[#This Row],[Cotação 1]],Tabela2[[#This Row],[Cotação 2]])</f>
        <v>26.61</v>
      </c>
      <c r="I545" s="19">
        <f>IF(Tabela2[[#This Row],[Dividendo / Ação]]&gt;0,Tabela2[[#This Row],[Dividendo / Ação]]/Tabela2[[#This Row],[Cotação]],"")</f>
        <v>0.19110860578729802</v>
      </c>
      <c r="J545" s="61">
        <f>SUMPRODUCT(N(Tabela1[Código]=Tabela2[[#This Row],[Ativo]]),Tabela1[Fechamento])</f>
        <v>26.61</v>
      </c>
      <c r="K545" s="61">
        <f>SUMPRODUCT(N(Tabela17[Código]=Tabela2[[#This Row],[Ativo]]),Tabela17[Fechamento])</f>
        <v>0</v>
      </c>
    </row>
    <row r="546" spans="1:14">
      <c r="A546" s="3" t="s">
        <v>376</v>
      </c>
      <c r="B546" s="3">
        <v>2012</v>
      </c>
      <c r="C546" s="5">
        <v>1011009000</v>
      </c>
      <c r="D546" s="62">
        <f>SUMPRODUCT(N(Tabela3[PAPEL]=Tabela2[[#This Row],[Ativo]]),Tabela3[Total Ações])</f>
        <v>544383996</v>
      </c>
      <c r="E546" s="65">
        <f>(Tabela2[[#This Row],[Lucro Líquido]])/Tabela2[[#This Row],[Total Ações]]</f>
        <v>1.8571615025949439</v>
      </c>
      <c r="F546" s="65">
        <v>1.17</v>
      </c>
      <c r="G546" s="22">
        <f>IF(AND(Tabela2[[#This Row],[Dividendo / Ação]]&gt;0,Tabela2[[#This Row],[Lucro por ação]]&gt;0),Tabela2[[#This Row],[Dividendo / Ação]]/Tabela2[[#This Row],[Lucro por ação]],"")</f>
        <v>0.62999367495244851</v>
      </c>
      <c r="H546" s="51">
        <f>MAX(Tabela2[[#This Row],[Cotação 1]],Tabela2[[#This Row],[Cotação 2]])</f>
        <v>53.4</v>
      </c>
      <c r="I546" s="18">
        <f>IF(Tabela2[[#This Row],[Dividendo / Ação]]&gt;0,Tabela2[[#This Row],[Dividendo / Ação]]/Tabela2[[#This Row],[Cotação]],"")</f>
        <v>2.1910112359550562E-2</v>
      </c>
      <c r="J546" s="7">
        <f>SUMPRODUCT(N(Tabela1[Código]=Tabela2[[#This Row],[Ativo]]),Tabela1[Fechamento])</f>
        <v>0</v>
      </c>
      <c r="K546" s="7">
        <f>SUMPRODUCT(N(Tabela17[Código]=Tabela2[[#This Row],[Ativo]]),Tabela17[Fechamento])</f>
        <v>53.4</v>
      </c>
    </row>
    <row r="547" spans="1:14">
      <c r="A547" s="3" t="s">
        <v>376</v>
      </c>
      <c r="B547" s="3">
        <v>2011</v>
      </c>
      <c r="C547" s="5">
        <v>860126713.70000005</v>
      </c>
      <c r="D547" s="62">
        <f>SUMPRODUCT(N(Tabela3[PAPEL]=Tabela2[[#This Row],[Ativo]]),Tabela3[Total Ações])</f>
        <v>544383996</v>
      </c>
      <c r="E547" s="65">
        <f>(Tabela2[[#This Row],[Lucro Líquido]])/Tabela2[[#This Row],[Total Ações]]</f>
        <v>1.5800000000367389</v>
      </c>
      <c r="F547" s="65">
        <v>0.98</v>
      </c>
      <c r="G547" s="22">
        <f>IF(AND(Tabela2[[#This Row],[Dividendo / Ação]]&gt;0,Tabela2[[#This Row],[Lucro por ação]]&gt;0),Tabela2[[#This Row],[Dividendo / Ação]]/Tabela2[[#This Row],[Lucro por ação]],"")</f>
        <v>0.62025316454253965</v>
      </c>
      <c r="H547" s="51">
        <f>MAX(Tabela2[[#This Row],[Cotação 1]],Tabela2[[#This Row],[Cotação 2]])</f>
        <v>53.4</v>
      </c>
      <c r="I547" s="18">
        <f>IF(Tabela2[[#This Row],[Dividendo / Ação]]&gt;0,Tabela2[[#This Row],[Dividendo / Ação]]/Tabela2[[#This Row],[Cotação]],"")</f>
        <v>1.8352059925093634E-2</v>
      </c>
      <c r="J547" s="7">
        <f>SUMPRODUCT(N(Tabela1[Código]=Tabela2[[#This Row],[Ativo]]),Tabela1[Fechamento])</f>
        <v>0</v>
      </c>
      <c r="K547" s="7">
        <f>SUMPRODUCT(N(Tabela17[Código]=Tabela2[[#This Row],[Ativo]]),Tabela17[Fechamento])</f>
        <v>53.4</v>
      </c>
    </row>
    <row r="548" spans="1:14">
      <c r="A548" s="3" t="s">
        <v>376</v>
      </c>
      <c r="B548" s="3">
        <v>2010</v>
      </c>
      <c r="C548" s="5">
        <v>773025274.29999995</v>
      </c>
      <c r="D548" s="62">
        <f>SUMPRODUCT(N(Tabela3[PAPEL]=Tabela2[[#This Row],[Ativo]]),Tabela3[Total Ações])</f>
        <v>544383996</v>
      </c>
      <c r="E548" s="65">
        <f>(Tabela2[[#This Row],[Lucro Líquido]])/Tabela2[[#This Row],[Total Ações]]</f>
        <v>1.4199999999632611</v>
      </c>
      <c r="F548" s="65">
        <v>0.8</v>
      </c>
      <c r="G548" s="22">
        <f>IF(AND(Tabela2[[#This Row],[Dividendo / Ação]]&gt;0,Tabela2[[#This Row],[Lucro por ação]]&gt;0),Tabela2[[#This Row],[Dividendo / Ação]]/Tabela2[[#This Row],[Lucro por ação]],"")</f>
        <v>0.56338028170471688</v>
      </c>
      <c r="H548" s="51">
        <f>MAX(Tabela2[[#This Row],[Cotação 1]],Tabela2[[#This Row],[Cotação 2]])</f>
        <v>53.4</v>
      </c>
      <c r="I548" s="18">
        <f>IF(Tabela2[[#This Row],[Dividendo / Ação]]&gt;0,Tabela2[[#This Row],[Dividendo / Ação]]/Tabela2[[#This Row],[Cotação]],"")</f>
        <v>1.4981273408239702E-2</v>
      </c>
      <c r="J548" s="7">
        <f>SUMPRODUCT(N(Tabela1[Código]=Tabela2[[#This Row],[Ativo]]),Tabela1[Fechamento])</f>
        <v>0</v>
      </c>
      <c r="K548" s="7">
        <f>SUMPRODUCT(N(Tabela17[Código]=Tabela2[[#This Row],[Ativo]]),Tabela17[Fechamento])</f>
        <v>53.4</v>
      </c>
      <c r="N548" s="3">
        <f>43179000/Tabela2[[#This Row],[Total Ações]]</f>
        <v>7.9317173754681794E-2</v>
      </c>
    </row>
    <row r="549" spans="1:14">
      <c r="A549" s="4" t="s">
        <v>39</v>
      </c>
      <c r="B549" s="4">
        <v>2012</v>
      </c>
      <c r="C549" s="6">
        <v>39281689.020000003</v>
      </c>
      <c r="D549" s="8">
        <f>SUMPRODUCT(N(Tabela3[PAPEL]=Tabela2[[#This Row],[Ativo]]),Tabela3[Total Ações])</f>
        <v>835502072</v>
      </c>
      <c r="E549" s="64">
        <f>(Tabela2[[#This Row],[Lucro Líquido]])/Tabela2[[#This Row],[Total Ações]]</f>
        <v>4.7015669184360807E-2</v>
      </c>
      <c r="F549" s="64">
        <v>9.6799999999999994E-3</v>
      </c>
      <c r="G549" s="19">
        <f>IF(AND(Tabela2[[#This Row],[Dividendo / Ação]]&gt;0,Tabela2[[#This Row],[Lucro por ação]]&gt;0),Tabela2[[#This Row],[Dividendo / Ação]]/Tabela2[[#This Row],[Lucro por ação]],"")</f>
        <v>0.20588880617740807</v>
      </c>
      <c r="H549" s="6">
        <f>MAX(Tabela2[[#This Row],[Cotação 1]],Tabela2[[#This Row],[Cotação 2]])</f>
        <v>0.52</v>
      </c>
      <c r="I549" s="18">
        <f>IF(Tabela2[[#This Row],[Dividendo / Ação]]&gt;0,Tabela2[[#This Row],[Dividendo / Ação]]/Tabela2[[#This Row],[Cotação]],"")</f>
        <v>1.8615384615384614E-2</v>
      </c>
      <c r="J549" s="60">
        <f>SUMPRODUCT(N(Tabela1[Código]=Tabela2[[#This Row],[Ativo]]),Tabela1[Fechamento])</f>
        <v>0.52</v>
      </c>
      <c r="K549" s="60">
        <f>SUMPRODUCT(N(Tabela17[Código]=Tabela2[[#This Row],[Ativo]]),Tabela17[Fechamento])</f>
        <v>0</v>
      </c>
    </row>
    <row r="550" spans="1:14">
      <c r="A550" s="4" t="s">
        <v>39</v>
      </c>
      <c r="B550" s="4">
        <v>2011</v>
      </c>
      <c r="C550" s="6">
        <v>4448000</v>
      </c>
      <c r="D550" s="8">
        <f>SUMPRODUCT(N(Tabela3[PAPEL]=Tabela2[[#This Row],[Ativo]]),Tabela3[Total Ações])</f>
        <v>835502072</v>
      </c>
      <c r="E550" s="64">
        <f>(Tabela2[[#This Row],[Lucro Líquido]])/Tabela2[[#This Row],[Total Ações]]</f>
        <v>5.323745025972838E-3</v>
      </c>
      <c r="F550" s="64">
        <v>0</v>
      </c>
      <c r="G550" s="19" t="str">
        <f>IF(AND(Tabela2[[#This Row],[Dividendo / Ação]]&gt;0,Tabela2[[#This Row],[Lucro por ação]]&gt;0),Tabela2[[#This Row],[Dividendo / Ação]]/Tabela2[[#This Row],[Lucro por ação]],"")</f>
        <v/>
      </c>
      <c r="H550" s="6">
        <f>MAX(Tabela2[[#This Row],[Cotação 1]],Tabela2[[#This Row],[Cotação 2]])</f>
        <v>0.52</v>
      </c>
      <c r="I550" s="18" t="str">
        <f>IF(Tabela2[[#This Row],[Dividendo / Ação]]&gt;0,Tabela2[[#This Row],[Dividendo / Ação]]/Tabela2[[#This Row],[Cotação]],"")</f>
        <v/>
      </c>
      <c r="J550" s="60">
        <f>SUMPRODUCT(N(Tabela1[Código]=Tabela2[[#This Row],[Ativo]]),Tabela1[Fechamento])</f>
        <v>0.52</v>
      </c>
      <c r="K550" s="60">
        <f>SUMPRODUCT(N(Tabela17[Código]=Tabela2[[#This Row],[Ativo]]),Tabela17[Fechamento])</f>
        <v>0</v>
      </c>
    </row>
    <row r="551" spans="1:14">
      <c r="A551" s="4" t="s">
        <v>39</v>
      </c>
      <c r="B551" s="4">
        <v>2010</v>
      </c>
      <c r="C551" s="6">
        <v>30296000</v>
      </c>
      <c r="D551" s="8">
        <f>SUMPRODUCT(N(Tabela3[PAPEL]=Tabela2[[#This Row],[Ativo]]),Tabela3[Total Ações])</f>
        <v>835502072</v>
      </c>
      <c r="E551" s="64">
        <f>(Tabela2[[#This Row],[Lucro Líquido]])/Tabela2[[#This Row],[Total Ações]]</f>
        <v>3.6260831678703483E-2</v>
      </c>
      <c r="F551" s="64">
        <v>0</v>
      </c>
      <c r="G551" s="19" t="str">
        <f>IF(AND(Tabela2[[#This Row],[Dividendo / Ação]]&gt;0,Tabela2[[#This Row],[Lucro por ação]]&gt;0),Tabela2[[#This Row],[Dividendo / Ação]]/Tabela2[[#This Row],[Lucro por ação]],"")</f>
        <v/>
      </c>
      <c r="H551" s="6">
        <f>MAX(Tabela2[[#This Row],[Cotação 1]],Tabela2[[#This Row],[Cotação 2]])</f>
        <v>0.52</v>
      </c>
      <c r="I551" s="18" t="str">
        <f>IF(Tabela2[[#This Row],[Dividendo / Ação]]&gt;0,Tabela2[[#This Row],[Dividendo / Ação]]/Tabela2[[#This Row],[Cotação]],"")</f>
        <v/>
      </c>
      <c r="J551" s="60">
        <f>SUMPRODUCT(N(Tabela1[Código]=Tabela2[[#This Row],[Ativo]]),Tabela1[Fechamento])</f>
        <v>0.52</v>
      </c>
      <c r="K551" s="60">
        <f>SUMPRODUCT(N(Tabela17[Código]=Tabela2[[#This Row],[Ativo]]),Tabela17[Fechamento])</f>
        <v>0</v>
      </c>
    </row>
    <row r="552" spans="1:14">
      <c r="A552" s="4" t="s">
        <v>479</v>
      </c>
      <c r="B552" s="4">
        <v>2012</v>
      </c>
      <c r="C552" s="6">
        <v>9733695883.3700008</v>
      </c>
      <c r="D552" s="91">
        <f>SUMPRODUCT(N(Tabela3[PAPEL]=Tabela2[[#This Row],[Ativo]]),Tabela3[Total Ações])</f>
        <v>5365304100</v>
      </c>
      <c r="E552" s="66">
        <f>(Tabela2[[#This Row],[Lucro Líquido]])/Tabela2[[#This Row],[Total Ações]]</f>
        <v>1.8141927655824766</v>
      </c>
      <c r="F552" s="66">
        <v>1.8288805334</v>
      </c>
      <c r="G552" s="45">
        <f>IF(AND(Tabela2[[#This Row],[Dividendo / Ação]]&gt;0,Tabela2[[#This Row],[Lucro por ação]]&gt;0),Tabela2[[#This Row],[Dividendo / Ação]]/Tabela2[[#This Row],[Lucro por ação]],"")</f>
        <v>1.0080960348294674</v>
      </c>
      <c r="H552" s="61">
        <f>MAX(Tabela2[[#This Row],[Cotação 1]],Tabela2[[#This Row],[Cotação 2]])</f>
        <v>31.13</v>
      </c>
      <c r="I552" s="46">
        <f>IF(Tabela2[[#This Row],[Dividendo / Ação]]&gt;0,Tabela2[[#This Row],[Dividendo / Ação]]/Tabela2[[#This Row],[Cotação]],"")</f>
        <v>5.8749776209444271E-2</v>
      </c>
      <c r="J552" s="17">
        <f>SUMPRODUCT(N(Tabela1[Código]=Tabela2[[#This Row],[Ativo]]),Tabela1[Fechamento])</f>
        <v>0</v>
      </c>
      <c r="K552" s="17">
        <f>SUMPRODUCT(N(Tabela17[Código]=Tabela2[[#This Row],[Ativo]]),Tabela17[Fechamento])</f>
        <v>31.13</v>
      </c>
    </row>
    <row r="553" spans="1:14">
      <c r="A553" s="4" t="s">
        <v>479</v>
      </c>
      <c r="B553" s="4">
        <v>2011</v>
      </c>
      <c r="C553" s="6">
        <v>39810556422</v>
      </c>
      <c r="D553" s="91">
        <f>SUMPRODUCT(N(Tabela3[PAPEL]=Tabela2[[#This Row],[Ativo]]),Tabela3[Total Ações])</f>
        <v>5365304100</v>
      </c>
      <c r="E553" s="66">
        <f>(Tabela2[[#This Row],[Lucro Líquido]])/Tabela2[[#This Row],[Total Ações]]</f>
        <v>7.42</v>
      </c>
      <c r="F553" s="66">
        <v>1.7557325829999999</v>
      </c>
      <c r="G553" s="45">
        <f>IF(AND(Tabela2[[#This Row],[Dividendo / Ação]]&gt;0,Tabela2[[#This Row],[Lucro por ação]]&gt;0),Tabela2[[#This Row],[Dividendo / Ação]]/Tabela2[[#This Row],[Lucro por ação]],"")</f>
        <v>0.23662164191374663</v>
      </c>
      <c r="H553" s="61">
        <f>MAX(Tabela2[[#This Row],[Cotação 1]],Tabela2[[#This Row],[Cotação 2]])</f>
        <v>31.13</v>
      </c>
      <c r="I553" s="46">
        <f>IF(Tabela2[[#This Row],[Dividendo / Ação]]&gt;0,Tabela2[[#This Row],[Dividendo / Ação]]/Tabela2[[#This Row],[Cotação]],"")</f>
        <v>5.640001872791519E-2</v>
      </c>
      <c r="J553" s="17">
        <f>SUMPRODUCT(N(Tabela1[Código]=Tabela2[[#This Row],[Ativo]]),Tabela1[Fechamento])</f>
        <v>0</v>
      </c>
      <c r="K553" s="17">
        <f>SUMPRODUCT(N(Tabela17[Código]=Tabela2[[#This Row],[Ativo]]),Tabela17[Fechamento])</f>
        <v>31.13</v>
      </c>
    </row>
    <row r="554" spans="1:14">
      <c r="A554" s="4" t="s">
        <v>479</v>
      </c>
      <c r="B554" s="4">
        <v>2010</v>
      </c>
      <c r="C554" s="6">
        <v>37074251331</v>
      </c>
      <c r="D554" s="91">
        <f>SUMPRODUCT(N(Tabela3[PAPEL]=Tabela2[[#This Row],[Ativo]]),Tabela3[Total Ações])</f>
        <v>5365304100</v>
      </c>
      <c r="E554" s="66">
        <f>(Tabela2[[#This Row],[Lucro Líquido]])/Tabela2[[#This Row],[Total Ações]]</f>
        <v>6.91</v>
      </c>
      <c r="F554" s="66">
        <v>1.873923027</v>
      </c>
      <c r="G554" s="45">
        <f>IF(AND(Tabela2[[#This Row],[Dividendo / Ação]]&gt;0,Tabela2[[#This Row],[Lucro por ação]]&gt;0),Tabela2[[#This Row],[Dividendo / Ação]]/Tabela2[[#This Row],[Lucro por ação]],"")</f>
        <v>0.27119001837916062</v>
      </c>
      <c r="H554" s="61">
        <f>MAX(Tabela2[[#This Row],[Cotação 1]],Tabela2[[#This Row],[Cotação 2]])</f>
        <v>31.13</v>
      </c>
      <c r="I554" s="46">
        <f>IF(Tabela2[[#This Row],[Dividendo / Ação]]&gt;0,Tabela2[[#This Row],[Dividendo / Ação]]/Tabela2[[#This Row],[Cotação]],"")</f>
        <v>6.0196692161901703E-2</v>
      </c>
      <c r="J554" s="17">
        <f>SUMPRODUCT(N(Tabela1[Código]=Tabela2[[#This Row],[Ativo]]),Tabela1[Fechamento])</f>
        <v>0</v>
      </c>
      <c r="K554" s="17">
        <f>SUMPRODUCT(N(Tabela17[Código]=Tabela2[[#This Row],[Ativo]]),Tabela17[Fechamento])</f>
        <v>31.13</v>
      </c>
    </row>
    <row r="555" spans="1:14">
      <c r="A555" s="3" t="s">
        <v>346</v>
      </c>
      <c r="B555" s="3">
        <v>2012</v>
      </c>
      <c r="C555" s="5">
        <v>30653409.600000001</v>
      </c>
      <c r="D555" s="62">
        <f>SUMPRODUCT(N(Tabela3[PAPEL]=Tabela2[[#This Row],[Ativo]]),Tabela3[Total Ações])</f>
        <v>149714346</v>
      </c>
      <c r="E555" s="65">
        <f>(Tabela2[[#This Row],[Lucro Líquido]])/Tabela2[[#This Row],[Total Ações]]</f>
        <v>0.20474597404312878</v>
      </c>
      <c r="F555" s="65">
        <v>4.87E-2</v>
      </c>
      <c r="G555" s="22">
        <f>IF(AND(Tabela2[[#This Row],[Dividendo / Ação]]&gt;0,Tabela2[[#This Row],[Lucro por ação]]&gt;0),Tabela2[[#This Row],[Dividendo / Ação]]/Tabela2[[#This Row],[Lucro por ação]],"")</f>
        <v>0.23785571475872622</v>
      </c>
      <c r="H555" s="51">
        <f>MAX(Tabela2[[#This Row],[Cotação 1]],Tabela2[[#This Row],[Cotação 2]])</f>
        <v>8.39</v>
      </c>
      <c r="I555" s="18">
        <f>IF(Tabela2[[#This Row],[Dividendo / Ação]]&gt;0,Tabela2[[#This Row],[Dividendo / Ação]]/Tabela2[[#This Row],[Cotação]],"")</f>
        <v>5.8045292014302736E-3</v>
      </c>
      <c r="J555" s="7">
        <f>SUMPRODUCT(N(Tabela1[Código]=Tabela2[[#This Row],[Ativo]]),Tabela1[Fechamento])</f>
        <v>0</v>
      </c>
      <c r="K555" s="7">
        <f>SUMPRODUCT(N(Tabela17[Código]=Tabela2[[#This Row],[Ativo]]),Tabela17[Fechamento])</f>
        <v>8.39</v>
      </c>
    </row>
    <row r="556" spans="1:14">
      <c r="A556" s="3" t="s">
        <v>346</v>
      </c>
      <c r="B556" s="3">
        <v>2011</v>
      </c>
      <c r="D556" s="62">
        <f>SUMPRODUCT(N(Tabela3[PAPEL]=Tabela2[[#This Row],[Ativo]]),Tabela3[Total Ações])</f>
        <v>149714346</v>
      </c>
      <c r="E556" s="65">
        <f>(Tabela2[[#This Row],[Lucro Líquido]])/Tabela2[[#This Row],[Total Ações]]</f>
        <v>0</v>
      </c>
      <c r="F556" s="65">
        <v>0</v>
      </c>
      <c r="G556" s="22" t="str">
        <f>IF(AND(Tabela2[[#This Row],[Dividendo / Ação]]&gt;0,Tabela2[[#This Row],[Lucro por ação]]&gt;0),Tabela2[[#This Row],[Dividendo / Ação]]/Tabela2[[#This Row],[Lucro por ação]],"")</f>
        <v/>
      </c>
      <c r="H556" s="51">
        <f>MAX(Tabela2[[#This Row],[Cotação 1]],Tabela2[[#This Row],[Cotação 2]])</f>
        <v>8.39</v>
      </c>
      <c r="I556" s="18" t="str">
        <f>IF(Tabela2[[#This Row],[Dividendo / Ação]]&gt;0,Tabela2[[#This Row],[Dividendo / Ação]]/Tabela2[[#This Row],[Cotação]],"")</f>
        <v/>
      </c>
      <c r="J556" s="7">
        <f>SUMPRODUCT(N(Tabela1[Código]=Tabela2[[#This Row],[Ativo]]),Tabela1[Fechamento])</f>
        <v>0</v>
      </c>
      <c r="K556" s="7">
        <f>SUMPRODUCT(N(Tabela17[Código]=Tabela2[[#This Row],[Ativo]]),Tabela17[Fechamento])</f>
        <v>8.39</v>
      </c>
    </row>
    <row r="557" spans="1:14">
      <c r="A557" s="3" t="s">
        <v>346</v>
      </c>
      <c r="B557" s="3">
        <v>2010</v>
      </c>
      <c r="D557" s="62">
        <f>SUMPRODUCT(N(Tabela3[PAPEL]=Tabela2[[#This Row],[Ativo]]),Tabela3[Total Ações])</f>
        <v>149714346</v>
      </c>
      <c r="E557" s="65">
        <f>(Tabela2[[#This Row],[Lucro Líquido]])/Tabela2[[#This Row],[Total Ações]]</f>
        <v>0</v>
      </c>
      <c r="F557" s="65">
        <v>0</v>
      </c>
      <c r="G557" s="22" t="str">
        <f>IF(AND(Tabela2[[#This Row],[Dividendo / Ação]]&gt;0,Tabela2[[#This Row],[Lucro por ação]]&gt;0),Tabela2[[#This Row],[Dividendo / Ação]]/Tabela2[[#This Row],[Lucro por ação]],"")</f>
        <v/>
      </c>
      <c r="H557" s="51">
        <f>MAX(Tabela2[[#This Row],[Cotação 1]],Tabela2[[#This Row],[Cotação 2]])</f>
        <v>8.39</v>
      </c>
      <c r="I557" s="18" t="str">
        <f>IF(Tabela2[[#This Row],[Dividendo / Ação]]&gt;0,Tabela2[[#This Row],[Dividendo / Ação]]/Tabela2[[#This Row],[Cotação]],"")</f>
        <v/>
      </c>
      <c r="J557" s="7">
        <f>SUMPRODUCT(N(Tabela1[Código]=Tabela2[[#This Row],[Ativo]]),Tabela1[Fechamento])</f>
        <v>0</v>
      </c>
      <c r="K557" s="7">
        <f>SUMPRODUCT(N(Tabela17[Código]=Tabela2[[#This Row],[Ativo]]),Tabela17[Fechamento])</f>
        <v>8.39</v>
      </c>
      <c r="N557" s="70">
        <f>0.6415*D559</f>
        <v>722073638.09499991</v>
      </c>
    </row>
    <row r="558" spans="1:14">
      <c r="A558" s="10" t="s">
        <v>357</v>
      </c>
      <c r="B558" s="3">
        <v>2012</v>
      </c>
      <c r="C558" s="5">
        <v>4453572915.3800001</v>
      </c>
      <c r="D558" s="62">
        <f>SUMPRODUCT(N(Tabela3[PAPEL]=Tabela2[[#This Row],[Ativo]]),Tabela3[Total Ações])</f>
        <v>1125601930</v>
      </c>
      <c r="E558" s="65">
        <f>(Tabela2[[#This Row],[Lucro Líquido]])/Tabela2[[#This Row],[Total Ações]]</f>
        <v>3.9566144981467826</v>
      </c>
      <c r="F558" s="65">
        <v>3.566950672031</v>
      </c>
      <c r="G558" s="22">
        <f>IF(AND(Tabela2[[#This Row],[Dividendo / Ação]]&gt;0,Tabela2[[#This Row],[Lucro por ação]]&gt;0),Tabela2[[#This Row],[Dividendo / Ação]]/Tabela2[[#This Row],[Lucro por ação]],"")</f>
        <v>0.90151584737449275</v>
      </c>
      <c r="H558" s="51">
        <f>MAX(Tabela2[[#This Row],[Cotação 1]],Tabela2[[#This Row],[Cotação 2]])</f>
        <v>40.200000000000003</v>
      </c>
      <c r="I558" s="18">
        <f>IF(Tabela2[[#This Row],[Dividendo / Ação]]&gt;0,Tabela2[[#This Row],[Dividendo / Ação]]/Tabela2[[#This Row],[Cotação]],"")</f>
        <v>8.8730116219676608E-2</v>
      </c>
      <c r="J558" s="7">
        <f>SUMPRODUCT(N(Tabela1[Código]=Tabela2[[#This Row],[Ativo]]),Tabela1[Fechamento])</f>
        <v>0</v>
      </c>
      <c r="K558" s="7">
        <f>SUMPRODUCT(N(Tabela17[Código]=Tabela2[[#This Row],[Ativo]]),Tabela17[Fechamento])</f>
        <v>40.200000000000003</v>
      </c>
    </row>
    <row r="559" spans="1:14">
      <c r="A559" s="10" t="s">
        <v>357</v>
      </c>
      <c r="B559" s="3">
        <v>2011</v>
      </c>
      <c r="C559" s="5">
        <v>4091563016</v>
      </c>
      <c r="D559" s="62">
        <f>SUMPRODUCT(N(Tabela3[PAPEL]=Tabela2[[#This Row],[Ativo]]),Tabela3[Total Ações])</f>
        <v>1125601930</v>
      </c>
      <c r="E559" s="65">
        <f>(Tabela2[[#This Row],[Lucro Líquido]])/Tabela2[[#This Row],[Total Ações]]</f>
        <v>3.6350000003997862</v>
      </c>
      <c r="F559" s="65">
        <v>3.5070000000000001</v>
      </c>
      <c r="G559" s="22">
        <f>IF(AND(Tabela2[[#This Row],[Dividendo / Ação]]&gt;0,Tabela2[[#This Row],[Lucro por ação]]&gt;0),Tabela2[[#This Row],[Dividendo / Ação]]/Tabela2[[#This Row],[Lucro por ação]],"")</f>
        <v>0.96478679494203345</v>
      </c>
      <c r="H559" s="51">
        <f>MAX(Tabela2[[#This Row],[Cotação 1]],Tabela2[[#This Row],[Cotação 2]])</f>
        <v>40.200000000000003</v>
      </c>
      <c r="I559" s="18">
        <f>IF(Tabela2[[#This Row],[Dividendo / Ação]]&gt;0,Tabela2[[#This Row],[Dividendo / Ação]]/Tabela2[[#This Row],[Cotação]],"")</f>
        <v>8.7238805970149255E-2</v>
      </c>
      <c r="J559" s="7">
        <f>SUMPRODUCT(N(Tabela1[Código]=Tabela2[[#This Row],[Ativo]]),Tabela1[Fechamento])</f>
        <v>0</v>
      </c>
      <c r="K559" s="7">
        <f>SUMPRODUCT(N(Tabela17[Código]=Tabela2[[#This Row],[Ativo]]),Tabela17[Fechamento])</f>
        <v>40.200000000000003</v>
      </c>
    </row>
    <row r="560" spans="1:14">
      <c r="A560" s="10" t="s">
        <v>357</v>
      </c>
      <c r="B560" s="3">
        <v>2010</v>
      </c>
      <c r="C560" s="5">
        <v>5004201060</v>
      </c>
      <c r="D560" s="62">
        <f>SUMPRODUCT(N(Tabela3[PAPEL]=Tabela2[[#This Row],[Ativo]]),Tabela3[Total Ações])</f>
        <v>1125601930</v>
      </c>
      <c r="E560" s="65">
        <f>(Tabela2[[#This Row],[Lucro Líquido]])/Tabela2[[#This Row],[Total Ações]]</f>
        <v>4.4457999996499646</v>
      </c>
      <c r="F560" s="65">
        <v>4.6006999999999998</v>
      </c>
      <c r="G560" s="22">
        <f>IF(AND(Tabela2[[#This Row],[Dividendo / Ação]]&gt;0,Tabela2[[#This Row],[Lucro por ação]]&gt;0),Tabela2[[#This Row],[Dividendo / Ação]]/Tabela2[[#This Row],[Lucro por ação]],"")</f>
        <v>1.0348418733101423</v>
      </c>
      <c r="H560" s="51">
        <f>MAX(Tabela2[[#This Row],[Cotação 1]],Tabela2[[#This Row],[Cotação 2]])</f>
        <v>40.200000000000003</v>
      </c>
      <c r="I560" s="18">
        <f>IF(Tabela2[[#This Row],[Dividendo / Ação]]&gt;0,Tabela2[[#This Row],[Dividendo / Ação]]/Tabela2[[#This Row],[Cotação]],"")</f>
        <v>0.11444527363184079</v>
      </c>
      <c r="J560" s="7">
        <f>SUMPRODUCT(N(Tabela1[Código]=Tabela2[[#This Row],[Ativo]]),Tabela1[Fechamento])</f>
        <v>0</v>
      </c>
      <c r="K560" s="7">
        <f>SUMPRODUCT(N(Tabela17[Código]=Tabela2[[#This Row],[Ativo]]),Tabela17[Fechamento])</f>
        <v>40.200000000000003</v>
      </c>
    </row>
    <row r="561" spans="1:14">
      <c r="A561" s="10" t="s">
        <v>358</v>
      </c>
      <c r="B561" s="3">
        <v>2012</v>
      </c>
      <c r="C561" s="5">
        <v>4453572915.3800001</v>
      </c>
      <c r="D561" s="62">
        <f>SUMPRODUCT(N(Tabela3[PAPEL]=Tabela2[[#This Row],[Ativo]]),Tabela3[Total Ações])</f>
        <v>1125601930</v>
      </c>
      <c r="E561" s="65">
        <f>(Tabela2[[#This Row],[Lucro Líquido]])/Tabela2[[#This Row],[Total Ações]]</f>
        <v>3.9566144981467826</v>
      </c>
      <c r="F561" s="65">
        <v>3.9236457392339998</v>
      </c>
      <c r="G561" s="22">
        <f>IF(AND(Tabela2[[#This Row],[Dividendo / Ação]]&gt;0,Tabela2[[#This Row],[Lucro por ação]]&gt;0),Tabela2[[#This Row],[Dividendo / Ação]]/Tabela2[[#This Row],[Lucro por ação]],"")</f>
        <v>0.99166743211191666</v>
      </c>
      <c r="H561" s="51">
        <f>MAX(Tabela2[[#This Row],[Cotação 1]],Tabela2[[#This Row],[Cotação 2]])</f>
        <v>45.11</v>
      </c>
      <c r="I561" s="18">
        <f>IF(Tabela2[[#This Row],[Dividendo / Ação]]&gt;0,Tabela2[[#This Row],[Dividendo / Ação]]/Tabela2[[#This Row],[Cotação]],"")</f>
        <v>8.6979510956195966E-2</v>
      </c>
      <c r="J561" s="7">
        <f>SUMPRODUCT(N(Tabela1[Código]=Tabela2[[#This Row],[Ativo]]),Tabela1[Fechamento])</f>
        <v>0</v>
      </c>
      <c r="K561" s="7">
        <f>SUMPRODUCT(N(Tabela17[Código]=Tabela2[[#This Row],[Ativo]]),Tabela17[Fechamento])</f>
        <v>45.11</v>
      </c>
    </row>
    <row r="562" spans="1:14">
      <c r="A562" s="10" t="s">
        <v>358</v>
      </c>
      <c r="B562" s="3">
        <v>2011</v>
      </c>
      <c r="C562" s="5">
        <v>4091563016</v>
      </c>
      <c r="D562" s="62">
        <f>SUMPRODUCT(N(Tabela3[PAPEL]=Tabela2[[#This Row],[Ativo]]),Tabela3[Total Ações])</f>
        <v>1125601930</v>
      </c>
      <c r="E562" s="65">
        <f>(Tabela2[[#This Row],[Lucro Líquido]])/Tabela2[[#This Row],[Total Ações]]</f>
        <v>3.6350000003997862</v>
      </c>
      <c r="F562" s="65">
        <v>3.8576999999999999</v>
      </c>
      <c r="G562" s="22">
        <f>IF(AND(Tabela2[[#This Row],[Dividendo / Ação]]&gt;0,Tabela2[[#This Row],[Lucro por ação]]&gt;0),Tabela2[[#This Row],[Dividendo / Ação]]/Tabela2[[#This Row],[Lucro por ação]],"")</f>
        <v>1.0612654744362366</v>
      </c>
      <c r="H562" s="51">
        <f>MAX(Tabela2[[#This Row],[Cotação 1]],Tabela2[[#This Row],[Cotação 2]])</f>
        <v>45.11</v>
      </c>
      <c r="I562" s="18">
        <f>IF(Tabela2[[#This Row],[Dividendo / Ação]]&gt;0,Tabela2[[#This Row],[Dividendo / Ação]]/Tabela2[[#This Row],[Cotação]],"")</f>
        <v>8.5517623586787855E-2</v>
      </c>
      <c r="J562" s="7">
        <f>SUMPRODUCT(N(Tabela1[Código]=Tabela2[[#This Row],[Ativo]]),Tabela1[Fechamento])</f>
        <v>0</v>
      </c>
      <c r="K562" s="7">
        <f>SUMPRODUCT(N(Tabela17[Código]=Tabela2[[#This Row],[Ativo]]),Tabela17[Fechamento])</f>
        <v>45.11</v>
      </c>
    </row>
    <row r="563" spans="1:14">
      <c r="A563" s="10" t="s">
        <v>358</v>
      </c>
      <c r="B563" s="3">
        <v>2010</v>
      </c>
      <c r="C563" s="5">
        <v>5004201060</v>
      </c>
      <c r="D563" s="62">
        <f>SUMPRODUCT(N(Tabela3[PAPEL]=Tabela2[[#This Row],[Ativo]]),Tabela3[Total Ações])</f>
        <v>1125601930</v>
      </c>
      <c r="E563" s="65">
        <f>(Tabela2[[#This Row],[Lucro Líquido]])/Tabela2[[#This Row],[Total Ações]]</f>
        <v>4.4457999996499646</v>
      </c>
      <c r="F563" s="65">
        <v>5.0608000000000004</v>
      </c>
      <c r="G563" s="22">
        <f>IF(AND(Tabela2[[#This Row],[Dividendo / Ação]]&gt;0,Tabela2[[#This Row],[Lucro por ação]]&gt;0),Tabela2[[#This Row],[Dividendo / Ação]]/Tabela2[[#This Row],[Lucro por ação]],"")</f>
        <v>1.1383328085830351</v>
      </c>
      <c r="H563" s="51">
        <f>MAX(Tabela2[[#This Row],[Cotação 1]],Tabela2[[#This Row],[Cotação 2]])</f>
        <v>45.11</v>
      </c>
      <c r="I563" s="18">
        <f>IF(Tabela2[[#This Row],[Dividendo / Ação]]&gt;0,Tabela2[[#This Row],[Dividendo / Ação]]/Tabela2[[#This Row],[Cotação]],"")</f>
        <v>0.1121879849257371</v>
      </c>
      <c r="J563" s="7">
        <f>SUMPRODUCT(N(Tabela1[Código]=Tabela2[[#This Row],[Ativo]]),Tabela1[Fechamento])</f>
        <v>0</v>
      </c>
      <c r="K563" s="7">
        <f>SUMPRODUCT(N(Tabela17[Código]=Tabela2[[#This Row],[Ativo]]),Tabela17[Fechamento])</f>
        <v>45.11</v>
      </c>
    </row>
    <row r="564" spans="1:14">
      <c r="A564" s="4" t="s">
        <v>720</v>
      </c>
      <c r="B564" s="4">
        <v>2012</v>
      </c>
      <c r="C564" s="6">
        <v>109798096.84</v>
      </c>
      <c r="D564" s="91">
        <f>SUMPRODUCT(N(Tabela3[PAPEL]=Tabela2[[#This Row],[Ativo]]),Tabela3[Total Ações])</f>
        <v>98312688</v>
      </c>
      <c r="E564" s="66">
        <f>(Tabela2[[#This Row],[Lucro Líquido]])/Tabela2[[#This Row],[Total Ações]]</f>
        <v>1.1168252956322382</v>
      </c>
      <c r="F564" s="66">
        <v>1.072465845</v>
      </c>
      <c r="G564" s="45">
        <f>IF(AND(Tabela2[[#This Row],[Dividendo / Ação]]&gt;0,Tabela2[[#This Row],[Lucro por ação]]&gt;0),Tabela2[[#This Row],[Dividendo / Ação]]/Tabela2[[#This Row],[Lucro por ação]],"")</f>
        <v>0.96028076118465222</v>
      </c>
      <c r="H564" s="61">
        <f>MAX(Tabela2[[#This Row],[Cotação 1]],Tabela2[[#This Row],[Cotação 2]])</f>
        <v>17.97</v>
      </c>
      <c r="I564" s="46">
        <f>IF(Tabela2[[#This Row],[Dividendo / Ação]]&gt;0,Tabela2[[#This Row],[Dividendo / Ação]]/Tabela2[[#This Row],[Cotação]],"")</f>
        <v>5.9680904006677797E-2</v>
      </c>
      <c r="J564" s="17">
        <f>SUMPRODUCT(N(Tabela1[Código]=Tabela2[[#This Row],[Ativo]]),Tabela1[Fechamento])</f>
        <v>0</v>
      </c>
      <c r="K564" s="17">
        <f>SUMPRODUCT(N(Tabela17[Código]=Tabela2[[#This Row],[Ativo]]),Tabela17[Fechamento])</f>
        <v>17.97</v>
      </c>
    </row>
    <row r="565" spans="1:14">
      <c r="A565" s="4" t="s">
        <v>720</v>
      </c>
      <c r="B565" s="4">
        <v>2011</v>
      </c>
      <c r="C565" s="6">
        <v>106752609.08</v>
      </c>
      <c r="D565" s="91">
        <f>SUMPRODUCT(N(Tabela3[PAPEL]=Tabela2[[#This Row],[Ativo]]),Tabela3[Total Ações])</f>
        <v>98312688</v>
      </c>
      <c r="E565" s="66">
        <f>(Tabela2[[#This Row],[Lucro Líquido]])/Tabela2[[#This Row],[Total Ações]]</f>
        <v>1.0858477298474434</v>
      </c>
      <c r="F565" s="66">
        <v>0.91520231900000004</v>
      </c>
      <c r="G565" s="45">
        <f>IF(AND(Tabela2[[#This Row],[Dividendo / Ação]]&gt;0,Tabela2[[#This Row],[Lucro por ação]]&gt;0),Tabela2[[#This Row],[Dividendo / Ação]]/Tabela2[[#This Row],[Lucro por ação]],"")</f>
        <v>0.84284591093502748</v>
      </c>
      <c r="H565" s="61">
        <f>MAX(Tabela2[[#This Row],[Cotação 1]],Tabela2[[#This Row],[Cotação 2]])</f>
        <v>17.97</v>
      </c>
      <c r="I565" s="46">
        <f>IF(Tabela2[[#This Row],[Dividendo / Ação]]&gt;0,Tabela2[[#This Row],[Dividendo / Ação]]/Tabela2[[#This Row],[Cotação]],"")</f>
        <v>5.0929455703951035E-2</v>
      </c>
      <c r="J565" s="17">
        <f>SUMPRODUCT(N(Tabela1[Código]=Tabela2[[#This Row],[Ativo]]),Tabela1[Fechamento])</f>
        <v>0</v>
      </c>
      <c r="K565" s="17">
        <f>SUMPRODUCT(N(Tabela17[Código]=Tabela2[[#This Row],[Ativo]]),Tabela17[Fechamento])</f>
        <v>17.97</v>
      </c>
      <c r="N565" s="3">
        <v>0.116161</v>
      </c>
    </row>
    <row r="566" spans="1:14">
      <c r="A566" s="4" t="s">
        <v>720</v>
      </c>
      <c r="B566" s="4">
        <v>2010</v>
      </c>
      <c r="C566" s="6">
        <v>13071107.109999999</v>
      </c>
      <c r="D566" s="91">
        <f>SUMPRODUCT(N(Tabela3[PAPEL]=Tabela2[[#This Row],[Ativo]]),Tabela3[Total Ações])</f>
        <v>98312688</v>
      </c>
      <c r="E566" s="66">
        <f>(Tabela2[[#This Row],[Lucro Líquido]])/Tabela2[[#This Row],[Total Ações]]</f>
        <v>0.13295442710304087</v>
      </c>
      <c r="F566" s="66">
        <v>6.6522439999999999E-3</v>
      </c>
      <c r="G566" s="45">
        <f>IF(AND(Tabela2[[#This Row],[Dividendo / Ação]]&gt;0,Tabela2[[#This Row],[Lucro por ação]]&gt;0),Tabela2[[#This Row],[Dividendo / Ação]]/Tabela2[[#This Row],[Lucro por ação]],"")</f>
        <v>5.0034016504350409E-2</v>
      </c>
      <c r="H566" s="61">
        <f>MAX(Tabela2[[#This Row],[Cotação 1]],Tabela2[[#This Row],[Cotação 2]])</f>
        <v>17.97</v>
      </c>
      <c r="I566" s="46">
        <f>IF(Tabela2[[#This Row],[Dividendo / Ação]]&gt;0,Tabela2[[#This Row],[Dividendo / Ação]]/Tabela2[[#This Row],[Cotação]],"")</f>
        <v>3.7018608792431832E-4</v>
      </c>
      <c r="J566" s="17">
        <f>SUMPRODUCT(N(Tabela1[Código]=Tabela2[[#This Row],[Ativo]]),Tabela1[Fechamento])</f>
        <v>0</v>
      </c>
      <c r="K566" s="17">
        <f>SUMPRODUCT(N(Tabela17[Código]=Tabela2[[#This Row],[Ativo]]),Tabela17[Fechamento])</f>
        <v>17.97</v>
      </c>
      <c r="N566" s="3">
        <v>0.124359</v>
      </c>
    </row>
    <row r="567" spans="1:14">
      <c r="A567" s="4" t="s">
        <v>727</v>
      </c>
      <c r="B567" s="4">
        <v>2012</v>
      </c>
      <c r="C567" s="6">
        <v>40688154.170000002</v>
      </c>
      <c r="D567" s="91">
        <f>SUMPRODUCT(N(Tabela3[PAPEL]=Tabela2[[#This Row],[Ativo]]),Tabela3[Total Ações])</f>
        <v>46288258</v>
      </c>
      <c r="E567" s="66">
        <f>(Tabela2[[#This Row],[Lucro Líquido]])/Tabela2[[#This Row],[Total Ações]]</f>
        <v>0.87901675128927947</v>
      </c>
      <c r="F567" s="66">
        <v>0.63615900000000003</v>
      </c>
      <c r="G567" s="45">
        <f>IF(AND(Tabela2[[#This Row],[Dividendo / Ação]]&gt;0,Tabela2[[#This Row],[Lucro por ação]]&gt;0),Tabela2[[#This Row],[Dividendo / Ação]]/Tabela2[[#This Row],[Lucro por ação]],"")</f>
        <v>0.72371658340631972</v>
      </c>
      <c r="H567" s="61">
        <f>MAX(Tabela2[[#This Row],[Cotação 1]],Tabela2[[#This Row],[Cotação 2]])</f>
        <v>14.89</v>
      </c>
      <c r="I567" s="46">
        <f>IF(Tabela2[[#This Row],[Dividendo / Ação]]&gt;0,Tabela2[[#This Row],[Dividendo / Ação]]/Tabela2[[#This Row],[Cotação]],"")</f>
        <v>4.2723908663532574E-2</v>
      </c>
      <c r="J567" s="17">
        <f>SUMPRODUCT(N(Tabela1[Código]=Tabela2[[#This Row],[Ativo]]),Tabela1[Fechamento])</f>
        <v>0</v>
      </c>
      <c r="K567" s="17">
        <f>SUMPRODUCT(N(Tabela17[Código]=Tabela2[[#This Row],[Ativo]]),Tabela17[Fechamento])</f>
        <v>14.89</v>
      </c>
      <c r="N567" s="70">
        <v>6.7920999999999995E-2</v>
      </c>
    </row>
    <row r="568" spans="1:14">
      <c r="A568" s="4" t="s">
        <v>727</v>
      </c>
      <c r="B568" s="4">
        <v>2011</v>
      </c>
      <c r="C568" s="6">
        <v>105074345.66</v>
      </c>
      <c r="D568" s="91">
        <f>SUMPRODUCT(N(Tabela3[PAPEL]=Tabela2[[#This Row],[Ativo]]),Tabela3[Total Ações])</f>
        <v>46288258</v>
      </c>
      <c r="E568" s="66">
        <f>(Tabela2[[#This Row],[Lucro Líquido]])/Tabela2[[#This Row],[Total Ações]]</f>
        <v>2.27</v>
      </c>
      <c r="F568" s="66">
        <v>2.1378400000000002</v>
      </c>
      <c r="G568" s="45">
        <f>IF(AND(Tabela2[[#This Row],[Dividendo / Ação]]&gt;0,Tabela2[[#This Row],[Lucro por ação]]&gt;0),Tabela2[[#This Row],[Dividendo / Ação]]/Tabela2[[#This Row],[Lucro por ação]],"")</f>
        <v>0.94177973568281947</v>
      </c>
      <c r="H568" s="61">
        <f>MAX(Tabela2[[#This Row],[Cotação 1]],Tabela2[[#This Row],[Cotação 2]])</f>
        <v>14.89</v>
      </c>
      <c r="I568" s="46">
        <f>IF(Tabela2[[#This Row],[Dividendo / Ação]]&gt;0,Tabela2[[#This Row],[Dividendo / Ação]]/Tabela2[[#This Row],[Cotação]],"")</f>
        <v>0.14357555406312963</v>
      </c>
      <c r="J568" s="17">
        <f>SUMPRODUCT(N(Tabela1[Código]=Tabela2[[#This Row],[Ativo]]),Tabela1[Fechamento])</f>
        <v>0</v>
      </c>
      <c r="K568" s="17">
        <f>SUMPRODUCT(N(Tabela17[Código]=Tabela2[[#This Row],[Ativo]]),Tabela17[Fechamento])</f>
        <v>14.89</v>
      </c>
      <c r="N568" s="3">
        <v>4.6599000000000002E-2</v>
      </c>
    </row>
    <row r="569" spans="1:14">
      <c r="A569" s="4" t="s">
        <v>727</v>
      </c>
      <c r="B569" s="4">
        <v>2010</v>
      </c>
      <c r="C569" s="6">
        <v>155991429.46000001</v>
      </c>
      <c r="D569" s="91">
        <f>SUMPRODUCT(N(Tabela3[PAPEL]=Tabela2[[#This Row],[Ativo]]),Tabela3[Total Ações])</f>
        <v>46288258</v>
      </c>
      <c r="E569" s="66">
        <f>(Tabela2[[#This Row],[Lucro Líquido]])/Tabela2[[#This Row],[Total Ações]]</f>
        <v>3.37</v>
      </c>
      <c r="F569" s="66">
        <v>3.2867000000000002</v>
      </c>
      <c r="G569" s="45">
        <f>IF(AND(Tabela2[[#This Row],[Dividendo / Ação]]&gt;0,Tabela2[[#This Row],[Lucro por ação]]&gt;0),Tabela2[[#This Row],[Dividendo / Ação]]/Tabela2[[#This Row],[Lucro por ação]],"")</f>
        <v>0.97528189910979235</v>
      </c>
      <c r="H569" s="61">
        <f>MAX(Tabela2[[#This Row],[Cotação 1]],Tabela2[[#This Row],[Cotação 2]])</f>
        <v>14.89</v>
      </c>
      <c r="I569" s="46">
        <f>IF(Tabela2[[#This Row],[Dividendo / Ação]]&gt;0,Tabela2[[#This Row],[Dividendo / Ação]]/Tabela2[[#This Row],[Cotação]],"")</f>
        <v>0.22073203492276697</v>
      </c>
      <c r="J569" s="17">
        <f>SUMPRODUCT(N(Tabela1[Código]=Tabela2[[#This Row],[Ativo]]),Tabela1[Fechamento])</f>
        <v>0</v>
      </c>
      <c r="K569" s="17">
        <f>SUMPRODUCT(N(Tabela17[Código]=Tabela2[[#This Row],[Ativo]]),Tabela17[Fechamento])</f>
        <v>14.89</v>
      </c>
      <c r="N569" s="3">
        <v>0</v>
      </c>
    </row>
    <row r="570" spans="1:14">
      <c r="A570" s="4" t="s">
        <v>733</v>
      </c>
      <c r="B570" s="4">
        <v>2012</v>
      </c>
      <c r="C570" s="6">
        <v>1074289736.8800001</v>
      </c>
      <c r="D570" s="91">
        <f>SUMPRODUCT(N(Tabela3[PAPEL]=Tabela2[[#This Row],[Ativo]]),Tabela3[Total Ações])</f>
        <v>1980000000</v>
      </c>
      <c r="E570" s="66">
        <f>(Tabela2[[#This Row],[Lucro Líquido]])/Tabela2[[#This Row],[Total Ações]]</f>
        <v>0.5425705741818182</v>
      </c>
      <c r="F570" s="66">
        <v>0.35504000000000002</v>
      </c>
      <c r="G570" s="45">
        <f>IF(AND(Tabela2[[#This Row],[Dividendo / Ação]]&gt;0,Tabela2[[#This Row],[Lucro por ação]]&gt;0),Tabela2[[#This Row],[Dividendo / Ação]]/Tabela2[[#This Row],[Lucro por ação]],"")</f>
        <v>0.65436648593667424</v>
      </c>
      <c r="H570" s="61">
        <f>MAX(Tabela2[[#This Row],[Cotação 1]],Tabela2[[#This Row],[Cotação 2]])</f>
        <v>10.39</v>
      </c>
      <c r="I570" s="46">
        <f>IF(Tabela2[[#This Row],[Dividendo / Ação]]&gt;0,Tabela2[[#This Row],[Dividendo / Ação]]/Tabela2[[#This Row],[Cotação]],"")</f>
        <v>3.4171318575553417E-2</v>
      </c>
      <c r="J570" s="17">
        <f>SUMPRODUCT(N(Tabela1[Código]=Tabela2[[#This Row],[Ativo]]),Tabela1[Fechamento])</f>
        <v>0</v>
      </c>
      <c r="K570" s="17">
        <f>SUMPRODUCT(N(Tabela17[Código]=Tabela2[[#This Row],[Ativo]]),Tabela17[Fechamento])</f>
        <v>10.39</v>
      </c>
      <c r="N570" s="3">
        <v>0</v>
      </c>
    </row>
    <row r="571" spans="1:14">
      <c r="A571" s="4" t="s">
        <v>733</v>
      </c>
      <c r="B571" s="4">
        <v>2011</v>
      </c>
      <c r="C571" s="6">
        <v>1047998632.27</v>
      </c>
      <c r="D571" s="91">
        <f>SUMPRODUCT(N(Tabela3[PAPEL]=Tabela2[[#This Row],[Ativo]]),Tabela3[Total Ações])</f>
        <v>1980000000</v>
      </c>
      <c r="E571" s="66">
        <f>(Tabela2[[#This Row],[Lucro Líquido]])/Tabela2[[#This Row],[Total Ações]]</f>
        <v>0.52929223852020202</v>
      </c>
      <c r="F571" s="66">
        <v>0.470941</v>
      </c>
      <c r="G571" s="45">
        <f>IF(AND(Tabela2[[#This Row],[Dividendo / Ação]]&gt;0,Tabela2[[#This Row],[Lucro por ação]]&gt;0),Tabela2[[#This Row],[Dividendo / Ação]]/Tabela2[[#This Row],[Lucro por ação]],"")</f>
        <v>0.88975610395621763</v>
      </c>
      <c r="H571" s="61">
        <f>MAX(Tabela2[[#This Row],[Cotação 1]],Tabela2[[#This Row],[Cotação 2]])</f>
        <v>10.39</v>
      </c>
      <c r="I571" s="46">
        <f>IF(Tabela2[[#This Row],[Dividendo / Ação]]&gt;0,Tabela2[[#This Row],[Dividendo / Ação]]/Tabela2[[#This Row],[Cotação]],"")</f>
        <v>4.5326371511068331E-2</v>
      </c>
      <c r="J571" s="17">
        <f>SUMPRODUCT(N(Tabela1[Código]=Tabela2[[#This Row],[Ativo]]),Tabela1[Fechamento])</f>
        <v>0</v>
      </c>
      <c r="K571" s="17">
        <f>SUMPRODUCT(N(Tabela17[Código]=Tabela2[[#This Row],[Ativo]]),Tabela17[Fechamento])</f>
        <v>10.39</v>
      </c>
      <c r="N571" s="3">
        <v>0</v>
      </c>
    </row>
    <row r="572" spans="1:14">
      <c r="A572" s="4" t="s">
        <v>733</v>
      </c>
      <c r="B572" s="4">
        <v>2010</v>
      </c>
      <c r="C572" s="6">
        <v>1144560312.5999999</v>
      </c>
      <c r="D572" s="91">
        <f>SUMPRODUCT(N(Tabela3[PAPEL]=Tabela2[[#This Row],[Ativo]]),Tabela3[Total Ações])</f>
        <v>1980000000</v>
      </c>
      <c r="E572" s="66">
        <f>(Tabela2[[#This Row],[Lucro Líquido]])/Tabela2[[#This Row],[Total Ações]]</f>
        <v>0.57806076393939387</v>
      </c>
      <c r="F572" s="66">
        <v>0.57673300000000005</v>
      </c>
      <c r="G572" s="45">
        <f>IF(AND(Tabela2[[#This Row],[Dividendo / Ação]]&gt;0,Tabela2[[#This Row],[Lucro por ação]]&gt;0),Tabela2[[#This Row],[Dividendo / Ação]]/Tabela2[[#This Row],[Lucro por ação]],"")</f>
        <v>0.99770307202594877</v>
      </c>
      <c r="H572" s="61">
        <f>MAX(Tabela2[[#This Row],[Cotação 1]],Tabela2[[#This Row],[Cotação 2]])</f>
        <v>10.39</v>
      </c>
      <c r="I572" s="46">
        <f>IF(Tabela2[[#This Row],[Dividendo / Ação]]&gt;0,Tabela2[[#This Row],[Dividendo / Ação]]/Tabela2[[#This Row],[Cotação]],"")</f>
        <v>5.5508469682386916E-2</v>
      </c>
      <c r="J572" s="17">
        <f>SUMPRODUCT(N(Tabela1[Código]=Tabela2[[#This Row],[Ativo]]),Tabela1[Fechamento])</f>
        <v>0</v>
      </c>
      <c r="K572" s="17">
        <f>SUMPRODUCT(N(Tabela17[Código]=Tabela2[[#This Row],[Ativo]]),Tabela17[Fechamento])</f>
        <v>10.39</v>
      </c>
      <c r="N572" s="3">
        <v>0</v>
      </c>
    </row>
    <row r="573" spans="1:14">
      <c r="A573" s="4" t="s">
        <v>738</v>
      </c>
      <c r="B573" s="4">
        <v>2012</v>
      </c>
      <c r="C573" s="6">
        <v>2314615815.0500002</v>
      </c>
      <c r="D573" s="91">
        <f>SUMPRODUCT(N(Tabela3[PAPEL]=Tabela2[[#This Row],[Ativo]]),Tabela3[Total Ações])</f>
        <v>786115469</v>
      </c>
      <c r="E573" s="66">
        <f>(Tabela2[[#This Row],[Lucro Líquido]])/Tabela2[[#This Row],[Total Ações]]</f>
        <v>2.9443712868217329</v>
      </c>
      <c r="F573" s="66">
        <v>2.4300000000000002</v>
      </c>
      <c r="G573" s="45">
        <f>IF(AND(Tabela2[[#This Row],[Dividendo / Ação]]&gt;0,Tabela2[[#This Row],[Lucro por ação]]&gt;0),Tabela2[[#This Row],[Dividendo / Ação]]/Tabela2[[#This Row],[Lucro por ação]],"")</f>
        <v>0.8253035243469703</v>
      </c>
      <c r="H573" s="61">
        <f>MAX(Tabela2[[#This Row],[Cotação 1]],Tabela2[[#This Row],[Cotação 2]])</f>
        <v>67.09</v>
      </c>
      <c r="I573" s="46">
        <f>IF(Tabela2[[#This Row],[Dividendo / Ação]]&gt;0,Tabela2[[#This Row],[Dividendo / Ação]]/Tabela2[[#This Row],[Cotação]],"")</f>
        <v>3.6220002981070205E-2</v>
      </c>
      <c r="J573" s="17">
        <f>SUMPRODUCT(N(Tabela1[Código]=Tabela2[[#This Row],[Ativo]]),Tabela1[Fechamento])</f>
        <v>0</v>
      </c>
      <c r="K573" s="17">
        <f>SUMPRODUCT(N(Tabela17[Código]=Tabela2[[#This Row],[Ativo]]),Tabela17[Fechamento])</f>
        <v>67.09</v>
      </c>
      <c r="N573" s="3">
        <f>SUM(N565:N572)</f>
        <v>0.35504000000000002</v>
      </c>
    </row>
    <row r="574" spans="1:14">
      <c r="A574" s="4" t="s">
        <v>738</v>
      </c>
      <c r="B574" s="4">
        <v>2011</v>
      </c>
      <c r="C574" s="6">
        <v>1810326710.1800001</v>
      </c>
      <c r="D574" s="91">
        <f>SUMPRODUCT(N(Tabela3[PAPEL]=Tabela2[[#This Row],[Ativo]]),Tabela3[Total Ações])</f>
        <v>786115469</v>
      </c>
      <c r="E574" s="66">
        <f>(Tabela2[[#This Row],[Lucro Líquido]])/Tabela2[[#This Row],[Total Ações]]</f>
        <v>2.3028763350540302</v>
      </c>
      <c r="F574" s="66">
        <v>2.25</v>
      </c>
      <c r="G574" s="45">
        <f>IF(AND(Tabela2[[#This Row],[Dividendo / Ação]]&gt;0,Tabela2[[#This Row],[Lucro por ação]]&gt;0),Tabela2[[#This Row],[Dividendo / Ação]]/Tabela2[[#This Row],[Lucro por ação]],"")</f>
        <v>0.97703900368024332</v>
      </c>
      <c r="H574" s="61">
        <f>MAX(Tabela2[[#This Row],[Cotação 1]],Tabela2[[#This Row],[Cotação 2]])</f>
        <v>67.09</v>
      </c>
      <c r="I574" s="46">
        <f>IF(Tabela2[[#This Row],[Dividendo / Ação]]&gt;0,Tabela2[[#This Row],[Dividendo / Ação]]/Tabela2[[#This Row],[Cotação]],"")</f>
        <v>3.3537039797287227E-2</v>
      </c>
      <c r="J574" s="17">
        <f>SUMPRODUCT(N(Tabela1[Código]=Tabela2[[#This Row],[Ativo]]),Tabela1[Fechamento])</f>
        <v>0</v>
      </c>
      <c r="K574" s="17">
        <f>SUMPRODUCT(N(Tabela17[Código]=Tabela2[[#This Row],[Ativo]]),Tabela17[Fechamento])</f>
        <v>67.09</v>
      </c>
    </row>
    <row r="575" spans="1:14">
      <c r="A575" s="4" t="s">
        <v>738</v>
      </c>
      <c r="B575" s="4">
        <v>2010</v>
      </c>
      <c r="C575" s="6">
        <v>1829334179.3199999</v>
      </c>
      <c r="D575" s="91">
        <f>SUMPRODUCT(N(Tabela3[PAPEL]=Tabela2[[#This Row],[Ativo]]),Tabela3[Total Ações])</f>
        <v>786115469</v>
      </c>
      <c r="E575" s="66">
        <f>(Tabela2[[#This Row],[Lucro Líquido]])/Tabela2[[#This Row],[Total Ações]]</f>
        <v>2.3270553137022674</v>
      </c>
      <c r="F575" s="66">
        <v>1.19</v>
      </c>
      <c r="G575" s="45">
        <f>IF(AND(Tabela2[[#This Row],[Dividendo / Ação]]&gt;0,Tabela2[[#This Row],[Lucro por ação]]&gt;0),Tabela2[[#This Row],[Dividendo / Ação]]/Tabela2[[#This Row],[Lucro por ação]],"")</f>
        <v>0.51137589768192904</v>
      </c>
      <c r="H575" s="61">
        <f>MAX(Tabela2[[#This Row],[Cotação 1]],Tabela2[[#This Row],[Cotação 2]])</f>
        <v>67.09</v>
      </c>
      <c r="I575" s="46">
        <f>IF(Tabela2[[#This Row],[Dividendo / Ação]]&gt;0,Tabela2[[#This Row],[Dividendo / Ação]]/Tabela2[[#This Row],[Cotação]],"")</f>
        <v>1.7737367715009687E-2</v>
      </c>
      <c r="J575" s="17">
        <f>SUMPRODUCT(N(Tabela1[Código]=Tabela2[[#This Row],[Ativo]]),Tabela1[Fechamento])</f>
        <v>0</v>
      </c>
      <c r="K575" s="17">
        <f>SUMPRODUCT(N(Tabela17[Código]=Tabela2[[#This Row],[Ativo]]),Tabela17[Fechamento])</f>
        <v>67.09</v>
      </c>
    </row>
    <row r="576" spans="1:14">
      <c r="A576" s="4" t="s">
        <v>737</v>
      </c>
      <c r="B576" s="4">
        <v>2012</v>
      </c>
      <c r="C576" s="6">
        <v>275394800.88</v>
      </c>
      <c r="D576" s="91">
        <f>SUMPRODUCT(N(Tabela3[PAPEL]=Tabela2[[#This Row],[Ativo]]),Tabela3[Total Ações])</f>
        <v>260378479</v>
      </c>
      <c r="E576" s="66">
        <f>(Tabela2[[#This Row],[Lucro Líquido]])/Tabela2[[#This Row],[Total Ações]]</f>
        <v>1.0576711329510455</v>
      </c>
      <c r="F576" s="66">
        <v>0.53490000000000004</v>
      </c>
      <c r="G576" s="45">
        <f>IF(AND(Tabela2[[#This Row],[Dividendo / Ação]]&gt;0,Tabela2[[#This Row],[Lucro por ação]]&gt;0),Tabela2[[#This Row],[Dividendo / Ação]]/Tabela2[[#This Row],[Lucro por ação]],"")</f>
        <v>0.50573376102981715</v>
      </c>
      <c r="H576" s="61">
        <f>MAX(Tabela2[[#This Row],[Cotação 1]],Tabela2[[#This Row],[Cotação 2]])</f>
        <v>23.01</v>
      </c>
      <c r="I576" s="46">
        <f>IF(Tabela2[[#This Row],[Dividendo / Ação]]&gt;0,Tabela2[[#This Row],[Dividendo / Ação]]/Tabela2[[#This Row],[Cotação]],"")</f>
        <v>2.3246414602346804E-2</v>
      </c>
      <c r="J576" s="17">
        <f>SUMPRODUCT(N(Tabela1[Código]=Tabela2[[#This Row],[Ativo]]),Tabela1[Fechamento])</f>
        <v>0</v>
      </c>
      <c r="K576" s="17">
        <f>SUMPRODUCT(N(Tabela17[Código]=Tabela2[[#This Row],[Ativo]]),Tabela17[Fechamento])</f>
        <v>23.01</v>
      </c>
    </row>
    <row r="577" spans="1:11">
      <c r="A577" s="4" t="s">
        <v>737</v>
      </c>
      <c r="B577" s="4">
        <v>2011</v>
      </c>
      <c r="C577" s="6">
        <v>220517318.09</v>
      </c>
      <c r="D577" s="91">
        <f>SUMPRODUCT(N(Tabela3[PAPEL]=Tabela2[[#This Row],[Ativo]]),Tabela3[Total Ações])</f>
        <v>260378479</v>
      </c>
      <c r="E577" s="66">
        <f>(Tabela2[[#This Row],[Lucro Líquido]])/Tabela2[[#This Row],[Total Ações]]</f>
        <v>0.84691069299164312</v>
      </c>
      <c r="F577" s="66">
        <v>0.254</v>
      </c>
      <c r="G577" s="45">
        <f>IF(AND(Tabela2[[#This Row],[Dividendo / Ação]]&gt;0,Tabela2[[#This Row],[Lucro por ação]]&gt;0),Tabela2[[#This Row],[Dividendo / Ação]]/Tabela2[[#This Row],[Lucro por ação]],"")</f>
        <v>0.29991355889340077</v>
      </c>
      <c r="H577" s="61">
        <f>MAX(Tabela2[[#This Row],[Cotação 1]],Tabela2[[#This Row],[Cotação 2]])</f>
        <v>23.01</v>
      </c>
      <c r="I577" s="46">
        <f>IF(Tabela2[[#This Row],[Dividendo / Ação]]&gt;0,Tabela2[[#This Row],[Dividendo / Ação]]/Tabela2[[#This Row],[Cotação]],"")</f>
        <v>1.1038678835289004E-2</v>
      </c>
      <c r="J577" s="17">
        <f>SUMPRODUCT(N(Tabela1[Código]=Tabela2[[#This Row],[Ativo]]),Tabela1[Fechamento])</f>
        <v>0</v>
      </c>
      <c r="K577" s="17">
        <f>SUMPRODUCT(N(Tabela17[Código]=Tabela2[[#This Row],[Ativo]]),Tabela17[Fechamento])</f>
        <v>23.01</v>
      </c>
    </row>
    <row r="578" spans="1:11">
      <c r="A578" s="4" t="s">
        <v>737</v>
      </c>
      <c r="B578" s="4">
        <v>2010</v>
      </c>
      <c r="C578" s="6">
        <v>112319339.34999999</v>
      </c>
      <c r="D578" s="91">
        <f>SUMPRODUCT(N(Tabela3[PAPEL]=Tabela2[[#This Row],[Ativo]]),Tabela3[Total Ações])</f>
        <v>260378479</v>
      </c>
      <c r="E578" s="66">
        <f>(Tabela2[[#This Row],[Lucro Líquido]])/Tabela2[[#This Row],[Total Ações]]</f>
        <v>0.43136951940640222</v>
      </c>
      <c r="F578" s="66">
        <v>0.13089999999999999</v>
      </c>
      <c r="G578" s="45">
        <f>IF(AND(Tabela2[[#This Row],[Dividendo / Ação]]&gt;0,Tabela2[[#This Row],[Lucro por ação]]&gt;0),Tabela2[[#This Row],[Dividendo / Ação]]/Tabela2[[#This Row],[Lucro por ação]],"")</f>
        <v>0.30345213120326281</v>
      </c>
      <c r="H578" s="61">
        <f>MAX(Tabela2[[#This Row],[Cotação 1]],Tabela2[[#This Row],[Cotação 2]])</f>
        <v>23.01</v>
      </c>
      <c r="I578" s="46">
        <f>IF(Tabela2[[#This Row],[Dividendo / Ação]]&gt;0,Tabela2[[#This Row],[Dividendo / Ação]]/Tabela2[[#This Row],[Cotação]],"")</f>
        <v>5.68883094306823E-3</v>
      </c>
      <c r="J578" s="17">
        <f>SUMPRODUCT(N(Tabela1[Código]=Tabela2[[#This Row],[Ativo]]),Tabela1[Fechamento])</f>
        <v>0</v>
      </c>
      <c r="K578" s="17">
        <f>SUMPRODUCT(N(Tabela17[Código]=Tabela2[[#This Row],[Ativo]]),Tabela17[Fechamento])</f>
        <v>23.01</v>
      </c>
    </row>
    <row r="579" spans="1:11">
      <c r="A579" s="4" t="s">
        <v>737</v>
      </c>
      <c r="B579" s="4">
        <v>2009</v>
      </c>
      <c r="C579" s="6">
        <v>66605139.840000004</v>
      </c>
      <c r="D579" s="91">
        <f>SUMPRODUCT(N(Tabela3[PAPEL]=Tabela2[[#This Row],[Ativo]]),Tabela3[Total Ações])</f>
        <v>260378479</v>
      </c>
      <c r="E579" s="66">
        <f>(Tabela2[[#This Row],[Lucro Líquido]])/Tabela2[[#This Row],[Total Ações]]</f>
        <v>0.2558012478442967</v>
      </c>
      <c r="F579" s="66">
        <v>0.29799999999999999</v>
      </c>
      <c r="G579" s="45">
        <f>IF(AND(Tabela2[[#This Row],[Dividendo / Ação]]&gt;0,Tabela2[[#This Row],[Lucro por ação]]&gt;0),Tabela2[[#This Row],[Dividendo / Ação]]/Tabela2[[#This Row],[Lucro por ação]],"")</f>
        <v>1.164966951925853</v>
      </c>
      <c r="H579" s="61">
        <f>MAX(Tabela2[[#This Row],[Cotação 1]],Tabela2[[#This Row],[Cotação 2]])</f>
        <v>23.01</v>
      </c>
      <c r="I579" s="46">
        <f>IF(Tabela2[[#This Row],[Dividendo / Ação]]&gt;0,Tabela2[[#This Row],[Dividendo / Ação]]/Tabela2[[#This Row],[Cotação]],"")</f>
        <v>1.295089091699261E-2</v>
      </c>
      <c r="J579" s="17">
        <f>SUMPRODUCT(N(Tabela1[Código]=Tabela2[[#This Row],[Ativo]]),Tabela1[Fechamento])</f>
        <v>0</v>
      </c>
      <c r="K579" s="17">
        <f>SUMPRODUCT(N(Tabela17[Código]=Tabela2[[#This Row],[Ativo]]),Tabela17[Fechamento])</f>
        <v>23.01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dimension ref="A1:K3"/>
  <sheetViews>
    <sheetView workbookViewId="0">
      <selection activeCell="K2" sqref="K2"/>
    </sheetView>
  </sheetViews>
  <sheetFormatPr defaultRowHeight="15"/>
  <cols>
    <col min="1" max="1" width="17" customWidth="1"/>
    <col min="2" max="2" width="12.140625" style="79" bestFit="1" customWidth="1"/>
    <col min="3" max="4" width="13.28515625" style="79" bestFit="1" customWidth="1"/>
    <col min="5" max="5" width="15.85546875" style="79" bestFit="1" customWidth="1"/>
    <col min="6" max="6" width="14.28515625" style="83" bestFit="1" customWidth="1"/>
    <col min="11" max="11" width="18.85546875" bestFit="1" customWidth="1"/>
  </cols>
  <sheetData>
    <row r="1" spans="1:11">
      <c r="A1" s="81" t="s">
        <v>380</v>
      </c>
      <c r="B1" s="85" t="s">
        <v>383</v>
      </c>
      <c r="C1" s="85" t="s">
        <v>381</v>
      </c>
      <c r="D1" s="85" t="s">
        <v>382</v>
      </c>
      <c r="E1" s="85" t="s">
        <v>384</v>
      </c>
      <c r="F1" s="84" t="s">
        <v>17</v>
      </c>
    </row>
    <row r="2" spans="1:11">
      <c r="A2" s="82">
        <v>41645</v>
      </c>
      <c r="B2" s="79">
        <v>940.06</v>
      </c>
      <c r="C2" s="79">
        <v>0</v>
      </c>
      <c r="D2" s="79">
        <v>0</v>
      </c>
      <c r="E2" s="79">
        <v>0</v>
      </c>
    </row>
    <row r="3" spans="1:11">
      <c r="A3" s="86" t="s">
        <v>385</v>
      </c>
      <c r="B3" s="87">
        <f>SUBTOTAL(109,[Aplicação])</f>
        <v>940.06</v>
      </c>
      <c r="C3" s="80">
        <f>SUBTOTAL(105,[Taxas])</f>
        <v>0</v>
      </c>
      <c r="D3" s="87">
        <f>SUBTOTAL(109,[Resgates])</f>
        <v>0</v>
      </c>
      <c r="E3" s="79">
        <f>SUBTOTAL(109,[Rendimento])</f>
        <v>0</v>
      </c>
      <c r="F3" s="83">
        <f>IF(AND(Table4[[#Totals],[Aplicação]]&gt;0,Table4[[#Totals],[Rendimento]]&gt;0),Table4[[#Totals],[Rendimento]]/Table4[[#Totals],[Aplicação]],0)</f>
        <v>0</v>
      </c>
      <c r="I3" s="89"/>
      <c r="J3" s="83"/>
      <c r="K3" s="90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431</vt:i4>
      </vt:variant>
    </vt:vector>
  </HeadingPairs>
  <TitlesOfParts>
    <vt:vector size="437" baseType="lpstr">
      <vt:lpstr>Patrimonio</vt:lpstr>
      <vt:lpstr>Cotacao</vt:lpstr>
      <vt:lpstr>Cotacao 2</vt:lpstr>
      <vt:lpstr>Tabela LL</vt:lpstr>
      <vt:lpstr>Lucro Líquido</vt:lpstr>
      <vt:lpstr>Historia</vt:lpstr>
      <vt:lpstr>Cotacao!DadosExternos_1</vt:lpstr>
      <vt:lpstr>'Cotacao 2'!DadosExternos_1</vt:lpstr>
      <vt:lpstr>Cotacao!DadosExternos_10</vt:lpstr>
      <vt:lpstr>'Cotacao 2'!DadosExternos_10</vt:lpstr>
      <vt:lpstr>Cotacao!DadosExternos_103</vt:lpstr>
      <vt:lpstr>'Cotacao 2'!DadosExternos_103</vt:lpstr>
      <vt:lpstr>Cotacao!DadosExternos_104</vt:lpstr>
      <vt:lpstr>'Cotacao 2'!DadosExternos_104</vt:lpstr>
      <vt:lpstr>Cotacao!DadosExternos_106</vt:lpstr>
      <vt:lpstr>'Cotacao 2'!DadosExternos_106</vt:lpstr>
      <vt:lpstr>Cotacao!DadosExternos_107</vt:lpstr>
      <vt:lpstr>'Cotacao 2'!DadosExternos_107</vt:lpstr>
      <vt:lpstr>Cotacao!DadosExternos_108</vt:lpstr>
      <vt:lpstr>'Cotacao 2'!DadosExternos_108</vt:lpstr>
      <vt:lpstr>Cotacao!DadosExternos_109</vt:lpstr>
      <vt:lpstr>'Cotacao 2'!DadosExternos_109</vt:lpstr>
      <vt:lpstr>Cotacao!DadosExternos_11</vt:lpstr>
      <vt:lpstr>'Cotacao 2'!DadosExternos_11</vt:lpstr>
      <vt:lpstr>Cotacao!DadosExternos_110</vt:lpstr>
      <vt:lpstr>'Cotacao 2'!DadosExternos_110</vt:lpstr>
      <vt:lpstr>Cotacao!DadosExternos_111</vt:lpstr>
      <vt:lpstr>'Cotacao 2'!DadosExternos_111</vt:lpstr>
      <vt:lpstr>Cotacao!DadosExternos_112</vt:lpstr>
      <vt:lpstr>'Cotacao 2'!DadosExternos_112</vt:lpstr>
      <vt:lpstr>Cotacao!DadosExternos_113</vt:lpstr>
      <vt:lpstr>'Cotacao 2'!DadosExternos_113</vt:lpstr>
      <vt:lpstr>Cotacao!DadosExternos_114</vt:lpstr>
      <vt:lpstr>'Cotacao 2'!DadosExternos_114</vt:lpstr>
      <vt:lpstr>Cotacao!DadosExternos_115</vt:lpstr>
      <vt:lpstr>'Cotacao 2'!DadosExternos_115</vt:lpstr>
      <vt:lpstr>Cotacao!DadosExternos_116</vt:lpstr>
      <vt:lpstr>'Cotacao 2'!DadosExternos_116</vt:lpstr>
      <vt:lpstr>Cotacao!DadosExternos_117</vt:lpstr>
      <vt:lpstr>'Cotacao 2'!DadosExternos_117</vt:lpstr>
      <vt:lpstr>Cotacao!DadosExternos_118</vt:lpstr>
      <vt:lpstr>'Cotacao 2'!DadosExternos_118</vt:lpstr>
      <vt:lpstr>Cotacao!DadosExternos_119</vt:lpstr>
      <vt:lpstr>'Cotacao 2'!DadosExternos_119</vt:lpstr>
      <vt:lpstr>Cotacao!DadosExternos_12</vt:lpstr>
      <vt:lpstr>'Cotacao 2'!DadosExternos_12</vt:lpstr>
      <vt:lpstr>Cotacao!DadosExternos_120</vt:lpstr>
      <vt:lpstr>'Cotacao 2'!DadosExternos_120</vt:lpstr>
      <vt:lpstr>Cotacao!DadosExternos_121</vt:lpstr>
      <vt:lpstr>'Cotacao 2'!DadosExternos_121</vt:lpstr>
      <vt:lpstr>Cotacao!DadosExternos_122</vt:lpstr>
      <vt:lpstr>'Cotacao 2'!DadosExternos_122</vt:lpstr>
      <vt:lpstr>Cotacao!DadosExternos_123</vt:lpstr>
      <vt:lpstr>'Cotacao 2'!DadosExternos_123</vt:lpstr>
      <vt:lpstr>Cotacao!DadosExternos_124</vt:lpstr>
      <vt:lpstr>'Cotacao 2'!DadosExternos_124</vt:lpstr>
      <vt:lpstr>Cotacao!DadosExternos_125</vt:lpstr>
      <vt:lpstr>'Cotacao 2'!DadosExternos_125</vt:lpstr>
      <vt:lpstr>Cotacao!DadosExternos_126</vt:lpstr>
      <vt:lpstr>'Cotacao 2'!DadosExternos_126</vt:lpstr>
      <vt:lpstr>Cotacao!DadosExternos_127</vt:lpstr>
      <vt:lpstr>'Cotacao 2'!DadosExternos_127</vt:lpstr>
      <vt:lpstr>Cotacao!DadosExternos_128</vt:lpstr>
      <vt:lpstr>'Cotacao 2'!DadosExternos_128</vt:lpstr>
      <vt:lpstr>Cotacao!DadosExternos_129</vt:lpstr>
      <vt:lpstr>'Cotacao 2'!DadosExternos_129</vt:lpstr>
      <vt:lpstr>Cotacao!DadosExternos_130</vt:lpstr>
      <vt:lpstr>'Cotacao 2'!DadosExternos_130</vt:lpstr>
      <vt:lpstr>Cotacao!DadosExternos_131</vt:lpstr>
      <vt:lpstr>'Cotacao 2'!DadosExternos_131</vt:lpstr>
      <vt:lpstr>Cotacao!DadosExternos_132</vt:lpstr>
      <vt:lpstr>'Cotacao 2'!DadosExternos_132</vt:lpstr>
      <vt:lpstr>Cotacao!DadosExternos_133</vt:lpstr>
      <vt:lpstr>'Cotacao 2'!DadosExternos_133</vt:lpstr>
      <vt:lpstr>Cotacao!DadosExternos_134</vt:lpstr>
      <vt:lpstr>'Cotacao 2'!DadosExternos_134</vt:lpstr>
      <vt:lpstr>Cotacao!DadosExternos_135</vt:lpstr>
      <vt:lpstr>'Cotacao 2'!DadosExternos_135</vt:lpstr>
      <vt:lpstr>Cotacao!DadosExternos_136</vt:lpstr>
      <vt:lpstr>'Cotacao 2'!DadosExternos_136</vt:lpstr>
      <vt:lpstr>Cotacao!DadosExternos_137</vt:lpstr>
      <vt:lpstr>'Cotacao 2'!DadosExternos_137</vt:lpstr>
      <vt:lpstr>Cotacao!DadosExternos_138</vt:lpstr>
      <vt:lpstr>'Cotacao 2'!DadosExternos_138</vt:lpstr>
      <vt:lpstr>Cotacao!DadosExternos_139</vt:lpstr>
      <vt:lpstr>'Cotacao 2'!DadosExternos_139</vt:lpstr>
      <vt:lpstr>Cotacao!DadosExternos_14</vt:lpstr>
      <vt:lpstr>'Cotacao 2'!DadosExternos_14</vt:lpstr>
      <vt:lpstr>Cotacao!DadosExternos_140</vt:lpstr>
      <vt:lpstr>'Cotacao 2'!DadosExternos_140</vt:lpstr>
      <vt:lpstr>Cotacao!DadosExternos_141</vt:lpstr>
      <vt:lpstr>'Cotacao 2'!DadosExternos_141</vt:lpstr>
      <vt:lpstr>Cotacao!DadosExternos_142</vt:lpstr>
      <vt:lpstr>'Cotacao 2'!DadosExternos_142</vt:lpstr>
      <vt:lpstr>Cotacao!DadosExternos_143</vt:lpstr>
      <vt:lpstr>'Cotacao 2'!DadosExternos_143</vt:lpstr>
      <vt:lpstr>Cotacao!DadosExternos_144</vt:lpstr>
      <vt:lpstr>'Cotacao 2'!DadosExternos_144</vt:lpstr>
      <vt:lpstr>Cotacao!DadosExternos_145</vt:lpstr>
      <vt:lpstr>'Cotacao 2'!DadosExternos_145</vt:lpstr>
      <vt:lpstr>Cotacao!DadosExternos_146</vt:lpstr>
      <vt:lpstr>'Cotacao 2'!DadosExternos_146</vt:lpstr>
      <vt:lpstr>Cotacao!DadosExternos_147</vt:lpstr>
      <vt:lpstr>'Cotacao 2'!DadosExternos_147</vt:lpstr>
      <vt:lpstr>Cotacao!DadosExternos_148</vt:lpstr>
      <vt:lpstr>'Cotacao 2'!DadosExternos_148</vt:lpstr>
      <vt:lpstr>Cotacao!DadosExternos_149</vt:lpstr>
      <vt:lpstr>'Cotacao 2'!DadosExternos_149</vt:lpstr>
      <vt:lpstr>Cotacao!DadosExternos_15</vt:lpstr>
      <vt:lpstr>'Cotacao 2'!DadosExternos_15</vt:lpstr>
      <vt:lpstr>Cotacao!DadosExternos_150</vt:lpstr>
      <vt:lpstr>'Cotacao 2'!DadosExternos_150</vt:lpstr>
      <vt:lpstr>Cotacao!DadosExternos_151</vt:lpstr>
      <vt:lpstr>'Cotacao 2'!DadosExternos_151</vt:lpstr>
      <vt:lpstr>Cotacao!DadosExternos_152</vt:lpstr>
      <vt:lpstr>'Cotacao 2'!DadosExternos_152</vt:lpstr>
      <vt:lpstr>Cotacao!DadosExternos_153</vt:lpstr>
      <vt:lpstr>'Cotacao 2'!DadosExternos_153</vt:lpstr>
      <vt:lpstr>Cotacao!DadosExternos_154</vt:lpstr>
      <vt:lpstr>'Cotacao 2'!DadosExternos_154</vt:lpstr>
      <vt:lpstr>Cotacao!DadosExternos_155</vt:lpstr>
      <vt:lpstr>'Cotacao 2'!DadosExternos_155</vt:lpstr>
      <vt:lpstr>Cotacao!DadosExternos_156</vt:lpstr>
      <vt:lpstr>'Cotacao 2'!DadosExternos_156</vt:lpstr>
      <vt:lpstr>Cotacao!DadosExternos_157</vt:lpstr>
      <vt:lpstr>'Cotacao 2'!DadosExternos_157</vt:lpstr>
      <vt:lpstr>Cotacao!DadosExternos_158</vt:lpstr>
      <vt:lpstr>'Cotacao 2'!DadosExternos_158</vt:lpstr>
      <vt:lpstr>Cotacao!DadosExternos_159</vt:lpstr>
      <vt:lpstr>'Cotacao 2'!DadosExternos_159</vt:lpstr>
      <vt:lpstr>Cotacao!DadosExternos_16</vt:lpstr>
      <vt:lpstr>'Cotacao 2'!DadosExternos_16</vt:lpstr>
      <vt:lpstr>Cotacao!DadosExternos_160</vt:lpstr>
      <vt:lpstr>'Cotacao 2'!DadosExternos_160</vt:lpstr>
      <vt:lpstr>Cotacao!DadosExternos_161</vt:lpstr>
      <vt:lpstr>'Cotacao 2'!DadosExternos_161</vt:lpstr>
      <vt:lpstr>Cotacao!DadosExternos_162</vt:lpstr>
      <vt:lpstr>'Cotacao 2'!DadosExternos_162</vt:lpstr>
      <vt:lpstr>Cotacao!DadosExternos_163</vt:lpstr>
      <vt:lpstr>'Cotacao 2'!DadosExternos_163</vt:lpstr>
      <vt:lpstr>Cotacao!DadosExternos_164</vt:lpstr>
      <vt:lpstr>'Cotacao 2'!DadosExternos_164</vt:lpstr>
      <vt:lpstr>Cotacao!DadosExternos_165</vt:lpstr>
      <vt:lpstr>'Cotacao 2'!DadosExternos_165</vt:lpstr>
      <vt:lpstr>Cotacao!DadosExternos_166</vt:lpstr>
      <vt:lpstr>'Cotacao 2'!DadosExternos_166</vt:lpstr>
      <vt:lpstr>Cotacao!DadosExternos_167</vt:lpstr>
      <vt:lpstr>'Cotacao 2'!DadosExternos_167</vt:lpstr>
      <vt:lpstr>Cotacao!DadosExternos_168</vt:lpstr>
      <vt:lpstr>'Cotacao 2'!DadosExternos_168</vt:lpstr>
      <vt:lpstr>Cotacao!DadosExternos_169</vt:lpstr>
      <vt:lpstr>'Cotacao 2'!DadosExternos_169</vt:lpstr>
      <vt:lpstr>Cotacao!DadosExternos_17</vt:lpstr>
      <vt:lpstr>'Cotacao 2'!DadosExternos_17</vt:lpstr>
      <vt:lpstr>Cotacao!DadosExternos_170</vt:lpstr>
      <vt:lpstr>'Cotacao 2'!DadosExternos_170</vt:lpstr>
      <vt:lpstr>Cotacao!DadosExternos_171</vt:lpstr>
      <vt:lpstr>'Cotacao 2'!DadosExternos_171</vt:lpstr>
      <vt:lpstr>Cotacao!DadosExternos_172</vt:lpstr>
      <vt:lpstr>'Cotacao 2'!DadosExternos_172</vt:lpstr>
      <vt:lpstr>Cotacao!DadosExternos_173</vt:lpstr>
      <vt:lpstr>'Cotacao 2'!DadosExternos_173</vt:lpstr>
      <vt:lpstr>Cotacao!DadosExternos_174</vt:lpstr>
      <vt:lpstr>'Cotacao 2'!DadosExternos_174</vt:lpstr>
      <vt:lpstr>Cotacao!DadosExternos_175</vt:lpstr>
      <vt:lpstr>'Cotacao 2'!DadosExternos_175</vt:lpstr>
      <vt:lpstr>Cotacao!DadosExternos_176</vt:lpstr>
      <vt:lpstr>'Cotacao 2'!DadosExternos_176</vt:lpstr>
      <vt:lpstr>Cotacao!DadosExternos_177</vt:lpstr>
      <vt:lpstr>'Cotacao 2'!DadosExternos_177</vt:lpstr>
      <vt:lpstr>Cotacao!DadosExternos_178</vt:lpstr>
      <vt:lpstr>'Cotacao 2'!DadosExternos_178</vt:lpstr>
      <vt:lpstr>Cotacao!DadosExternos_179</vt:lpstr>
      <vt:lpstr>'Cotacao 2'!DadosExternos_179</vt:lpstr>
      <vt:lpstr>Cotacao!DadosExternos_18</vt:lpstr>
      <vt:lpstr>'Cotacao 2'!DadosExternos_18</vt:lpstr>
      <vt:lpstr>Cotacao!DadosExternos_180</vt:lpstr>
      <vt:lpstr>'Cotacao 2'!DadosExternos_180</vt:lpstr>
      <vt:lpstr>Cotacao!DadosExternos_181</vt:lpstr>
      <vt:lpstr>'Cotacao 2'!DadosExternos_181</vt:lpstr>
      <vt:lpstr>Cotacao!DadosExternos_182</vt:lpstr>
      <vt:lpstr>'Cotacao 2'!DadosExternos_182</vt:lpstr>
      <vt:lpstr>Cotacao!DadosExternos_183</vt:lpstr>
      <vt:lpstr>'Cotacao 2'!DadosExternos_183</vt:lpstr>
      <vt:lpstr>Cotacao!DadosExternos_184</vt:lpstr>
      <vt:lpstr>'Cotacao 2'!DadosExternos_184</vt:lpstr>
      <vt:lpstr>Cotacao!DadosExternos_185</vt:lpstr>
      <vt:lpstr>'Cotacao 2'!DadosExternos_185</vt:lpstr>
      <vt:lpstr>Cotacao!DadosExternos_186</vt:lpstr>
      <vt:lpstr>'Cotacao 2'!DadosExternos_186</vt:lpstr>
      <vt:lpstr>Cotacao!DadosExternos_187</vt:lpstr>
      <vt:lpstr>'Cotacao 2'!DadosExternos_187</vt:lpstr>
      <vt:lpstr>Cotacao!DadosExternos_188</vt:lpstr>
      <vt:lpstr>'Cotacao 2'!DadosExternos_188</vt:lpstr>
      <vt:lpstr>Cotacao!DadosExternos_189</vt:lpstr>
      <vt:lpstr>'Cotacao 2'!DadosExternos_189</vt:lpstr>
      <vt:lpstr>Cotacao!DadosExternos_190</vt:lpstr>
      <vt:lpstr>'Cotacao 2'!DadosExternos_190</vt:lpstr>
      <vt:lpstr>Cotacao!DadosExternos_191</vt:lpstr>
      <vt:lpstr>'Cotacao 2'!DadosExternos_191</vt:lpstr>
      <vt:lpstr>Cotacao!DadosExternos_192</vt:lpstr>
      <vt:lpstr>'Cotacao 2'!DadosExternos_192</vt:lpstr>
      <vt:lpstr>Cotacao!DadosExternos_193</vt:lpstr>
      <vt:lpstr>'Cotacao 2'!DadosExternos_193</vt:lpstr>
      <vt:lpstr>Cotacao!DadosExternos_194</vt:lpstr>
      <vt:lpstr>'Cotacao 2'!DadosExternos_194</vt:lpstr>
      <vt:lpstr>Cotacao!DadosExternos_195</vt:lpstr>
      <vt:lpstr>'Cotacao 2'!DadosExternos_195</vt:lpstr>
      <vt:lpstr>Cotacao!DadosExternos_196</vt:lpstr>
      <vt:lpstr>'Cotacao 2'!DadosExternos_196</vt:lpstr>
      <vt:lpstr>Cotacao!DadosExternos_197</vt:lpstr>
      <vt:lpstr>'Cotacao 2'!DadosExternos_197</vt:lpstr>
      <vt:lpstr>Cotacao!DadosExternos_198</vt:lpstr>
      <vt:lpstr>'Cotacao 2'!DadosExternos_198</vt:lpstr>
      <vt:lpstr>'Cotacao 2'!DadosExternos_199</vt:lpstr>
      <vt:lpstr>Cotacao!DadosExternos_2</vt:lpstr>
      <vt:lpstr>'Cotacao 2'!DadosExternos_2</vt:lpstr>
      <vt:lpstr>Cotacao!DadosExternos_20</vt:lpstr>
      <vt:lpstr>'Cotacao 2'!DadosExternos_20</vt:lpstr>
      <vt:lpstr>Cotacao!DadosExternos_200</vt:lpstr>
      <vt:lpstr>'Cotacao 2'!DadosExternos_200</vt:lpstr>
      <vt:lpstr>'Cotacao 2'!DadosExternos_201</vt:lpstr>
      <vt:lpstr>'Cotacao 2'!DadosExternos_202</vt:lpstr>
      <vt:lpstr>'Cotacao 2'!DadosExternos_203</vt:lpstr>
      <vt:lpstr>'Cotacao 2'!DadosExternos_204</vt:lpstr>
      <vt:lpstr>'Cotacao 2'!DadosExternos_205</vt:lpstr>
      <vt:lpstr>'Cotacao 2'!DadosExternos_206</vt:lpstr>
      <vt:lpstr>'Cotacao 2'!DadosExternos_207</vt:lpstr>
      <vt:lpstr>'Cotacao 2'!DadosExternos_208</vt:lpstr>
      <vt:lpstr>'Cotacao 2'!DadosExternos_209</vt:lpstr>
      <vt:lpstr>Cotacao!DadosExternos_21</vt:lpstr>
      <vt:lpstr>'Cotacao 2'!DadosExternos_21</vt:lpstr>
      <vt:lpstr>'Cotacao 2'!DadosExternos_210</vt:lpstr>
      <vt:lpstr>'Cotacao 2'!DadosExternos_211</vt:lpstr>
      <vt:lpstr>'Cotacao 2'!DadosExternos_212</vt:lpstr>
      <vt:lpstr>'Cotacao 2'!DadosExternos_213</vt:lpstr>
      <vt:lpstr>'Cotacao 2'!DadosExternos_214</vt:lpstr>
      <vt:lpstr>'Cotacao 2'!DadosExternos_215</vt:lpstr>
      <vt:lpstr>'Cotacao 2'!DadosExternos_216</vt:lpstr>
      <vt:lpstr>'Cotacao 2'!DadosExternos_217</vt:lpstr>
      <vt:lpstr>'Cotacao 2'!DadosExternos_219</vt:lpstr>
      <vt:lpstr>'Cotacao 2'!DadosExternos_220</vt:lpstr>
      <vt:lpstr>'Cotacao 2'!DadosExternos_221</vt:lpstr>
      <vt:lpstr>'Cotacao 2'!DadosExternos_222</vt:lpstr>
      <vt:lpstr>'Cotacao 2'!DadosExternos_223</vt:lpstr>
      <vt:lpstr>'Cotacao 2'!DadosExternos_224</vt:lpstr>
      <vt:lpstr>'Cotacao 2'!DadosExternos_225</vt:lpstr>
      <vt:lpstr>'Cotacao 2'!DadosExternos_227</vt:lpstr>
      <vt:lpstr>'Cotacao 2'!DadosExternos_228</vt:lpstr>
      <vt:lpstr>'Cotacao 2'!DadosExternos_229</vt:lpstr>
      <vt:lpstr>'Cotacao 2'!DadosExternos_230</vt:lpstr>
      <vt:lpstr>'Cotacao 2'!DadosExternos_233</vt:lpstr>
      <vt:lpstr>'Cotacao 2'!DadosExternos_234</vt:lpstr>
      <vt:lpstr>'Cotacao 2'!DadosExternos_235</vt:lpstr>
      <vt:lpstr>'Cotacao 2'!DadosExternos_237</vt:lpstr>
      <vt:lpstr>'Cotacao 2'!DadosExternos_238</vt:lpstr>
      <vt:lpstr>'Cotacao 2'!DadosExternos_239</vt:lpstr>
      <vt:lpstr>Cotacao!DadosExternos_24</vt:lpstr>
      <vt:lpstr>'Cotacao 2'!DadosExternos_24</vt:lpstr>
      <vt:lpstr>'Cotacao 2'!DadosExternos_240</vt:lpstr>
      <vt:lpstr>Cotacao!DadosExternos_26</vt:lpstr>
      <vt:lpstr>'Cotacao 2'!DadosExternos_26</vt:lpstr>
      <vt:lpstr>Cotacao!DadosExternos_27</vt:lpstr>
      <vt:lpstr>'Cotacao 2'!DadosExternos_27</vt:lpstr>
      <vt:lpstr>Cotacao!DadosExternos_28</vt:lpstr>
      <vt:lpstr>'Cotacao 2'!DadosExternos_28</vt:lpstr>
      <vt:lpstr>Cotacao!DadosExternos_29</vt:lpstr>
      <vt:lpstr>'Cotacao 2'!DadosExternos_29</vt:lpstr>
      <vt:lpstr>Cotacao!DadosExternos_3</vt:lpstr>
      <vt:lpstr>'Cotacao 2'!DadosExternos_3</vt:lpstr>
      <vt:lpstr>Cotacao!DadosExternos_30</vt:lpstr>
      <vt:lpstr>'Cotacao 2'!DadosExternos_30</vt:lpstr>
      <vt:lpstr>Cotacao!DadosExternos_31</vt:lpstr>
      <vt:lpstr>'Cotacao 2'!DadosExternos_31</vt:lpstr>
      <vt:lpstr>Cotacao!DadosExternos_32</vt:lpstr>
      <vt:lpstr>'Cotacao 2'!DadosExternos_32</vt:lpstr>
      <vt:lpstr>Cotacao!DadosExternos_33</vt:lpstr>
      <vt:lpstr>'Cotacao 2'!DadosExternos_33</vt:lpstr>
      <vt:lpstr>Cotacao!DadosExternos_34</vt:lpstr>
      <vt:lpstr>'Cotacao 2'!DadosExternos_34</vt:lpstr>
      <vt:lpstr>Cotacao!DadosExternos_35</vt:lpstr>
      <vt:lpstr>'Cotacao 2'!DadosExternos_35</vt:lpstr>
      <vt:lpstr>Cotacao!DadosExternos_36</vt:lpstr>
      <vt:lpstr>'Cotacao 2'!DadosExternos_36</vt:lpstr>
      <vt:lpstr>Cotacao!DadosExternos_37</vt:lpstr>
      <vt:lpstr>'Cotacao 2'!DadosExternos_37</vt:lpstr>
      <vt:lpstr>Cotacao!DadosExternos_38</vt:lpstr>
      <vt:lpstr>'Cotacao 2'!DadosExternos_38</vt:lpstr>
      <vt:lpstr>Cotacao!DadosExternos_39</vt:lpstr>
      <vt:lpstr>'Cotacao 2'!DadosExternos_39</vt:lpstr>
      <vt:lpstr>Cotacao!DadosExternos_4</vt:lpstr>
      <vt:lpstr>'Cotacao 2'!DadosExternos_4</vt:lpstr>
      <vt:lpstr>Cotacao!DadosExternos_40</vt:lpstr>
      <vt:lpstr>'Cotacao 2'!DadosExternos_40</vt:lpstr>
      <vt:lpstr>Cotacao!DadosExternos_41</vt:lpstr>
      <vt:lpstr>'Cotacao 2'!DadosExternos_41</vt:lpstr>
      <vt:lpstr>Cotacao!DadosExternos_42</vt:lpstr>
      <vt:lpstr>'Cotacao 2'!DadosExternos_42</vt:lpstr>
      <vt:lpstr>Cotacao!DadosExternos_43</vt:lpstr>
      <vt:lpstr>'Cotacao 2'!DadosExternos_43</vt:lpstr>
      <vt:lpstr>Cotacao!DadosExternos_44</vt:lpstr>
      <vt:lpstr>'Cotacao 2'!DadosExternos_44</vt:lpstr>
      <vt:lpstr>Cotacao!DadosExternos_45</vt:lpstr>
      <vt:lpstr>'Cotacao 2'!DadosExternos_45</vt:lpstr>
      <vt:lpstr>Cotacao!DadosExternos_46</vt:lpstr>
      <vt:lpstr>'Cotacao 2'!DadosExternos_46</vt:lpstr>
      <vt:lpstr>Cotacao!DadosExternos_47</vt:lpstr>
      <vt:lpstr>'Cotacao 2'!DadosExternos_47</vt:lpstr>
      <vt:lpstr>Cotacao!DadosExternos_48</vt:lpstr>
      <vt:lpstr>'Cotacao 2'!DadosExternos_48</vt:lpstr>
      <vt:lpstr>Cotacao!DadosExternos_49</vt:lpstr>
      <vt:lpstr>'Cotacao 2'!DadosExternos_49</vt:lpstr>
      <vt:lpstr>Cotacao!DadosExternos_50</vt:lpstr>
      <vt:lpstr>'Cotacao 2'!DadosExternos_50</vt:lpstr>
      <vt:lpstr>Cotacao!DadosExternos_51</vt:lpstr>
      <vt:lpstr>'Cotacao 2'!DadosExternos_51</vt:lpstr>
      <vt:lpstr>Cotacao!DadosExternos_52</vt:lpstr>
      <vt:lpstr>'Cotacao 2'!DadosExternos_52</vt:lpstr>
      <vt:lpstr>Cotacao!DadosExternos_53</vt:lpstr>
      <vt:lpstr>'Cotacao 2'!DadosExternos_53</vt:lpstr>
      <vt:lpstr>Cotacao!DadosExternos_54</vt:lpstr>
      <vt:lpstr>'Cotacao 2'!DadosExternos_54</vt:lpstr>
      <vt:lpstr>Cotacao!DadosExternos_55</vt:lpstr>
      <vt:lpstr>'Cotacao 2'!DadosExternos_55</vt:lpstr>
      <vt:lpstr>Cotacao!DadosExternos_56</vt:lpstr>
      <vt:lpstr>'Cotacao 2'!DadosExternos_56</vt:lpstr>
      <vt:lpstr>Cotacao!DadosExternos_57</vt:lpstr>
      <vt:lpstr>'Cotacao 2'!DadosExternos_57</vt:lpstr>
      <vt:lpstr>Cotacao!DadosExternos_58</vt:lpstr>
      <vt:lpstr>'Cotacao 2'!DadosExternos_58</vt:lpstr>
      <vt:lpstr>Cotacao!DadosExternos_59</vt:lpstr>
      <vt:lpstr>'Cotacao 2'!DadosExternos_59</vt:lpstr>
      <vt:lpstr>Cotacao!DadosExternos_6</vt:lpstr>
      <vt:lpstr>'Cotacao 2'!DadosExternos_6</vt:lpstr>
      <vt:lpstr>Cotacao!DadosExternos_60</vt:lpstr>
      <vt:lpstr>'Cotacao 2'!DadosExternos_60</vt:lpstr>
      <vt:lpstr>Cotacao!DadosExternos_61</vt:lpstr>
      <vt:lpstr>'Cotacao 2'!DadosExternos_61</vt:lpstr>
      <vt:lpstr>Cotacao!DadosExternos_62</vt:lpstr>
      <vt:lpstr>'Cotacao 2'!DadosExternos_62</vt:lpstr>
      <vt:lpstr>Cotacao!DadosExternos_63</vt:lpstr>
      <vt:lpstr>'Cotacao 2'!DadosExternos_63</vt:lpstr>
      <vt:lpstr>Cotacao!DadosExternos_64</vt:lpstr>
      <vt:lpstr>'Cotacao 2'!DadosExternos_64</vt:lpstr>
      <vt:lpstr>Cotacao!DadosExternos_65</vt:lpstr>
      <vt:lpstr>'Cotacao 2'!DadosExternos_65</vt:lpstr>
      <vt:lpstr>Cotacao!DadosExternos_66</vt:lpstr>
      <vt:lpstr>'Cotacao 2'!DadosExternos_66</vt:lpstr>
      <vt:lpstr>Cotacao!DadosExternos_67</vt:lpstr>
      <vt:lpstr>'Cotacao 2'!DadosExternos_67</vt:lpstr>
      <vt:lpstr>Cotacao!DadosExternos_68</vt:lpstr>
      <vt:lpstr>'Cotacao 2'!DadosExternos_68</vt:lpstr>
      <vt:lpstr>Cotacao!DadosExternos_69</vt:lpstr>
      <vt:lpstr>'Cotacao 2'!DadosExternos_69</vt:lpstr>
      <vt:lpstr>Cotacao!DadosExternos_7</vt:lpstr>
      <vt:lpstr>'Cotacao 2'!DadosExternos_7</vt:lpstr>
      <vt:lpstr>Cotacao!DadosExternos_70</vt:lpstr>
      <vt:lpstr>'Cotacao 2'!DadosExternos_70</vt:lpstr>
      <vt:lpstr>Cotacao!DadosExternos_71</vt:lpstr>
      <vt:lpstr>'Cotacao 2'!DadosExternos_71</vt:lpstr>
      <vt:lpstr>Cotacao!DadosExternos_72</vt:lpstr>
      <vt:lpstr>'Cotacao 2'!DadosExternos_72</vt:lpstr>
      <vt:lpstr>Cotacao!DadosExternos_73</vt:lpstr>
      <vt:lpstr>'Cotacao 2'!DadosExternos_73</vt:lpstr>
      <vt:lpstr>Cotacao!DadosExternos_8</vt:lpstr>
      <vt:lpstr>'Cotacao 2'!DadosExternos_8</vt:lpstr>
      <vt:lpstr>Cotacao!DadosExternos_9</vt:lpstr>
      <vt:lpstr>'Cotacao 2'!DadosExternos_9</vt:lpstr>
      <vt:lpstr>Cotacao!DadosExternos_90</vt:lpstr>
      <vt:lpstr>'Cotacao 2'!DadosExternos_90</vt:lpstr>
      <vt:lpstr>Cotacao!DadosExternos_96</vt:lpstr>
      <vt:lpstr>'Cotacao 2'!DadosExternos_96</vt:lpstr>
      <vt:lpstr>Cotacao!DadosExternos_97</vt:lpstr>
      <vt:lpstr>'Cotacao 2'!DadosExternos_97</vt:lpstr>
      <vt:lpstr>Cotacao!DadosExternos_98</vt:lpstr>
      <vt:lpstr>'Cotacao 2'!DadosExternos_98</vt:lpstr>
      <vt:lpstr>Cotacao!ExternalData_1</vt:lpstr>
      <vt:lpstr>'Cotacao 2'!ExternalData_1</vt:lpstr>
      <vt:lpstr>Cotacao!ExternalData_10</vt:lpstr>
      <vt:lpstr>'Cotacao 2'!ExternalData_10</vt:lpstr>
      <vt:lpstr>Cotacao!ExternalData_11</vt:lpstr>
      <vt:lpstr>'Cotacao 2'!ExternalData_11</vt:lpstr>
      <vt:lpstr>Cotacao!ExternalData_12</vt:lpstr>
      <vt:lpstr>'Cotacao 2'!ExternalData_12</vt:lpstr>
      <vt:lpstr>Cotacao!ExternalData_13</vt:lpstr>
      <vt:lpstr>'Cotacao 2'!ExternalData_13</vt:lpstr>
      <vt:lpstr>Cotacao!ExternalData_14</vt:lpstr>
      <vt:lpstr>'Cotacao 2'!ExternalData_14</vt:lpstr>
      <vt:lpstr>Cotacao!ExternalData_15</vt:lpstr>
      <vt:lpstr>'Cotacao 2'!ExternalData_15</vt:lpstr>
      <vt:lpstr>Cotacao!ExternalData_16</vt:lpstr>
      <vt:lpstr>'Cotacao 2'!ExternalData_16</vt:lpstr>
      <vt:lpstr>Cotacao!ExternalData_17</vt:lpstr>
      <vt:lpstr>'Cotacao 2'!ExternalData_17</vt:lpstr>
      <vt:lpstr>Cotacao!ExternalData_18</vt:lpstr>
      <vt:lpstr>'Cotacao 2'!ExternalData_18</vt:lpstr>
      <vt:lpstr>Cotacao!ExternalData_19</vt:lpstr>
      <vt:lpstr>'Cotacao 2'!ExternalData_19</vt:lpstr>
      <vt:lpstr>Cotacao!ExternalData_2</vt:lpstr>
      <vt:lpstr>'Cotacao 2'!ExternalData_2</vt:lpstr>
      <vt:lpstr>Cotacao!ExternalData_20</vt:lpstr>
      <vt:lpstr>'Cotacao 2'!ExternalData_20</vt:lpstr>
      <vt:lpstr>Cotacao!ExternalData_21</vt:lpstr>
      <vt:lpstr>'Cotacao 2'!ExternalData_21</vt:lpstr>
      <vt:lpstr>'Cotacao 2'!ExternalData_22</vt:lpstr>
      <vt:lpstr>'Cotacao 2'!ExternalData_23</vt:lpstr>
      <vt:lpstr>'Cotacao 2'!ExternalData_24</vt:lpstr>
      <vt:lpstr>'Cotacao 2'!ExternalData_25</vt:lpstr>
      <vt:lpstr>'Cotacao 2'!ExternalData_26</vt:lpstr>
      <vt:lpstr>'Cotacao 2'!ExternalData_27</vt:lpstr>
      <vt:lpstr>'Cotacao 2'!ExternalData_28</vt:lpstr>
      <vt:lpstr>'Cotacao 2'!ExternalData_29</vt:lpstr>
      <vt:lpstr>Cotacao!ExternalData_3</vt:lpstr>
      <vt:lpstr>'Cotacao 2'!ExternalData_3</vt:lpstr>
      <vt:lpstr>'Cotacao 2'!ExternalData_30</vt:lpstr>
      <vt:lpstr>'Cotacao 2'!ExternalData_31</vt:lpstr>
      <vt:lpstr>'Cotacao 2'!ExternalData_32</vt:lpstr>
      <vt:lpstr>'Cotacao 2'!ExternalData_33</vt:lpstr>
      <vt:lpstr>'Cotacao 2'!ExternalData_34</vt:lpstr>
      <vt:lpstr>'Cotacao 2'!ExternalData_35</vt:lpstr>
      <vt:lpstr>'Cotacao 2'!ExternalData_36</vt:lpstr>
      <vt:lpstr>'Cotacao 2'!ExternalData_37</vt:lpstr>
      <vt:lpstr>'Cotacao 2'!ExternalData_38</vt:lpstr>
      <vt:lpstr>'Cotacao 2'!ExternalData_39</vt:lpstr>
      <vt:lpstr>Cotacao!ExternalData_4</vt:lpstr>
      <vt:lpstr>'Cotacao 2'!ExternalData_4</vt:lpstr>
      <vt:lpstr>'Cotacao 2'!ExternalData_40</vt:lpstr>
      <vt:lpstr>Cotacao!ExternalData_5</vt:lpstr>
      <vt:lpstr>'Cotacao 2'!ExternalData_5</vt:lpstr>
      <vt:lpstr>Cotacao!ExternalData_6</vt:lpstr>
      <vt:lpstr>'Cotacao 2'!ExternalData_6</vt:lpstr>
      <vt:lpstr>Cotacao!ExternalData_7</vt:lpstr>
      <vt:lpstr>'Cotacao 2'!ExternalData_7</vt:lpstr>
      <vt:lpstr>Cotacao!ExternalData_8</vt:lpstr>
      <vt:lpstr>'Cotacao 2'!ExternalData_8</vt:lpstr>
      <vt:lpstr>Cotacao!ExternalData_9</vt:lpstr>
      <vt:lpstr>'Cotacao 2'!ExternalData_9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2014-01-06T17:11:13Z</dcterms:modified>
</cp:coreProperties>
</file>